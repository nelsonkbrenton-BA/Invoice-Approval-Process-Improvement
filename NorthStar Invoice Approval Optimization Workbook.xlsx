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elso\Downloads\BA Projects\Invoice Approval Process\"/>
    </mc:Choice>
  </mc:AlternateContent>
  <xr:revisionPtr revIDLastSave="0" documentId="8_{E30E1258-0D80-4C34-B48D-356AC82EB98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oice Tracker" sheetId="1" r:id="rId1"/>
    <sheet name="Lists" sheetId="2" r:id="rId2"/>
    <sheet name="KPI Dashboard" sheetId="3" r:id="rId3"/>
    <sheet name="Approval Matrix" sheetId="4" r:id="rId4"/>
    <sheet name="Exception Log" sheetId="5" r:id="rId5"/>
    <sheet name="Business Requirements" sheetId="6" r:id="rId6"/>
    <sheet name="User Stories" sheetId="7" r:id="rId7"/>
    <sheet name="Implementation Roadmap" sheetId="8" r:id="rId8"/>
    <sheet name="Data Dictiona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B11" i="3"/>
  <c r="B8" i="3"/>
  <c r="B7" i="3"/>
  <c r="B6" i="3"/>
  <c r="B5" i="3"/>
  <c r="S1201" i="1"/>
  <c r="U1201" i="1" s="1"/>
  <c r="R1201" i="1"/>
  <c r="Q1201" i="1"/>
  <c r="T1201" i="1" s="1"/>
  <c r="S1200" i="1"/>
  <c r="U1200" i="1" s="1"/>
  <c r="R1200" i="1"/>
  <c r="Q1200" i="1"/>
  <c r="T1200" i="1" s="1"/>
  <c r="S1199" i="1"/>
  <c r="U1199" i="1" s="1"/>
  <c r="R1199" i="1"/>
  <c r="Q1199" i="1"/>
  <c r="T1199" i="1" s="1"/>
  <c r="S1198" i="1"/>
  <c r="U1198" i="1" s="1"/>
  <c r="R1198" i="1"/>
  <c r="Q1198" i="1"/>
  <c r="T1198" i="1" s="1"/>
  <c r="S1197" i="1"/>
  <c r="U1197" i="1" s="1"/>
  <c r="R1197" i="1"/>
  <c r="Q1197" i="1"/>
  <c r="T1197" i="1" s="1"/>
  <c r="S1196" i="1"/>
  <c r="U1196" i="1" s="1"/>
  <c r="R1196" i="1"/>
  <c r="Q1196" i="1"/>
  <c r="T1196" i="1" s="1"/>
  <c r="S1195" i="1"/>
  <c r="U1195" i="1" s="1"/>
  <c r="R1195" i="1"/>
  <c r="Q1195" i="1"/>
  <c r="T1195" i="1" s="1"/>
  <c r="S1194" i="1"/>
  <c r="U1194" i="1" s="1"/>
  <c r="R1194" i="1"/>
  <c r="Q1194" i="1"/>
  <c r="T1194" i="1" s="1"/>
  <c r="S1193" i="1"/>
  <c r="U1193" i="1" s="1"/>
  <c r="R1193" i="1"/>
  <c r="Q1193" i="1"/>
  <c r="T1193" i="1" s="1"/>
  <c r="S1192" i="1"/>
  <c r="U1192" i="1" s="1"/>
  <c r="R1192" i="1"/>
  <c r="Q1192" i="1"/>
  <c r="T1192" i="1" s="1"/>
  <c r="S1191" i="1"/>
  <c r="U1191" i="1" s="1"/>
  <c r="R1191" i="1"/>
  <c r="Q1191" i="1"/>
  <c r="T1191" i="1" s="1"/>
  <c r="S1190" i="1"/>
  <c r="U1190" i="1" s="1"/>
  <c r="R1190" i="1"/>
  <c r="Q1190" i="1"/>
  <c r="T1190" i="1" s="1"/>
  <c r="S1189" i="1"/>
  <c r="U1189" i="1" s="1"/>
  <c r="R1189" i="1"/>
  <c r="Q1189" i="1"/>
  <c r="T1189" i="1" s="1"/>
  <c r="S1188" i="1"/>
  <c r="U1188" i="1" s="1"/>
  <c r="R1188" i="1"/>
  <c r="Q1188" i="1"/>
  <c r="T1188" i="1" s="1"/>
  <c r="S1187" i="1"/>
  <c r="U1187" i="1" s="1"/>
  <c r="R1187" i="1"/>
  <c r="Q1187" i="1"/>
  <c r="T1187" i="1" s="1"/>
  <c r="S1186" i="1"/>
  <c r="U1186" i="1" s="1"/>
  <c r="R1186" i="1"/>
  <c r="Q1186" i="1"/>
  <c r="T1186" i="1" s="1"/>
  <c r="S1185" i="1"/>
  <c r="U1185" i="1" s="1"/>
  <c r="R1185" i="1"/>
  <c r="Q1185" i="1"/>
  <c r="T1185" i="1" s="1"/>
  <c r="S1184" i="1"/>
  <c r="U1184" i="1" s="1"/>
  <c r="R1184" i="1"/>
  <c r="Q1184" i="1"/>
  <c r="T1184" i="1" s="1"/>
  <c r="S1183" i="1"/>
  <c r="U1183" i="1" s="1"/>
  <c r="R1183" i="1"/>
  <c r="Q1183" i="1"/>
  <c r="T1183" i="1" s="1"/>
  <c r="S1182" i="1"/>
  <c r="U1182" i="1" s="1"/>
  <c r="R1182" i="1"/>
  <c r="Q1182" i="1"/>
  <c r="T1182" i="1" s="1"/>
  <c r="S1181" i="1"/>
  <c r="U1181" i="1" s="1"/>
  <c r="R1181" i="1"/>
  <c r="Q1181" i="1"/>
  <c r="T1181" i="1" s="1"/>
  <c r="S1180" i="1"/>
  <c r="U1180" i="1" s="1"/>
  <c r="R1180" i="1"/>
  <c r="Q1180" i="1"/>
  <c r="T1180" i="1" s="1"/>
  <c r="S1179" i="1"/>
  <c r="U1179" i="1" s="1"/>
  <c r="R1179" i="1"/>
  <c r="Q1179" i="1"/>
  <c r="T1179" i="1" s="1"/>
  <c r="S1178" i="1"/>
  <c r="U1178" i="1" s="1"/>
  <c r="R1178" i="1"/>
  <c r="Q1178" i="1"/>
  <c r="T1178" i="1" s="1"/>
  <c r="S1177" i="1"/>
  <c r="U1177" i="1" s="1"/>
  <c r="R1177" i="1"/>
  <c r="Q1177" i="1"/>
  <c r="T1177" i="1" s="1"/>
  <c r="S1176" i="1"/>
  <c r="U1176" i="1" s="1"/>
  <c r="R1176" i="1"/>
  <c r="Q1176" i="1"/>
  <c r="T1176" i="1" s="1"/>
  <c r="S1175" i="1"/>
  <c r="U1175" i="1" s="1"/>
  <c r="R1175" i="1"/>
  <c r="Q1175" i="1"/>
  <c r="T1175" i="1" s="1"/>
  <c r="S1174" i="1"/>
  <c r="U1174" i="1" s="1"/>
  <c r="R1174" i="1"/>
  <c r="Q1174" i="1"/>
  <c r="T1174" i="1" s="1"/>
  <c r="S1173" i="1"/>
  <c r="U1173" i="1" s="1"/>
  <c r="R1173" i="1"/>
  <c r="Q1173" i="1"/>
  <c r="T1173" i="1" s="1"/>
  <c r="S1172" i="1"/>
  <c r="U1172" i="1" s="1"/>
  <c r="R1172" i="1"/>
  <c r="Q1172" i="1"/>
  <c r="T1172" i="1" s="1"/>
  <c r="S1171" i="1"/>
  <c r="U1171" i="1" s="1"/>
  <c r="R1171" i="1"/>
  <c r="Q1171" i="1"/>
  <c r="T1171" i="1" s="1"/>
  <c r="S1170" i="1"/>
  <c r="U1170" i="1" s="1"/>
  <c r="R1170" i="1"/>
  <c r="Q1170" i="1"/>
  <c r="T1170" i="1" s="1"/>
  <c r="S1169" i="1"/>
  <c r="U1169" i="1" s="1"/>
  <c r="R1169" i="1"/>
  <c r="Q1169" i="1"/>
  <c r="T1169" i="1" s="1"/>
  <c r="S1168" i="1"/>
  <c r="U1168" i="1" s="1"/>
  <c r="R1168" i="1"/>
  <c r="Q1168" i="1"/>
  <c r="T1168" i="1" s="1"/>
  <c r="S1167" i="1"/>
  <c r="U1167" i="1" s="1"/>
  <c r="R1167" i="1"/>
  <c r="Q1167" i="1"/>
  <c r="T1167" i="1" s="1"/>
  <c r="S1166" i="1"/>
  <c r="U1166" i="1" s="1"/>
  <c r="R1166" i="1"/>
  <c r="Q1166" i="1"/>
  <c r="T1166" i="1" s="1"/>
  <c r="S1165" i="1"/>
  <c r="U1165" i="1" s="1"/>
  <c r="R1165" i="1"/>
  <c r="Q1165" i="1"/>
  <c r="T1165" i="1" s="1"/>
  <c r="S1164" i="1"/>
  <c r="U1164" i="1" s="1"/>
  <c r="R1164" i="1"/>
  <c r="Q1164" i="1"/>
  <c r="T1164" i="1" s="1"/>
  <c r="S1163" i="1"/>
  <c r="U1163" i="1" s="1"/>
  <c r="R1163" i="1"/>
  <c r="Q1163" i="1"/>
  <c r="T1163" i="1" s="1"/>
  <c r="S1162" i="1"/>
  <c r="U1162" i="1" s="1"/>
  <c r="R1162" i="1"/>
  <c r="Q1162" i="1"/>
  <c r="T1162" i="1" s="1"/>
  <c r="S1161" i="1"/>
  <c r="U1161" i="1" s="1"/>
  <c r="R1161" i="1"/>
  <c r="Q1161" i="1"/>
  <c r="T1161" i="1" s="1"/>
  <c r="S1160" i="1"/>
  <c r="U1160" i="1" s="1"/>
  <c r="R1160" i="1"/>
  <c r="Q1160" i="1"/>
  <c r="T1160" i="1" s="1"/>
  <c r="S1159" i="1"/>
  <c r="U1159" i="1" s="1"/>
  <c r="R1159" i="1"/>
  <c r="Q1159" i="1"/>
  <c r="T1159" i="1" s="1"/>
  <c r="S1158" i="1"/>
  <c r="U1158" i="1" s="1"/>
  <c r="R1158" i="1"/>
  <c r="Q1158" i="1"/>
  <c r="T1158" i="1" s="1"/>
  <c r="S1157" i="1"/>
  <c r="U1157" i="1" s="1"/>
  <c r="R1157" i="1"/>
  <c r="Q1157" i="1"/>
  <c r="T1157" i="1" s="1"/>
  <c r="S1156" i="1"/>
  <c r="U1156" i="1" s="1"/>
  <c r="R1156" i="1"/>
  <c r="Q1156" i="1"/>
  <c r="T1156" i="1" s="1"/>
  <c r="S1155" i="1"/>
  <c r="U1155" i="1" s="1"/>
  <c r="R1155" i="1"/>
  <c r="Q1155" i="1"/>
  <c r="T1155" i="1" s="1"/>
  <c r="S1154" i="1"/>
  <c r="U1154" i="1" s="1"/>
  <c r="R1154" i="1"/>
  <c r="Q1154" i="1"/>
  <c r="T1154" i="1" s="1"/>
  <c r="S1153" i="1"/>
  <c r="U1153" i="1" s="1"/>
  <c r="R1153" i="1"/>
  <c r="Q1153" i="1"/>
  <c r="T1153" i="1" s="1"/>
  <c r="S1152" i="1"/>
  <c r="U1152" i="1" s="1"/>
  <c r="R1152" i="1"/>
  <c r="Q1152" i="1"/>
  <c r="T1152" i="1" s="1"/>
  <c r="S1151" i="1"/>
  <c r="U1151" i="1" s="1"/>
  <c r="R1151" i="1"/>
  <c r="Q1151" i="1"/>
  <c r="T1151" i="1" s="1"/>
  <c r="S1150" i="1"/>
  <c r="U1150" i="1" s="1"/>
  <c r="R1150" i="1"/>
  <c r="Q1150" i="1"/>
  <c r="T1150" i="1" s="1"/>
  <c r="S1149" i="1"/>
  <c r="U1149" i="1" s="1"/>
  <c r="R1149" i="1"/>
  <c r="Q1149" i="1"/>
  <c r="T1149" i="1" s="1"/>
  <c r="S1148" i="1"/>
  <c r="U1148" i="1" s="1"/>
  <c r="R1148" i="1"/>
  <c r="Q1148" i="1"/>
  <c r="T1148" i="1" s="1"/>
  <c r="S1147" i="1"/>
  <c r="U1147" i="1" s="1"/>
  <c r="R1147" i="1"/>
  <c r="Q1147" i="1"/>
  <c r="T1147" i="1" s="1"/>
  <c r="S1146" i="1"/>
  <c r="U1146" i="1" s="1"/>
  <c r="R1146" i="1"/>
  <c r="Q1146" i="1"/>
  <c r="T1146" i="1" s="1"/>
  <c r="S1145" i="1"/>
  <c r="U1145" i="1" s="1"/>
  <c r="R1145" i="1"/>
  <c r="Q1145" i="1"/>
  <c r="T1145" i="1" s="1"/>
  <c r="S1144" i="1"/>
  <c r="U1144" i="1" s="1"/>
  <c r="R1144" i="1"/>
  <c r="Q1144" i="1"/>
  <c r="T1144" i="1" s="1"/>
  <c r="S1143" i="1"/>
  <c r="U1143" i="1" s="1"/>
  <c r="R1143" i="1"/>
  <c r="Q1143" i="1"/>
  <c r="T1143" i="1" s="1"/>
  <c r="S1142" i="1"/>
  <c r="U1142" i="1" s="1"/>
  <c r="R1142" i="1"/>
  <c r="Q1142" i="1"/>
  <c r="T1142" i="1" s="1"/>
  <c r="S1141" i="1"/>
  <c r="U1141" i="1" s="1"/>
  <c r="R1141" i="1"/>
  <c r="Q1141" i="1"/>
  <c r="T1141" i="1" s="1"/>
  <c r="S1140" i="1"/>
  <c r="U1140" i="1" s="1"/>
  <c r="R1140" i="1"/>
  <c r="Q1140" i="1"/>
  <c r="T1140" i="1" s="1"/>
  <c r="S1139" i="1"/>
  <c r="U1139" i="1" s="1"/>
  <c r="R1139" i="1"/>
  <c r="Q1139" i="1"/>
  <c r="T1139" i="1" s="1"/>
  <c r="S1138" i="1"/>
  <c r="U1138" i="1" s="1"/>
  <c r="R1138" i="1"/>
  <c r="Q1138" i="1"/>
  <c r="T1138" i="1" s="1"/>
  <c r="S1137" i="1"/>
  <c r="U1137" i="1" s="1"/>
  <c r="R1137" i="1"/>
  <c r="Q1137" i="1"/>
  <c r="T1137" i="1" s="1"/>
  <c r="S1136" i="1"/>
  <c r="U1136" i="1" s="1"/>
  <c r="R1136" i="1"/>
  <c r="Q1136" i="1"/>
  <c r="T1136" i="1" s="1"/>
  <c r="S1135" i="1"/>
  <c r="U1135" i="1" s="1"/>
  <c r="R1135" i="1"/>
  <c r="Q1135" i="1"/>
  <c r="T1135" i="1" s="1"/>
  <c r="S1134" i="1"/>
  <c r="U1134" i="1" s="1"/>
  <c r="R1134" i="1"/>
  <c r="Q1134" i="1"/>
  <c r="T1134" i="1" s="1"/>
  <c r="S1133" i="1"/>
  <c r="U1133" i="1" s="1"/>
  <c r="R1133" i="1"/>
  <c r="Q1133" i="1"/>
  <c r="T1133" i="1" s="1"/>
  <c r="T1132" i="1"/>
  <c r="S1132" i="1"/>
  <c r="U1132" i="1" s="1"/>
  <c r="R1132" i="1"/>
  <c r="Q1132" i="1"/>
  <c r="S1131" i="1"/>
  <c r="U1131" i="1" s="1"/>
  <c r="R1131" i="1"/>
  <c r="Q1131" i="1"/>
  <c r="T1131" i="1" s="1"/>
  <c r="S1130" i="1"/>
  <c r="U1130" i="1" s="1"/>
  <c r="R1130" i="1"/>
  <c r="Q1130" i="1"/>
  <c r="T1130" i="1" s="1"/>
  <c r="S1129" i="1"/>
  <c r="U1129" i="1" s="1"/>
  <c r="R1129" i="1"/>
  <c r="Q1129" i="1"/>
  <c r="T1129" i="1" s="1"/>
  <c r="S1128" i="1"/>
  <c r="U1128" i="1" s="1"/>
  <c r="R1128" i="1"/>
  <c r="Q1128" i="1"/>
  <c r="T1128" i="1" s="1"/>
  <c r="S1127" i="1"/>
  <c r="U1127" i="1" s="1"/>
  <c r="R1127" i="1"/>
  <c r="Q1127" i="1"/>
  <c r="T1127" i="1" s="1"/>
  <c r="S1126" i="1"/>
  <c r="U1126" i="1" s="1"/>
  <c r="R1126" i="1"/>
  <c r="Q1126" i="1"/>
  <c r="T1126" i="1" s="1"/>
  <c r="S1125" i="1"/>
  <c r="U1125" i="1" s="1"/>
  <c r="R1125" i="1"/>
  <c r="Q1125" i="1"/>
  <c r="T1125" i="1" s="1"/>
  <c r="S1124" i="1"/>
  <c r="U1124" i="1" s="1"/>
  <c r="R1124" i="1"/>
  <c r="Q1124" i="1"/>
  <c r="T1124" i="1" s="1"/>
  <c r="S1123" i="1"/>
  <c r="U1123" i="1" s="1"/>
  <c r="R1123" i="1"/>
  <c r="Q1123" i="1"/>
  <c r="T1123" i="1" s="1"/>
  <c r="S1122" i="1"/>
  <c r="U1122" i="1" s="1"/>
  <c r="R1122" i="1"/>
  <c r="Q1122" i="1"/>
  <c r="T1122" i="1" s="1"/>
  <c r="S1121" i="1"/>
  <c r="U1121" i="1" s="1"/>
  <c r="R1121" i="1"/>
  <c r="Q1121" i="1"/>
  <c r="T1121" i="1" s="1"/>
  <c r="S1120" i="1"/>
  <c r="U1120" i="1" s="1"/>
  <c r="R1120" i="1"/>
  <c r="Q1120" i="1"/>
  <c r="T1120" i="1" s="1"/>
  <c r="S1119" i="1"/>
  <c r="U1119" i="1" s="1"/>
  <c r="R1119" i="1"/>
  <c r="Q1119" i="1"/>
  <c r="T1119" i="1" s="1"/>
  <c r="S1118" i="1"/>
  <c r="U1118" i="1" s="1"/>
  <c r="R1118" i="1"/>
  <c r="Q1118" i="1"/>
  <c r="T1118" i="1" s="1"/>
  <c r="S1117" i="1"/>
  <c r="U1117" i="1" s="1"/>
  <c r="R1117" i="1"/>
  <c r="Q1117" i="1"/>
  <c r="T1117" i="1" s="1"/>
  <c r="S1116" i="1"/>
  <c r="U1116" i="1" s="1"/>
  <c r="R1116" i="1"/>
  <c r="Q1116" i="1"/>
  <c r="T1116" i="1" s="1"/>
  <c r="S1115" i="1"/>
  <c r="U1115" i="1" s="1"/>
  <c r="R1115" i="1"/>
  <c r="Q1115" i="1"/>
  <c r="T1115" i="1" s="1"/>
  <c r="S1114" i="1"/>
  <c r="U1114" i="1" s="1"/>
  <c r="R1114" i="1"/>
  <c r="Q1114" i="1"/>
  <c r="T1114" i="1" s="1"/>
  <c r="S1113" i="1"/>
  <c r="U1113" i="1" s="1"/>
  <c r="R1113" i="1"/>
  <c r="Q1113" i="1"/>
  <c r="T1113" i="1" s="1"/>
  <c r="T1112" i="1"/>
  <c r="S1112" i="1"/>
  <c r="U1112" i="1" s="1"/>
  <c r="R1112" i="1"/>
  <c r="Q1112" i="1"/>
  <c r="S1111" i="1"/>
  <c r="U1111" i="1" s="1"/>
  <c r="R1111" i="1"/>
  <c r="Q1111" i="1"/>
  <c r="T1111" i="1" s="1"/>
  <c r="S1110" i="1"/>
  <c r="U1110" i="1" s="1"/>
  <c r="R1110" i="1"/>
  <c r="Q1110" i="1"/>
  <c r="T1110" i="1" s="1"/>
  <c r="S1109" i="1"/>
  <c r="U1109" i="1" s="1"/>
  <c r="R1109" i="1"/>
  <c r="Q1109" i="1"/>
  <c r="T1109" i="1" s="1"/>
  <c r="S1108" i="1"/>
  <c r="U1108" i="1" s="1"/>
  <c r="R1108" i="1"/>
  <c r="Q1108" i="1"/>
  <c r="T1108" i="1" s="1"/>
  <c r="S1107" i="1"/>
  <c r="U1107" i="1" s="1"/>
  <c r="R1107" i="1"/>
  <c r="Q1107" i="1"/>
  <c r="T1107" i="1" s="1"/>
  <c r="S1106" i="1"/>
  <c r="U1106" i="1" s="1"/>
  <c r="R1106" i="1"/>
  <c r="Q1106" i="1"/>
  <c r="T1106" i="1" s="1"/>
  <c r="S1105" i="1"/>
  <c r="U1105" i="1" s="1"/>
  <c r="R1105" i="1"/>
  <c r="Q1105" i="1"/>
  <c r="T1105" i="1" s="1"/>
  <c r="S1104" i="1"/>
  <c r="U1104" i="1" s="1"/>
  <c r="R1104" i="1"/>
  <c r="Q1104" i="1"/>
  <c r="T1104" i="1" s="1"/>
  <c r="S1103" i="1"/>
  <c r="U1103" i="1" s="1"/>
  <c r="R1103" i="1"/>
  <c r="Q1103" i="1"/>
  <c r="T1103" i="1" s="1"/>
  <c r="S1102" i="1"/>
  <c r="U1102" i="1" s="1"/>
  <c r="R1102" i="1"/>
  <c r="Q1102" i="1"/>
  <c r="T1102" i="1" s="1"/>
  <c r="S1101" i="1"/>
  <c r="U1101" i="1" s="1"/>
  <c r="R1101" i="1"/>
  <c r="Q1101" i="1"/>
  <c r="T1101" i="1" s="1"/>
  <c r="S1100" i="1"/>
  <c r="U1100" i="1" s="1"/>
  <c r="R1100" i="1"/>
  <c r="Q1100" i="1"/>
  <c r="T1100" i="1" s="1"/>
  <c r="S1099" i="1"/>
  <c r="U1099" i="1" s="1"/>
  <c r="R1099" i="1"/>
  <c r="Q1099" i="1"/>
  <c r="T1099" i="1" s="1"/>
  <c r="S1098" i="1"/>
  <c r="U1098" i="1" s="1"/>
  <c r="R1098" i="1"/>
  <c r="Q1098" i="1"/>
  <c r="T1098" i="1" s="1"/>
  <c r="S1097" i="1"/>
  <c r="U1097" i="1" s="1"/>
  <c r="R1097" i="1"/>
  <c r="Q1097" i="1"/>
  <c r="T1097" i="1" s="1"/>
  <c r="S1096" i="1"/>
  <c r="U1096" i="1" s="1"/>
  <c r="R1096" i="1"/>
  <c r="Q1096" i="1"/>
  <c r="T1096" i="1" s="1"/>
  <c r="S1095" i="1"/>
  <c r="U1095" i="1" s="1"/>
  <c r="R1095" i="1"/>
  <c r="Q1095" i="1"/>
  <c r="T1095" i="1" s="1"/>
  <c r="S1094" i="1"/>
  <c r="U1094" i="1" s="1"/>
  <c r="R1094" i="1"/>
  <c r="Q1094" i="1"/>
  <c r="T1094" i="1" s="1"/>
  <c r="S1093" i="1"/>
  <c r="U1093" i="1" s="1"/>
  <c r="R1093" i="1"/>
  <c r="Q1093" i="1"/>
  <c r="T1093" i="1" s="1"/>
  <c r="S1092" i="1"/>
  <c r="U1092" i="1" s="1"/>
  <c r="R1092" i="1"/>
  <c r="Q1092" i="1"/>
  <c r="T1092" i="1" s="1"/>
  <c r="S1091" i="1"/>
  <c r="U1091" i="1" s="1"/>
  <c r="R1091" i="1"/>
  <c r="Q1091" i="1"/>
  <c r="T1091" i="1" s="1"/>
  <c r="S1090" i="1"/>
  <c r="U1090" i="1" s="1"/>
  <c r="R1090" i="1"/>
  <c r="Q1090" i="1"/>
  <c r="T1090" i="1" s="1"/>
  <c r="S1089" i="1"/>
  <c r="U1089" i="1" s="1"/>
  <c r="R1089" i="1"/>
  <c r="Q1089" i="1"/>
  <c r="T1089" i="1" s="1"/>
  <c r="S1088" i="1"/>
  <c r="U1088" i="1" s="1"/>
  <c r="R1088" i="1"/>
  <c r="Q1088" i="1"/>
  <c r="T1088" i="1" s="1"/>
  <c r="S1087" i="1"/>
  <c r="U1087" i="1" s="1"/>
  <c r="R1087" i="1"/>
  <c r="Q1087" i="1"/>
  <c r="T1087" i="1" s="1"/>
  <c r="S1086" i="1"/>
  <c r="U1086" i="1" s="1"/>
  <c r="R1086" i="1"/>
  <c r="Q1086" i="1"/>
  <c r="T1086" i="1" s="1"/>
  <c r="S1085" i="1"/>
  <c r="U1085" i="1" s="1"/>
  <c r="R1085" i="1"/>
  <c r="Q1085" i="1"/>
  <c r="T1085" i="1" s="1"/>
  <c r="S1084" i="1"/>
  <c r="U1084" i="1" s="1"/>
  <c r="R1084" i="1"/>
  <c r="Q1084" i="1"/>
  <c r="T1084" i="1" s="1"/>
  <c r="S1083" i="1"/>
  <c r="U1083" i="1" s="1"/>
  <c r="R1083" i="1"/>
  <c r="Q1083" i="1"/>
  <c r="T1083" i="1" s="1"/>
  <c r="S1082" i="1"/>
  <c r="U1082" i="1" s="1"/>
  <c r="R1082" i="1"/>
  <c r="Q1082" i="1"/>
  <c r="T1082" i="1" s="1"/>
  <c r="S1081" i="1"/>
  <c r="U1081" i="1" s="1"/>
  <c r="R1081" i="1"/>
  <c r="Q1081" i="1"/>
  <c r="T1081" i="1" s="1"/>
  <c r="S1080" i="1"/>
  <c r="U1080" i="1" s="1"/>
  <c r="R1080" i="1"/>
  <c r="Q1080" i="1"/>
  <c r="T1080" i="1" s="1"/>
  <c r="S1079" i="1"/>
  <c r="U1079" i="1" s="1"/>
  <c r="R1079" i="1"/>
  <c r="Q1079" i="1"/>
  <c r="T1079" i="1" s="1"/>
  <c r="S1078" i="1"/>
  <c r="U1078" i="1" s="1"/>
  <c r="R1078" i="1"/>
  <c r="Q1078" i="1"/>
  <c r="T1078" i="1" s="1"/>
  <c r="S1077" i="1"/>
  <c r="U1077" i="1" s="1"/>
  <c r="R1077" i="1"/>
  <c r="Q1077" i="1"/>
  <c r="T1077" i="1" s="1"/>
  <c r="S1076" i="1"/>
  <c r="U1076" i="1" s="1"/>
  <c r="R1076" i="1"/>
  <c r="Q1076" i="1"/>
  <c r="T1076" i="1" s="1"/>
  <c r="S1075" i="1"/>
  <c r="U1075" i="1" s="1"/>
  <c r="R1075" i="1"/>
  <c r="Q1075" i="1"/>
  <c r="T1075" i="1" s="1"/>
  <c r="S1074" i="1"/>
  <c r="U1074" i="1" s="1"/>
  <c r="R1074" i="1"/>
  <c r="Q1074" i="1"/>
  <c r="T1074" i="1" s="1"/>
  <c r="S1073" i="1"/>
  <c r="U1073" i="1" s="1"/>
  <c r="R1073" i="1"/>
  <c r="Q1073" i="1"/>
  <c r="T1073" i="1" s="1"/>
  <c r="S1072" i="1"/>
  <c r="U1072" i="1" s="1"/>
  <c r="R1072" i="1"/>
  <c r="Q1072" i="1"/>
  <c r="T1072" i="1" s="1"/>
  <c r="S1071" i="1"/>
  <c r="U1071" i="1" s="1"/>
  <c r="R1071" i="1"/>
  <c r="Q1071" i="1"/>
  <c r="T1071" i="1" s="1"/>
  <c r="S1070" i="1"/>
  <c r="U1070" i="1" s="1"/>
  <c r="R1070" i="1"/>
  <c r="Q1070" i="1"/>
  <c r="T1070" i="1" s="1"/>
  <c r="S1069" i="1"/>
  <c r="U1069" i="1" s="1"/>
  <c r="R1069" i="1"/>
  <c r="Q1069" i="1"/>
  <c r="T1069" i="1" s="1"/>
  <c r="S1068" i="1"/>
  <c r="U1068" i="1" s="1"/>
  <c r="R1068" i="1"/>
  <c r="Q1068" i="1"/>
  <c r="T1068" i="1" s="1"/>
  <c r="S1067" i="1"/>
  <c r="U1067" i="1" s="1"/>
  <c r="R1067" i="1"/>
  <c r="Q1067" i="1"/>
  <c r="T1067" i="1" s="1"/>
  <c r="S1066" i="1"/>
  <c r="U1066" i="1" s="1"/>
  <c r="R1066" i="1"/>
  <c r="Q1066" i="1"/>
  <c r="T1066" i="1" s="1"/>
  <c r="S1065" i="1"/>
  <c r="U1065" i="1" s="1"/>
  <c r="R1065" i="1"/>
  <c r="Q1065" i="1"/>
  <c r="T1065" i="1" s="1"/>
  <c r="S1064" i="1"/>
  <c r="U1064" i="1" s="1"/>
  <c r="R1064" i="1"/>
  <c r="Q1064" i="1"/>
  <c r="T1064" i="1" s="1"/>
  <c r="S1063" i="1"/>
  <c r="U1063" i="1" s="1"/>
  <c r="R1063" i="1"/>
  <c r="Q1063" i="1"/>
  <c r="T1063" i="1" s="1"/>
  <c r="S1062" i="1"/>
  <c r="U1062" i="1" s="1"/>
  <c r="R1062" i="1"/>
  <c r="Q1062" i="1"/>
  <c r="T1062" i="1" s="1"/>
  <c r="S1061" i="1"/>
  <c r="U1061" i="1" s="1"/>
  <c r="R1061" i="1"/>
  <c r="Q1061" i="1"/>
  <c r="T1061" i="1" s="1"/>
  <c r="S1060" i="1"/>
  <c r="U1060" i="1" s="1"/>
  <c r="R1060" i="1"/>
  <c r="Q1060" i="1"/>
  <c r="T1060" i="1" s="1"/>
  <c r="S1059" i="1"/>
  <c r="U1059" i="1" s="1"/>
  <c r="R1059" i="1"/>
  <c r="Q1059" i="1"/>
  <c r="T1059" i="1" s="1"/>
  <c r="S1058" i="1"/>
  <c r="U1058" i="1" s="1"/>
  <c r="R1058" i="1"/>
  <c r="Q1058" i="1"/>
  <c r="T1058" i="1" s="1"/>
  <c r="S1057" i="1"/>
  <c r="U1057" i="1" s="1"/>
  <c r="R1057" i="1"/>
  <c r="Q1057" i="1"/>
  <c r="T1057" i="1" s="1"/>
  <c r="S1056" i="1"/>
  <c r="U1056" i="1" s="1"/>
  <c r="R1056" i="1"/>
  <c r="Q1056" i="1"/>
  <c r="T1056" i="1" s="1"/>
  <c r="S1055" i="1"/>
  <c r="U1055" i="1" s="1"/>
  <c r="R1055" i="1"/>
  <c r="Q1055" i="1"/>
  <c r="T1055" i="1" s="1"/>
  <c r="S1054" i="1"/>
  <c r="U1054" i="1" s="1"/>
  <c r="R1054" i="1"/>
  <c r="Q1054" i="1"/>
  <c r="T1054" i="1" s="1"/>
  <c r="S1053" i="1"/>
  <c r="U1053" i="1" s="1"/>
  <c r="R1053" i="1"/>
  <c r="Q1053" i="1"/>
  <c r="T1053" i="1" s="1"/>
  <c r="S1052" i="1"/>
  <c r="U1052" i="1" s="1"/>
  <c r="R1052" i="1"/>
  <c r="Q1052" i="1"/>
  <c r="T1052" i="1" s="1"/>
  <c r="S1051" i="1"/>
  <c r="U1051" i="1" s="1"/>
  <c r="R1051" i="1"/>
  <c r="Q1051" i="1"/>
  <c r="T1051" i="1" s="1"/>
  <c r="S1050" i="1"/>
  <c r="U1050" i="1" s="1"/>
  <c r="R1050" i="1"/>
  <c r="Q1050" i="1"/>
  <c r="T1050" i="1" s="1"/>
  <c r="S1049" i="1"/>
  <c r="U1049" i="1" s="1"/>
  <c r="R1049" i="1"/>
  <c r="Q1049" i="1"/>
  <c r="T1049" i="1" s="1"/>
  <c r="S1048" i="1"/>
  <c r="U1048" i="1" s="1"/>
  <c r="R1048" i="1"/>
  <c r="Q1048" i="1"/>
  <c r="T1048" i="1" s="1"/>
  <c r="S1047" i="1"/>
  <c r="U1047" i="1" s="1"/>
  <c r="R1047" i="1"/>
  <c r="Q1047" i="1"/>
  <c r="T1047" i="1" s="1"/>
  <c r="S1046" i="1"/>
  <c r="U1046" i="1" s="1"/>
  <c r="R1046" i="1"/>
  <c r="Q1046" i="1"/>
  <c r="T1046" i="1" s="1"/>
  <c r="S1045" i="1"/>
  <c r="U1045" i="1" s="1"/>
  <c r="R1045" i="1"/>
  <c r="Q1045" i="1"/>
  <c r="T1045" i="1" s="1"/>
  <c r="S1044" i="1"/>
  <c r="U1044" i="1" s="1"/>
  <c r="R1044" i="1"/>
  <c r="Q1044" i="1"/>
  <c r="T1044" i="1" s="1"/>
  <c r="S1043" i="1"/>
  <c r="U1043" i="1" s="1"/>
  <c r="R1043" i="1"/>
  <c r="Q1043" i="1"/>
  <c r="T1043" i="1" s="1"/>
  <c r="S1042" i="1"/>
  <c r="U1042" i="1" s="1"/>
  <c r="R1042" i="1"/>
  <c r="Q1042" i="1"/>
  <c r="T1042" i="1" s="1"/>
  <c r="S1041" i="1"/>
  <c r="U1041" i="1" s="1"/>
  <c r="R1041" i="1"/>
  <c r="Q1041" i="1"/>
  <c r="T1041" i="1" s="1"/>
  <c r="S1040" i="1"/>
  <c r="U1040" i="1" s="1"/>
  <c r="R1040" i="1"/>
  <c r="Q1040" i="1"/>
  <c r="T1040" i="1" s="1"/>
  <c r="S1039" i="1"/>
  <c r="U1039" i="1" s="1"/>
  <c r="R1039" i="1"/>
  <c r="Q1039" i="1"/>
  <c r="T1039" i="1" s="1"/>
  <c r="S1038" i="1"/>
  <c r="U1038" i="1" s="1"/>
  <c r="R1038" i="1"/>
  <c r="Q1038" i="1"/>
  <c r="T1038" i="1" s="1"/>
  <c r="S1037" i="1"/>
  <c r="U1037" i="1" s="1"/>
  <c r="R1037" i="1"/>
  <c r="Q1037" i="1"/>
  <c r="T1037" i="1" s="1"/>
  <c r="S1036" i="1"/>
  <c r="U1036" i="1" s="1"/>
  <c r="R1036" i="1"/>
  <c r="Q1036" i="1"/>
  <c r="T1036" i="1" s="1"/>
  <c r="S1035" i="1"/>
  <c r="U1035" i="1" s="1"/>
  <c r="R1035" i="1"/>
  <c r="Q1035" i="1"/>
  <c r="T1035" i="1" s="1"/>
  <c r="S1034" i="1"/>
  <c r="U1034" i="1" s="1"/>
  <c r="R1034" i="1"/>
  <c r="Q1034" i="1"/>
  <c r="T1034" i="1" s="1"/>
  <c r="S1033" i="1"/>
  <c r="U1033" i="1" s="1"/>
  <c r="R1033" i="1"/>
  <c r="Q1033" i="1"/>
  <c r="T1033" i="1" s="1"/>
  <c r="S1032" i="1"/>
  <c r="U1032" i="1" s="1"/>
  <c r="R1032" i="1"/>
  <c r="Q1032" i="1"/>
  <c r="T1032" i="1" s="1"/>
  <c r="S1031" i="1"/>
  <c r="U1031" i="1" s="1"/>
  <c r="R1031" i="1"/>
  <c r="Q1031" i="1"/>
  <c r="T1031" i="1" s="1"/>
  <c r="S1030" i="1"/>
  <c r="U1030" i="1" s="1"/>
  <c r="R1030" i="1"/>
  <c r="Q1030" i="1"/>
  <c r="T1030" i="1" s="1"/>
  <c r="S1029" i="1"/>
  <c r="U1029" i="1" s="1"/>
  <c r="R1029" i="1"/>
  <c r="Q1029" i="1"/>
  <c r="T1029" i="1" s="1"/>
  <c r="S1028" i="1"/>
  <c r="U1028" i="1" s="1"/>
  <c r="R1028" i="1"/>
  <c r="Q1028" i="1"/>
  <c r="T1028" i="1" s="1"/>
  <c r="S1027" i="1"/>
  <c r="U1027" i="1" s="1"/>
  <c r="R1027" i="1"/>
  <c r="Q1027" i="1"/>
  <c r="T1027" i="1" s="1"/>
  <c r="S1026" i="1"/>
  <c r="U1026" i="1" s="1"/>
  <c r="R1026" i="1"/>
  <c r="Q1026" i="1"/>
  <c r="T1026" i="1" s="1"/>
  <c r="S1025" i="1"/>
  <c r="U1025" i="1" s="1"/>
  <c r="R1025" i="1"/>
  <c r="Q1025" i="1"/>
  <c r="T1025" i="1" s="1"/>
  <c r="S1024" i="1"/>
  <c r="U1024" i="1" s="1"/>
  <c r="R1024" i="1"/>
  <c r="Q1024" i="1"/>
  <c r="T1024" i="1" s="1"/>
  <c r="S1023" i="1"/>
  <c r="U1023" i="1" s="1"/>
  <c r="R1023" i="1"/>
  <c r="Q1023" i="1"/>
  <c r="T1023" i="1" s="1"/>
  <c r="S1022" i="1"/>
  <c r="U1022" i="1" s="1"/>
  <c r="R1022" i="1"/>
  <c r="Q1022" i="1"/>
  <c r="T1022" i="1" s="1"/>
  <c r="S1021" i="1"/>
  <c r="U1021" i="1" s="1"/>
  <c r="R1021" i="1"/>
  <c r="Q1021" i="1"/>
  <c r="T1021" i="1" s="1"/>
  <c r="S1020" i="1"/>
  <c r="U1020" i="1" s="1"/>
  <c r="R1020" i="1"/>
  <c r="Q1020" i="1"/>
  <c r="T1020" i="1" s="1"/>
  <c r="S1019" i="1"/>
  <c r="U1019" i="1" s="1"/>
  <c r="R1019" i="1"/>
  <c r="Q1019" i="1"/>
  <c r="T1019" i="1" s="1"/>
  <c r="S1018" i="1"/>
  <c r="U1018" i="1" s="1"/>
  <c r="R1018" i="1"/>
  <c r="Q1018" i="1"/>
  <c r="T1018" i="1" s="1"/>
  <c r="S1017" i="1"/>
  <c r="U1017" i="1" s="1"/>
  <c r="R1017" i="1"/>
  <c r="Q1017" i="1"/>
  <c r="T1017" i="1" s="1"/>
  <c r="S1016" i="1"/>
  <c r="U1016" i="1" s="1"/>
  <c r="R1016" i="1"/>
  <c r="Q1016" i="1"/>
  <c r="T1016" i="1" s="1"/>
  <c r="S1015" i="1"/>
  <c r="U1015" i="1" s="1"/>
  <c r="R1015" i="1"/>
  <c r="Q1015" i="1"/>
  <c r="T1015" i="1" s="1"/>
  <c r="S1014" i="1"/>
  <c r="U1014" i="1" s="1"/>
  <c r="R1014" i="1"/>
  <c r="Q1014" i="1"/>
  <c r="T1014" i="1" s="1"/>
  <c r="S1013" i="1"/>
  <c r="U1013" i="1" s="1"/>
  <c r="R1013" i="1"/>
  <c r="Q1013" i="1"/>
  <c r="T1013" i="1" s="1"/>
  <c r="S1012" i="1"/>
  <c r="U1012" i="1" s="1"/>
  <c r="R1012" i="1"/>
  <c r="Q1012" i="1"/>
  <c r="T1012" i="1" s="1"/>
  <c r="S1011" i="1"/>
  <c r="U1011" i="1" s="1"/>
  <c r="R1011" i="1"/>
  <c r="Q1011" i="1"/>
  <c r="T1011" i="1" s="1"/>
  <c r="S1010" i="1"/>
  <c r="U1010" i="1" s="1"/>
  <c r="R1010" i="1"/>
  <c r="Q1010" i="1"/>
  <c r="T1010" i="1" s="1"/>
  <c r="S1009" i="1"/>
  <c r="U1009" i="1" s="1"/>
  <c r="R1009" i="1"/>
  <c r="Q1009" i="1"/>
  <c r="T1009" i="1" s="1"/>
  <c r="S1008" i="1"/>
  <c r="U1008" i="1" s="1"/>
  <c r="R1008" i="1"/>
  <c r="Q1008" i="1"/>
  <c r="T1008" i="1" s="1"/>
  <c r="S1007" i="1"/>
  <c r="U1007" i="1" s="1"/>
  <c r="R1007" i="1"/>
  <c r="Q1007" i="1"/>
  <c r="T1007" i="1" s="1"/>
  <c r="S1006" i="1"/>
  <c r="U1006" i="1" s="1"/>
  <c r="R1006" i="1"/>
  <c r="Q1006" i="1"/>
  <c r="T1006" i="1" s="1"/>
  <c r="S1005" i="1"/>
  <c r="U1005" i="1" s="1"/>
  <c r="R1005" i="1"/>
  <c r="Q1005" i="1"/>
  <c r="T1005" i="1" s="1"/>
  <c r="S1004" i="1"/>
  <c r="U1004" i="1" s="1"/>
  <c r="R1004" i="1"/>
  <c r="Q1004" i="1"/>
  <c r="T1004" i="1" s="1"/>
  <c r="S1003" i="1"/>
  <c r="U1003" i="1" s="1"/>
  <c r="R1003" i="1"/>
  <c r="Q1003" i="1"/>
  <c r="T1003" i="1" s="1"/>
  <c r="S1002" i="1"/>
  <c r="U1002" i="1" s="1"/>
  <c r="R1002" i="1"/>
  <c r="Q1002" i="1"/>
  <c r="T1002" i="1" s="1"/>
  <c r="S1001" i="1"/>
  <c r="U1001" i="1" s="1"/>
  <c r="R1001" i="1"/>
  <c r="Q1001" i="1"/>
  <c r="T1001" i="1" s="1"/>
  <c r="S1000" i="1"/>
  <c r="U1000" i="1" s="1"/>
  <c r="R1000" i="1"/>
  <c r="Q1000" i="1"/>
  <c r="T1000" i="1" s="1"/>
  <c r="S999" i="1"/>
  <c r="U999" i="1" s="1"/>
  <c r="R999" i="1"/>
  <c r="Q999" i="1"/>
  <c r="T999" i="1" s="1"/>
  <c r="S998" i="1"/>
  <c r="U998" i="1" s="1"/>
  <c r="R998" i="1"/>
  <c r="Q998" i="1"/>
  <c r="T998" i="1" s="1"/>
  <c r="S997" i="1"/>
  <c r="U997" i="1" s="1"/>
  <c r="R997" i="1"/>
  <c r="Q997" i="1"/>
  <c r="T997" i="1" s="1"/>
  <c r="S996" i="1"/>
  <c r="U996" i="1" s="1"/>
  <c r="R996" i="1"/>
  <c r="Q996" i="1"/>
  <c r="T996" i="1" s="1"/>
  <c r="S995" i="1"/>
  <c r="U995" i="1" s="1"/>
  <c r="R995" i="1"/>
  <c r="Q995" i="1"/>
  <c r="T995" i="1" s="1"/>
  <c r="S994" i="1"/>
  <c r="U994" i="1" s="1"/>
  <c r="R994" i="1"/>
  <c r="Q994" i="1"/>
  <c r="T994" i="1" s="1"/>
  <c r="S993" i="1"/>
  <c r="U993" i="1" s="1"/>
  <c r="R993" i="1"/>
  <c r="Q993" i="1"/>
  <c r="T993" i="1" s="1"/>
  <c r="S992" i="1"/>
  <c r="U992" i="1" s="1"/>
  <c r="R992" i="1"/>
  <c r="Q992" i="1"/>
  <c r="T992" i="1" s="1"/>
  <c r="S991" i="1"/>
  <c r="U991" i="1" s="1"/>
  <c r="R991" i="1"/>
  <c r="Q991" i="1"/>
  <c r="T991" i="1" s="1"/>
  <c r="S990" i="1"/>
  <c r="U990" i="1" s="1"/>
  <c r="R990" i="1"/>
  <c r="Q990" i="1"/>
  <c r="T990" i="1" s="1"/>
  <c r="S989" i="1"/>
  <c r="U989" i="1" s="1"/>
  <c r="R989" i="1"/>
  <c r="Q989" i="1"/>
  <c r="T989" i="1" s="1"/>
  <c r="S988" i="1"/>
  <c r="U988" i="1" s="1"/>
  <c r="R988" i="1"/>
  <c r="Q988" i="1"/>
  <c r="T988" i="1" s="1"/>
  <c r="S987" i="1"/>
  <c r="U987" i="1" s="1"/>
  <c r="R987" i="1"/>
  <c r="Q987" i="1"/>
  <c r="T987" i="1" s="1"/>
  <c r="S986" i="1"/>
  <c r="U986" i="1" s="1"/>
  <c r="R986" i="1"/>
  <c r="Q986" i="1"/>
  <c r="T986" i="1" s="1"/>
  <c r="S985" i="1"/>
  <c r="U985" i="1" s="1"/>
  <c r="R985" i="1"/>
  <c r="Q985" i="1"/>
  <c r="T985" i="1" s="1"/>
  <c r="S984" i="1"/>
  <c r="U984" i="1" s="1"/>
  <c r="R984" i="1"/>
  <c r="Q984" i="1"/>
  <c r="T984" i="1" s="1"/>
  <c r="S983" i="1"/>
  <c r="U983" i="1" s="1"/>
  <c r="R983" i="1"/>
  <c r="Q983" i="1"/>
  <c r="T983" i="1" s="1"/>
  <c r="S982" i="1"/>
  <c r="U982" i="1" s="1"/>
  <c r="R982" i="1"/>
  <c r="Q982" i="1"/>
  <c r="T982" i="1" s="1"/>
  <c r="S981" i="1"/>
  <c r="U981" i="1" s="1"/>
  <c r="R981" i="1"/>
  <c r="Q981" i="1"/>
  <c r="T981" i="1" s="1"/>
  <c r="S980" i="1"/>
  <c r="U980" i="1" s="1"/>
  <c r="R980" i="1"/>
  <c r="Q980" i="1"/>
  <c r="T980" i="1" s="1"/>
  <c r="S979" i="1"/>
  <c r="U979" i="1" s="1"/>
  <c r="R979" i="1"/>
  <c r="Q979" i="1"/>
  <c r="T979" i="1" s="1"/>
  <c r="S978" i="1"/>
  <c r="U978" i="1" s="1"/>
  <c r="R978" i="1"/>
  <c r="Q978" i="1"/>
  <c r="T978" i="1" s="1"/>
  <c r="S977" i="1"/>
  <c r="U977" i="1" s="1"/>
  <c r="R977" i="1"/>
  <c r="Q977" i="1"/>
  <c r="T977" i="1" s="1"/>
  <c r="S976" i="1"/>
  <c r="U976" i="1" s="1"/>
  <c r="R976" i="1"/>
  <c r="Q976" i="1"/>
  <c r="T976" i="1" s="1"/>
  <c r="S975" i="1"/>
  <c r="U975" i="1" s="1"/>
  <c r="R975" i="1"/>
  <c r="Q975" i="1"/>
  <c r="T975" i="1" s="1"/>
  <c r="S974" i="1"/>
  <c r="U974" i="1" s="1"/>
  <c r="R974" i="1"/>
  <c r="Q974" i="1"/>
  <c r="T974" i="1" s="1"/>
  <c r="S973" i="1"/>
  <c r="U973" i="1" s="1"/>
  <c r="R973" i="1"/>
  <c r="Q973" i="1"/>
  <c r="T973" i="1" s="1"/>
  <c r="S972" i="1"/>
  <c r="U972" i="1" s="1"/>
  <c r="R972" i="1"/>
  <c r="Q972" i="1"/>
  <c r="T972" i="1" s="1"/>
  <c r="S971" i="1"/>
  <c r="U971" i="1" s="1"/>
  <c r="R971" i="1"/>
  <c r="Q971" i="1"/>
  <c r="T971" i="1" s="1"/>
  <c r="S970" i="1"/>
  <c r="U970" i="1" s="1"/>
  <c r="R970" i="1"/>
  <c r="Q970" i="1"/>
  <c r="T970" i="1" s="1"/>
  <c r="S969" i="1"/>
  <c r="U969" i="1" s="1"/>
  <c r="R969" i="1"/>
  <c r="Q969" i="1"/>
  <c r="T969" i="1" s="1"/>
  <c r="S968" i="1"/>
  <c r="U968" i="1" s="1"/>
  <c r="R968" i="1"/>
  <c r="Q968" i="1"/>
  <c r="T968" i="1" s="1"/>
  <c r="S967" i="1"/>
  <c r="U967" i="1" s="1"/>
  <c r="R967" i="1"/>
  <c r="Q967" i="1"/>
  <c r="T967" i="1" s="1"/>
  <c r="S966" i="1"/>
  <c r="U966" i="1" s="1"/>
  <c r="R966" i="1"/>
  <c r="Q966" i="1"/>
  <c r="T966" i="1" s="1"/>
  <c r="S965" i="1"/>
  <c r="U965" i="1" s="1"/>
  <c r="R965" i="1"/>
  <c r="Q965" i="1"/>
  <c r="T965" i="1" s="1"/>
  <c r="S964" i="1"/>
  <c r="U964" i="1" s="1"/>
  <c r="R964" i="1"/>
  <c r="Q964" i="1"/>
  <c r="T964" i="1" s="1"/>
  <c r="S963" i="1"/>
  <c r="U963" i="1" s="1"/>
  <c r="R963" i="1"/>
  <c r="Q963" i="1"/>
  <c r="T963" i="1" s="1"/>
  <c r="S962" i="1"/>
  <c r="U962" i="1" s="1"/>
  <c r="R962" i="1"/>
  <c r="Q962" i="1"/>
  <c r="T962" i="1" s="1"/>
  <c r="S961" i="1"/>
  <c r="U961" i="1" s="1"/>
  <c r="R961" i="1"/>
  <c r="Q961" i="1"/>
  <c r="T961" i="1" s="1"/>
  <c r="S960" i="1"/>
  <c r="U960" i="1" s="1"/>
  <c r="R960" i="1"/>
  <c r="Q960" i="1"/>
  <c r="T960" i="1" s="1"/>
  <c r="S959" i="1"/>
  <c r="U959" i="1" s="1"/>
  <c r="R959" i="1"/>
  <c r="Q959" i="1"/>
  <c r="T959" i="1" s="1"/>
  <c r="S958" i="1"/>
  <c r="U958" i="1" s="1"/>
  <c r="R958" i="1"/>
  <c r="Q958" i="1"/>
  <c r="T958" i="1" s="1"/>
  <c r="S957" i="1"/>
  <c r="U957" i="1" s="1"/>
  <c r="R957" i="1"/>
  <c r="Q957" i="1"/>
  <c r="T957" i="1" s="1"/>
  <c r="S956" i="1"/>
  <c r="U956" i="1" s="1"/>
  <c r="R956" i="1"/>
  <c r="Q956" i="1"/>
  <c r="T956" i="1" s="1"/>
  <c r="S955" i="1"/>
  <c r="U955" i="1" s="1"/>
  <c r="R955" i="1"/>
  <c r="Q955" i="1"/>
  <c r="T955" i="1" s="1"/>
  <c r="S954" i="1"/>
  <c r="U954" i="1" s="1"/>
  <c r="R954" i="1"/>
  <c r="Q954" i="1"/>
  <c r="T954" i="1" s="1"/>
  <c r="S953" i="1"/>
  <c r="U953" i="1" s="1"/>
  <c r="R953" i="1"/>
  <c r="Q953" i="1"/>
  <c r="T953" i="1" s="1"/>
  <c r="S952" i="1"/>
  <c r="U952" i="1" s="1"/>
  <c r="R952" i="1"/>
  <c r="Q952" i="1"/>
  <c r="T952" i="1" s="1"/>
  <c r="S951" i="1"/>
  <c r="U951" i="1" s="1"/>
  <c r="R951" i="1"/>
  <c r="Q951" i="1"/>
  <c r="T951" i="1" s="1"/>
  <c r="S950" i="1"/>
  <c r="U950" i="1" s="1"/>
  <c r="R950" i="1"/>
  <c r="Q950" i="1"/>
  <c r="T950" i="1" s="1"/>
  <c r="S949" i="1"/>
  <c r="U949" i="1" s="1"/>
  <c r="R949" i="1"/>
  <c r="Q949" i="1"/>
  <c r="T949" i="1" s="1"/>
  <c r="S948" i="1"/>
  <c r="U948" i="1" s="1"/>
  <c r="R948" i="1"/>
  <c r="Q948" i="1"/>
  <c r="T948" i="1" s="1"/>
  <c r="S947" i="1"/>
  <c r="U947" i="1" s="1"/>
  <c r="R947" i="1"/>
  <c r="Q947" i="1"/>
  <c r="T947" i="1" s="1"/>
  <c r="S946" i="1"/>
  <c r="U946" i="1" s="1"/>
  <c r="R946" i="1"/>
  <c r="Q946" i="1"/>
  <c r="T946" i="1" s="1"/>
  <c r="S945" i="1"/>
  <c r="U945" i="1" s="1"/>
  <c r="R945" i="1"/>
  <c r="Q945" i="1"/>
  <c r="T945" i="1" s="1"/>
  <c r="S944" i="1"/>
  <c r="U944" i="1" s="1"/>
  <c r="R944" i="1"/>
  <c r="Q944" i="1"/>
  <c r="T944" i="1" s="1"/>
  <c r="S943" i="1"/>
  <c r="U943" i="1" s="1"/>
  <c r="R943" i="1"/>
  <c r="Q943" i="1"/>
  <c r="T943" i="1" s="1"/>
  <c r="S942" i="1"/>
  <c r="U942" i="1" s="1"/>
  <c r="R942" i="1"/>
  <c r="Q942" i="1"/>
  <c r="T942" i="1" s="1"/>
  <c r="S941" i="1"/>
  <c r="U941" i="1" s="1"/>
  <c r="R941" i="1"/>
  <c r="Q941" i="1"/>
  <c r="T941" i="1" s="1"/>
  <c r="S940" i="1"/>
  <c r="U940" i="1" s="1"/>
  <c r="R940" i="1"/>
  <c r="Q940" i="1"/>
  <c r="T940" i="1" s="1"/>
  <c r="S939" i="1"/>
  <c r="U939" i="1" s="1"/>
  <c r="R939" i="1"/>
  <c r="Q939" i="1"/>
  <c r="T939" i="1" s="1"/>
  <c r="S938" i="1"/>
  <c r="U938" i="1" s="1"/>
  <c r="R938" i="1"/>
  <c r="Q938" i="1"/>
  <c r="T938" i="1" s="1"/>
  <c r="S937" i="1"/>
  <c r="U937" i="1" s="1"/>
  <c r="R937" i="1"/>
  <c r="Q937" i="1"/>
  <c r="T937" i="1" s="1"/>
  <c r="S936" i="1"/>
  <c r="U936" i="1" s="1"/>
  <c r="R936" i="1"/>
  <c r="Q936" i="1"/>
  <c r="T936" i="1" s="1"/>
  <c r="S935" i="1"/>
  <c r="U935" i="1" s="1"/>
  <c r="R935" i="1"/>
  <c r="Q935" i="1"/>
  <c r="T935" i="1" s="1"/>
  <c r="S934" i="1"/>
  <c r="U934" i="1" s="1"/>
  <c r="R934" i="1"/>
  <c r="Q934" i="1"/>
  <c r="T934" i="1" s="1"/>
  <c r="S933" i="1"/>
  <c r="U933" i="1" s="1"/>
  <c r="R933" i="1"/>
  <c r="Q933" i="1"/>
  <c r="T933" i="1" s="1"/>
  <c r="S932" i="1"/>
  <c r="U932" i="1" s="1"/>
  <c r="R932" i="1"/>
  <c r="Q932" i="1"/>
  <c r="T932" i="1" s="1"/>
  <c r="S931" i="1"/>
  <c r="U931" i="1" s="1"/>
  <c r="R931" i="1"/>
  <c r="Q931" i="1"/>
  <c r="T931" i="1" s="1"/>
  <c r="S930" i="1"/>
  <c r="U930" i="1" s="1"/>
  <c r="R930" i="1"/>
  <c r="Q930" i="1"/>
  <c r="T930" i="1" s="1"/>
  <c r="S929" i="1"/>
  <c r="U929" i="1" s="1"/>
  <c r="R929" i="1"/>
  <c r="Q929" i="1"/>
  <c r="T929" i="1" s="1"/>
  <c r="S928" i="1"/>
  <c r="U928" i="1" s="1"/>
  <c r="R928" i="1"/>
  <c r="Q928" i="1"/>
  <c r="T928" i="1" s="1"/>
  <c r="S927" i="1"/>
  <c r="U927" i="1" s="1"/>
  <c r="R927" i="1"/>
  <c r="Q927" i="1"/>
  <c r="T927" i="1" s="1"/>
  <c r="S926" i="1"/>
  <c r="U926" i="1" s="1"/>
  <c r="R926" i="1"/>
  <c r="Q926" i="1"/>
  <c r="T926" i="1" s="1"/>
  <c r="S925" i="1"/>
  <c r="U925" i="1" s="1"/>
  <c r="R925" i="1"/>
  <c r="Q925" i="1"/>
  <c r="T925" i="1" s="1"/>
  <c r="S924" i="1"/>
  <c r="U924" i="1" s="1"/>
  <c r="R924" i="1"/>
  <c r="Q924" i="1"/>
  <c r="T924" i="1" s="1"/>
  <c r="S923" i="1"/>
  <c r="U923" i="1" s="1"/>
  <c r="R923" i="1"/>
  <c r="Q923" i="1"/>
  <c r="T923" i="1" s="1"/>
  <c r="S922" i="1"/>
  <c r="U922" i="1" s="1"/>
  <c r="R922" i="1"/>
  <c r="Q922" i="1"/>
  <c r="T922" i="1" s="1"/>
  <c r="S921" i="1"/>
  <c r="U921" i="1" s="1"/>
  <c r="R921" i="1"/>
  <c r="Q921" i="1"/>
  <c r="T921" i="1" s="1"/>
  <c r="S920" i="1"/>
  <c r="U920" i="1" s="1"/>
  <c r="R920" i="1"/>
  <c r="Q920" i="1"/>
  <c r="T920" i="1" s="1"/>
  <c r="S919" i="1"/>
  <c r="U919" i="1" s="1"/>
  <c r="R919" i="1"/>
  <c r="Q919" i="1"/>
  <c r="T919" i="1" s="1"/>
  <c r="S918" i="1"/>
  <c r="U918" i="1" s="1"/>
  <c r="R918" i="1"/>
  <c r="Q918" i="1"/>
  <c r="T918" i="1" s="1"/>
  <c r="S917" i="1"/>
  <c r="U917" i="1" s="1"/>
  <c r="R917" i="1"/>
  <c r="Q917" i="1"/>
  <c r="T917" i="1" s="1"/>
  <c r="S916" i="1"/>
  <c r="U916" i="1" s="1"/>
  <c r="R916" i="1"/>
  <c r="Q916" i="1"/>
  <c r="T916" i="1" s="1"/>
  <c r="S915" i="1"/>
  <c r="U915" i="1" s="1"/>
  <c r="R915" i="1"/>
  <c r="Q915" i="1"/>
  <c r="T915" i="1" s="1"/>
  <c r="S914" i="1"/>
  <c r="U914" i="1" s="1"/>
  <c r="R914" i="1"/>
  <c r="Q914" i="1"/>
  <c r="T914" i="1" s="1"/>
  <c r="S913" i="1"/>
  <c r="U913" i="1" s="1"/>
  <c r="R913" i="1"/>
  <c r="Q913" i="1"/>
  <c r="T913" i="1" s="1"/>
  <c r="S912" i="1"/>
  <c r="U912" i="1" s="1"/>
  <c r="R912" i="1"/>
  <c r="Q912" i="1"/>
  <c r="T912" i="1" s="1"/>
  <c r="S911" i="1"/>
  <c r="U911" i="1" s="1"/>
  <c r="R911" i="1"/>
  <c r="Q911" i="1"/>
  <c r="T911" i="1" s="1"/>
  <c r="S910" i="1"/>
  <c r="U910" i="1" s="1"/>
  <c r="R910" i="1"/>
  <c r="Q910" i="1"/>
  <c r="T910" i="1" s="1"/>
  <c r="S909" i="1"/>
  <c r="U909" i="1" s="1"/>
  <c r="R909" i="1"/>
  <c r="Q909" i="1"/>
  <c r="T909" i="1" s="1"/>
  <c r="S908" i="1"/>
  <c r="U908" i="1" s="1"/>
  <c r="R908" i="1"/>
  <c r="Q908" i="1"/>
  <c r="T908" i="1" s="1"/>
  <c r="S907" i="1"/>
  <c r="U907" i="1" s="1"/>
  <c r="R907" i="1"/>
  <c r="Q907" i="1"/>
  <c r="T907" i="1" s="1"/>
  <c r="S906" i="1"/>
  <c r="U906" i="1" s="1"/>
  <c r="R906" i="1"/>
  <c r="Q906" i="1"/>
  <c r="T906" i="1" s="1"/>
  <c r="S905" i="1"/>
  <c r="U905" i="1" s="1"/>
  <c r="R905" i="1"/>
  <c r="Q905" i="1"/>
  <c r="T905" i="1" s="1"/>
  <c r="S904" i="1"/>
  <c r="U904" i="1" s="1"/>
  <c r="R904" i="1"/>
  <c r="Q904" i="1"/>
  <c r="T904" i="1" s="1"/>
  <c r="S903" i="1"/>
  <c r="U903" i="1" s="1"/>
  <c r="R903" i="1"/>
  <c r="Q903" i="1"/>
  <c r="T903" i="1" s="1"/>
  <c r="S902" i="1"/>
  <c r="U902" i="1" s="1"/>
  <c r="R902" i="1"/>
  <c r="Q902" i="1"/>
  <c r="T902" i="1" s="1"/>
  <c r="S901" i="1"/>
  <c r="U901" i="1" s="1"/>
  <c r="R901" i="1"/>
  <c r="Q901" i="1"/>
  <c r="T901" i="1" s="1"/>
  <c r="S900" i="1"/>
  <c r="U900" i="1" s="1"/>
  <c r="R900" i="1"/>
  <c r="Q900" i="1"/>
  <c r="T900" i="1" s="1"/>
  <c r="S899" i="1"/>
  <c r="U899" i="1" s="1"/>
  <c r="R899" i="1"/>
  <c r="Q899" i="1"/>
  <c r="T899" i="1" s="1"/>
  <c r="S898" i="1"/>
  <c r="U898" i="1" s="1"/>
  <c r="R898" i="1"/>
  <c r="Q898" i="1"/>
  <c r="T898" i="1" s="1"/>
  <c r="S897" i="1"/>
  <c r="U897" i="1" s="1"/>
  <c r="R897" i="1"/>
  <c r="Q897" i="1"/>
  <c r="T897" i="1" s="1"/>
  <c r="S896" i="1"/>
  <c r="U896" i="1" s="1"/>
  <c r="R896" i="1"/>
  <c r="Q896" i="1"/>
  <c r="T896" i="1" s="1"/>
  <c r="S895" i="1"/>
  <c r="U895" i="1" s="1"/>
  <c r="R895" i="1"/>
  <c r="Q895" i="1"/>
  <c r="T895" i="1" s="1"/>
  <c r="S894" i="1"/>
  <c r="U894" i="1" s="1"/>
  <c r="R894" i="1"/>
  <c r="Q894" i="1"/>
  <c r="T894" i="1" s="1"/>
  <c r="S893" i="1"/>
  <c r="U893" i="1" s="1"/>
  <c r="R893" i="1"/>
  <c r="Q893" i="1"/>
  <c r="T893" i="1" s="1"/>
  <c r="S892" i="1"/>
  <c r="U892" i="1" s="1"/>
  <c r="R892" i="1"/>
  <c r="Q892" i="1"/>
  <c r="T892" i="1" s="1"/>
  <c r="S891" i="1"/>
  <c r="U891" i="1" s="1"/>
  <c r="R891" i="1"/>
  <c r="Q891" i="1"/>
  <c r="T891" i="1" s="1"/>
  <c r="S890" i="1"/>
  <c r="U890" i="1" s="1"/>
  <c r="R890" i="1"/>
  <c r="Q890" i="1"/>
  <c r="T890" i="1" s="1"/>
  <c r="S889" i="1"/>
  <c r="U889" i="1" s="1"/>
  <c r="R889" i="1"/>
  <c r="Q889" i="1"/>
  <c r="T889" i="1" s="1"/>
  <c r="S888" i="1"/>
  <c r="U888" i="1" s="1"/>
  <c r="R888" i="1"/>
  <c r="Q888" i="1"/>
  <c r="T888" i="1" s="1"/>
  <c r="S887" i="1"/>
  <c r="U887" i="1" s="1"/>
  <c r="R887" i="1"/>
  <c r="Q887" i="1"/>
  <c r="T887" i="1" s="1"/>
  <c r="S886" i="1"/>
  <c r="U886" i="1" s="1"/>
  <c r="R886" i="1"/>
  <c r="Q886" i="1"/>
  <c r="T886" i="1" s="1"/>
  <c r="S885" i="1"/>
  <c r="U885" i="1" s="1"/>
  <c r="R885" i="1"/>
  <c r="Q885" i="1"/>
  <c r="T885" i="1" s="1"/>
  <c r="S884" i="1"/>
  <c r="U884" i="1" s="1"/>
  <c r="R884" i="1"/>
  <c r="Q884" i="1"/>
  <c r="T884" i="1" s="1"/>
  <c r="S883" i="1"/>
  <c r="U883" i="1" s="1"/>
  <c r="R883" i="1"/>
  <c r="Q883" i="1"/>
  <c r="T883" i="1" s="1"/>
  <c r="S882" i="1"/>
  <c r="U882" i="1" s="1"/>
  <c r="R882" i="1"/>
  <c r="Q882" i="1"/>
  <c r="T882" i="1" s="1"/>
  <c r="S881" i="1"/>
  <c r="U881" i="1" s="1"/>
  <c r="R881" i="1"/>
  <c r="Q881" i="1"/>
  <c r="T881" i="1" s="1"/>
  <c r="S880" i="1"/>
  <c r="U880" i="1" s="1"/>
  <c r="R880" i="1"/>
  <c r="Q880" i="1"/>
  <c r="T880" i="1" s="1"/>
  <c r="S879" i="1"/>
  <c r="U879" i="1" s="1"/>
  <c r="R879" i="1"/>
  <c r="Q879" i="1"/>
  <c r="T879" i="1" s="1"/>
  <c r="S878" i="1"/>
  <c r="U878" i="1" s="1"/>
  <c r="R878" i="1"/>
  <c r="Q878" i="1"/>
  <c r="T878" i="1" s="1"/>
  <c r="S877" i="1"/>
  <c r="U877" i="1" s="1"/>
  <c r="R877" i="1"/>
  <c r="Q877" i="1"/>
  <c r="T877" i="1" s="1"/>
  <c r="S876" i="1"/>
  <c r="U876" i="1" s="1"/>
  <c r="R876" i="1"/>
  <c r="Q876" i="1"/>
  <c r="T876" i="1" s="1"/>
  <c r="S875" i="1"/>
  <c r="U875" i="1" s="1"/>
  <c r="R875" i="1"/>
  <c r="Q875" i="1"/>
  <c r="T875" i="1" s="1"/>
  <c r="S874" i="1"/>
  <c r="U874" i="1" s="1"/>
  <c r="R874" i="1"/>
  <c r="Q874" i="1"/>
  <c r="T874" i="1" s="1"/>
  <c r="S873" i="1"/>
  <c r="U873" i="1" s="1"/>
  <c r="R873" i="1"/>
  <c r="Q873" i="1"/>
  <c r="T873" i="1" s="1"/>
  <c r="S872" i="1"/>
  <c r="U872" i="1" s="1"/>
  <c r="R872" i="1"/>
  <c r="Q872" i="1"/>
  <c r="T872" i="1" s="1"/>
  <c r="S871" i="1"/>
  <c r="U871" i="1" s="1"/>
  <c r="R871" i="1"/>
  <c r="Q871" i="1"/>
  <c r="T871" i="1" s="1"/>
  <c r="S870" i="1"/>
  <c r="U870" i="1" s="1"/>
  <c r="R870" i="1"/>
  <c r="Q870" i="1"/>
  <c r="T870" i="1" s="1"/>
  <c r="S869" i="1"/>
  <c r="U869" i="1" s="1"/>
  <c r="R869" i="1"/>
  <c r="Q869" i="1"/>
  <c r="T869" i="1" s="1"/>
  <c r="S868" i="1"/>
  <c r="U868" i="1" s="1"/>
  <c r="R868" i="1"/>
  <c r="Q868" i="1"/>
  <c r="T868" i="1" s="1"/>
  <c r="S867" i="1"/>
  <c r="U867" i="1" s="1"/>
  <c r="R867" i="1"/>
  <c r="Q867" i="1"/>
  <c r="T867" i="1" s="1"/>
  <c r="S866" i="1"/>
  <c r="U866" i="1" s="1"/>
  <c r="R866" i="1"/>
  <c r="Q866" i="1"/>
  <c r="T866" i="1" s="1"/>
  <c r="S865" i="1"/>
  <c r="U865" i="1" s="1"/>
  <c r="R865" i="1"/>
  <c r="Q865" i="1"/>
  <c r="T865" i="1" s="1"/>
  <c r="S864" i="1"/>
  <c r="U864" i="1" s="1"/>
  <c r="R864" i="1"/>
  <c r="Q864" i="1"/>
  <c r="T864" i="1" s="1"/>
  <c r="S863" i="1"/>
  <c r="U863" i="1" s="1"/>
  <c r="R863" i="1"/>
  <c r="Q863" i="1"/>
  <c r="T863" i="1" s="1"/>
  <c r="S862" i="1"/>
  <c r="U862" i="1" s="1"/>
  <c r="R862" i="1"/>
  <c r="Q862" i="1"/>
  <c r="T862" i="1" s="1"/>
  <c r="S861" i="1"/>
  <c r="U861" i="1" s="1"/>
  <c r="R861" i="1"/>
  <c r="Q861" i="1"/>
  <c r="T861" i="1" s="1"/>
  <c r="S860" i="1"/>
  <c r="U860" i="1" s="1"/>
  <c r="R860" i="1"/>
  <c r="Q860" i="1"/>
  <c r="T860" i="1" s="1"/>
  <c r="S859" i="1"/>
  <c r="U859" i="1" s="1"/>
  <c r="R859" i="1"/>
  <c r="Q859" i="1"/>
  <c r="T859" i="1" s="1"/>
  <c r="S858" i="1"/>
  <c r="U858" i="1" s="1"/>
  <c r="R858" i="1"/>
  <c r="Q858" i="1"/>
  <c r="T858" i="1" s="1"/>
  <c r="S857" i="1"/>
  <c r="U857" i="1" s="1"/>
  <c r="R857" i="1"/>
  <c r="Q857" i="1"/>
  <c r="T857" i="1" s="1"/>
  <c r="S856" i="1"/>
  <c r="U856" i="1" s="1"/>
  <c r="R856" i="1"/>
  <c r="Q856" i="1"/>
  <c r="T856" i="1" s="1"/>
  <c r="S855" i="1"/>
  <c r="U855" i="1" s="1"/>
  <c r="R855" i="1"/>
  <c r="Q855" i="1"/>
  <c r="T855" i="1" s="1"/>
  <c r="S854" i="1"/>
  <c r="U854" i="1" s="1"/>
  <c r="R854" i="1"/>
  <c r="Q854" i="1"/>
  <c r="T854" i="1" s="1"/>
  <c r="S853" i="1"/>
  <c r="U853" i="1" s="1"/>
  <c r="R853" i="1"/>
  <c r="Q853" i="1"/>
  <c r="T853" i="1" s="1"/>
  <c r="S852" i="1"/>
  <c r="U852" i="1" s="1"/>
  <c r="R852" i="1"/>
  <c r="Q852" i="1"/>
  <c r="T852" i="1" s="1"/>
  <c r="S851" i="1"/>
  <c r="U851" i="1" s="1"/>
  <c r="R851" i="1"/>
  <c r="Q851" i="1"/>
  <c r="T851" i="1" s="1"/>
  <c r="S850" i="1"/>
  <c r="U850" i="1" s="1"/>
  <c r="R850" i="1"/>
  <c r="Q850" i="1"/>
  <c r="T850" i="1" s="1"/>
  <c r="S849" i="1"/>
  <c r="U849" i="1" s="1"/>
  <c r="R849" i="1"/>
  <c r="Q849" i="1"/>
  <c r="T849" i="1" s="1"/>
  <c r="S848" i="1"/>
  <c r="U848" i="1" s="1"/>
  <c r="R848" i="1"/>
  <c r="Q848" i="1"/>
  <c r="T848" i="1" s="1"/>
  <c r="S847" i="1"/>
  <c r="U847" i="1" s="1"/>
  <c r="R847" i="1"/>
  <c r="Q847" i="1"/>
  <c r="T847" i="1" s="1"/>
  <c r="S846" i="1"/>
  <c r="U846" i="1" s="1"/>
  <c r="R846" i="1"/>
  <c r="Q846" i="1"/>
  <c r="T846" i="1" s="1"/>
  <c r="S845" i="1"/>
  <c r="U845" i="1" s="1"/>
  <c r="R845" i="1"/>
  <c r="Q845" i="1"/>
  <c r="T845" i="1" s="1"/>
  <c r="S844" i="1"/>
  <c r="U844" i="1" s="1"/>
  <c r="R844" i="1"/>
  <c r="Q844" i="1"/>
  <c r="T844" i="1" s="1"/>
  <c r="S843" i="1"/>
  <c r="U843" i="1" s="1"/>
  <c r="R843" i="1"/>
  <c r="Q843" i="1"/>
  <c r="T843" i="1" s="1"/>
  <c r="S842" i="1"/>
  <c r="U842" i="1" s="1"/>
  <c r="R842" i="1"/>
  <c r="Q842" i="1"/>
  <c r="T842" i="1" s="1"/>
  <c r="S841" i="1"/>
  <c r="U841" i="1" s="1"/>
  <c r="R841" i="1"/>
  <c r="Q841" i="1"/>
  <c r="T841" i="1" s="1"/>
  <c r="S840" i="1"/>
  <c r="U840" i="1" s="1"/>
  <c r="R840" i="1"/>
  <c r="Q840" i="1"/>
  <c r="T840" i="1" s="1"/>
  <c r="S839" i="1"/>
  <c r="U839" i="1" s="1"/>
  <c r="R839" i="1"/>
  <c r="Q839" i="1"/>
  <c r="T839" i="1" s="1"/>
  <c r="S838" i="1"/>
  <c r="U838" i="1" s="1"/>
  <c r="R838" i="1"/>
  <c r="Q838" i="1"/>
  <c r="T838" i="1" s="1"/>
  <c r="S837" i="1"/>
  <c r="U837" i="1" s="1"/>
  <c r="R837" i="1"/>
  <c r="Q837" i="1"/>
  <c r="T837" i="1" s="1"/>
  <c r="S836" i="1"/>
  <c r="U836" i="1" s="1"/>
  <c r="R836" i="1"/>
  <c r="Q836" i="1"/>
  <c r="T836" i="1" s="1"/>
  <c r="S835" i="1"/>
  <c r="U835" i="1" s="1"/>
  <c r="R835" i="1"/>
  <c r="Q835" i="1"/>
  <c r="T835" i="1" s="1"/>
  <c r="S834" i="1"/>
  <c r="U834" i="1" s="1"/>
  <c r="R834" i="1"/>
  <c r="Q834" i="1"/>
  <c r="T834" i="1" s="1"/>
  <c r="S833" i="1"/>
  <c r="U833" i="1" s="1"/>
  <c r="R833" i="1"/>
  <c r="Q833" i="1"/>
  <c r="T833" i="1" s="1"/>
  <c r="S832" i="1"/>
  <c r="U832" i="1" s="1"/>
  <c r="R832" i="1"/>
  <c r="Q832" i="1"/>
  <c r="T832" i="1" s="1"/>
  <c r="S831" i="1"/>
  <c r="U831" i="1" s="1"/>
  <c r="R831" i="1"/>
  <c r="Q831" i="1"/>
  <c r="T831" i="1" s="1"/>
  <c r="S830" i="1"/>
  <c r="U830" i="1" s="1"/>
  <c r="R830" i="1"/>
  <c r="Q830" i="1"/>
  <c r="T830" i="1" s="1"/>
  <c r="S829" i="1"/>
  <c r="U829" i="1" s="1"/>
  <c r="R829" i="1"/>
  <c r="Q829" i="1"/>
  <c r="T829" i="1" s="1"/>
  <c r="S828" i="1"/>
  <c r="U828" i="1" s="1"/>
  <c r="R828" i="1"/>
  <c r="Q828" i="1"/>
  <c r="T828" i="1" s="1"/>
  <c r="S827" i="1"/>
  <c r="U827" i="1" s="1"/>
  <c r="R827" i="1"/>
  <c r="Q827" i="1"/>
  <c r="T827" i="1" s="1"/>
  <c r="S826" i="1"/>
  <c r="U826" i="1" s="1"/>
  <c r="R826" i="1"/>
  <c r="Q826" i="1"/>
  <c r="T826" i="1" s="1"/>
  <c r="S825" i="1"/>
  <c r="U825" i="1" s="1"/>
  <c r="R825" i="1"/>
  <c r="Q825" i="1"/>
  <c r="T825" i="1" s="1"/>
  <c r="S824" i="1"/>
  <c r="U824" i="1" s="1"/>
  <c r="R824" i="1"/>
  <c r="Q824" i="1"/>
  <c r="T824" i="1" s="1"/>
  <c r="S823" i="1"/>
  <c r="U823" i="1" s="1"/>
  <c r="R823" i="1"/>
  <c r="Q823" i="1"/>
  <c r="T823" i="1" s="1"/>
  <c r="S822" i="1"/>
  <c r="U822" i="1" s="1"/>
  <c r="R822" i="1"/>
  <c r="Q822" i="1"/>
  <c r="T822" i="1" s="1"/>
  <c r="S821" i="1"/>
  <c r="U821" i="1" s="1"/>
  <c r="R821" i="1"/>
  <c r="Q821" i="1"/>
  <c r="T821" i="1" s="1"/>
  <c r="S820" i="1"/>
  <c r="U820" i="1" s="1"/>
  <c r="R820" i="1"/>
  <c r="Q820" i="1"/>
  <c r="T820" i="1" s="1"/>
  <c r="S819" i="1"/>
  <c r="U819" i="1" s="1"/>
  <c r="R819" i="1"/>
  <c r="Q819" i="1"/>
  <c r="T819" i="1" s="1"/>
  <c r="S818" i="1"/>
  <c r="U818" i="1" s="1"/>
  <c r="R818" i="1"/>
  <c r="Q818" i="1"/>
  <c r="T818" i="1" s="1"/>
  <c r="S817" i="1"/>
  <c r="U817" i="1" s="1"/>
  <c r="R817" i="1"/>
  <c r="Q817" i="1"/>
  <c r="T817" i="1" s="1"/>
  <c r="S816" i="1"/>
  <c r="U816" i="1" s="1"/>
  <c r="R816" i="1"/>
  <c r="Q816" i="1"/>
  <c r="T816" i="1" s="1"/>
  <c r="S815" i="1"/>
  <c r="U815" i="1" s="1"/>
  <c r="R815" i="1"/>
  <c r="Q815" i="1"/>
  <c r="T815" i="1" s="1"/>
  <c r="S814" i="1"/>
  <c r="U814" i="1" s="1"/>
  <c r="R814" i="1"/>
  <c r="Q814" i="1"/>
  <c r="T814" i="1" s="1"/>
  <c r="S813" i="1"/>
  <c r="U813" i="1" s="1"/>
  <c r="R813" i="1"/>
  <c r="Q813" i="1"/>
  <c r="T813" i="1" s="1"/>
  <c r="S812" i="1"/>
  <c r="U812" i="1" s="1"/>
  <c r="R812" i="1"/>
  <c r="Q812" i="1"/>
  <c r="T812" i="1" s="1"/>
  <c r="S811" i="1"/>
  <c r="U811" i="1" s="1"/>
  <c r="R811" i="1"/>
  <c r="Q811" i="1"/>
  <c r="T811" i="1" s="1"/>
  <c r="S810" i="1"/>
  <c r="U810" i="1" s="1"/>
  <c r="R810" i="1"/>
  <c r="Q810" i="1"/>
  <c r="T810" i="1" s="1"/>
  <c r="S809" i="1"/>
  <c r="U809" i="1" s="1"/>
  <c r="R809" i="1"/>
  <c r="Q809" i="1"/>
  <c r="T809" i="1" s="1"/>
  <c r="S808" i="1"/>
  <c r="U808" i="1" s="1"/>
  <c r="R808" i="1"/>
  <c r="Q808" i="1"/>
  <c r="T808" i="1" s="1"/>
  <c r="S807" i="1"/>
  <c r="U807" i="1" s="1"/>
  <c r="R807" i="1"/>
  <c r="Q807" i="1"/>
  <c r="T807" i="1" s="1"/>
  <c r="S806" i="1"/>
  <c r="U806" i="1" s="1"/>
  <c r="R806" i="1"/>
  <c r="Q806" i="1"/>
  <c r="T806" i="1" s="1"/>
  <c r="S805" i="1"/>
  <c r="U805" i="1" s="1"/>
  <c r="R805" i="1"/>
  <c r="Q805" i="1"/>
  <c r="T805" i="1" s="1"/>
  <c r="S804" i="1"/>
  <c r="U804" i="1" s="1"/>
  <c r="R804" i="1"/>
  <c r="Q804" i="1"/>
  <c r="T804" i="1" s="1"/>
  <c r="S803" i="1"/>
  <c r="U803" i="1" s="1"/>
  <c r="R803" i="1"/>
  <c r="Q803" i="1"/>
  <c r="T803" i="1" s="1"/>
  <c r="S802" i="1"/>
  <c r="U802" i="1" s="1"/>
  <c r="R802" i="1"/>
  <c r="Q802" i="1"/>
  <c r="T802" i="1" s="1"/>
  <c r="S801" i="1"/>
  <c r="U801" i="1" s="1"/>
  <c r="R801" i="1"/>
  <c r="Q801" i="1"/>
  <c r="T801" i="1" s="1"/>
  <c r="S800" i="1"/>
  <c r="U800" i="1" s="1"/>
  <c r="R800" i="1"/>
  <c r="Q800" i="1"/>
  <c r="T800" i="1" s="1"/>
  <c r="S799" i="1"/>
  <c r="U799" i="1" s="1"/>
  <c r="R799" i="1"/>
  <c r="Q799" i="1"/>
  <c r="T799" i="1" s="1"/>
  <c r="S798" i="1"/>
  <c r="U798" i="1" s="1"/>
  <c r="R798" i="1"/>
  <c r="Q798" i="1"/>
  <c r="T798" i="1" s="1"/>
  <c r="S797" i="1"/>
  <c r="U797" i="1" s="1"/>
  <c r="R797" i="1"/>
  <c r="Q797" i="1"/>
  <c r="T797" i="1" s="1"/>
  <c r="S796" i="1"/>
  <c r="U796" i="1" s="1"/>
  <c r="R796" i="1"/>
  <c r="Q796" i="1"/>
  <c r="T796" i="1" s="1"/>
  <c r="S795" i="1"/>
  <c r="U795" i="1" s="1"/>
  <c r="R795" i="1"/>
  <c r="Q795" i="1"/>
  <c r="T795" i="1" s="1"/>
  <c r="T794" i="1"/>
  <c r="S794" i="1"/>
  <c r="U794" i="1" s="1"/>
  <c r="R794" i="1"/>
  <c r="Q794" i="1"/>
  <c r="S793" i="1"/>
  <c r="U793" i="1" s="1"/>
  <c r="R793" i="1"/>
  <c r="Q793" i="1"/>
  <c r="T793" i="1" s="1"/>
  <c r="S792" i="1"/>
  <c r="U792" i="1" s="1"/>
  <c r="R792" i="1"/>
  <c r="Q792" i="1"/>
  <c r="T792" i="1" s="1"/>
  <c r="S791" i="1"/>
  <c r="U791" i="1" s="1"/>
  <c r="R791" i="1"/>
  <c r="Q791" i="1"/>
  <c r="T791" i="1" s="1"/>
  <c r="S790" i="1"/>
  <c r="U790" i="1" s="1"/>
  <c r="R790" i="1"/>
  <c r="Q790" i="1"/>
  <c r="T790" i="1" s="1"/>
  <c r="S789" i="1"/>
  <c r="U789" i="1" s="1"/>
  <c r="R789" i="1"/>
  <c r="Q789" i="1"/>
  <c r="T789" i="1" s="1"/>
  <c r="S788" i="1"/>
  <c r="U788" i="1" s="1"/>
  <c r="R788" i="1"/>
  <c r="Q788" i="1"/>
  <c r="T788" i="1" s="1"/>
  <c r="S787" i="1"/>
  <c r="U787" i="1" s="1"/>
  <c r="R787" i="1"/>
  <c r="Q787" i="1"/>
  <c r="T787" i="1" s="1"/>
  <c r="S786" i="1"/>
  <c r="U786" i="1" s="1"/>
  <c r="R786" i="1"/>
  <c r="Q786" i="1"/>
  <c r="T786" i="1" s="1"/>
  <c r="S785" i="1"/>
  <c r="U785" i="1" s="1"/>
  <c r="R785" i="1"/>
  <c r="Q785" i="1"/>
  <c r="T785" i="1" s="1"/>
  <c r="S784" i="1"/>
  <c r="U784" i="1" s="1"/>
  <c r="R784" i="1"/>
  <c r="Q784" i="1"/>
  <c r="T784" i="1" s="1"/>
  <c r="S783" i="1"/>
  <c r="U783" i="1" s="1"/>
  <c r="R783" i="1"/>
  <c r="Q783" i="1"/>
  <c r="T783" i="1" s="1"/>
  <c r="S782" i="1"/>
  <c r="U782" i="1" s="1"/>
  <c r="R782" i="1"/>
  <c r="Q782" i="1"/>
  <c r="T782" i="1" s="1"/>
  <c r="S781" i="1"/>
  <c r="U781" i="1" s="1"/>
  <c r="R781" i="1"/>
  <c r="Q781" i="1"/>
  <c r="T781" i="1" s="1"/>
  <c r="S780" i="1"/>
  <c r="U780" i="1" s="1"/>
  <c r="R780" i="1"/>
  <c r="Q780" i="1"/>
  <c r="T780" i="1" s="1"/>
  <c r="S779" i="1"/>
  <c r="U779" i="1" s="1"/>
  <c r="R779" i="1"/>
  <c r="Q779" i="1"/>
  <c r="T779" i="1" s="1"/>
  <c r="S778" i="1"/>
  <c r="U778" i="1" s="1"/>
  <c r="R778" i="1"/>
  <c r="Q778" i="1"/>
  <c r="T778" i="1" s="1"/>
  <c r="S777" i="1"/>
  <c r="U777" i="1" s="1"/>
  <c r="R777" i="1"/>
  <c r="Q777" i="1"/>
  <c r="T777" i="1" s="1"/>
  <c r="S776" i="1"/>
  <c r="U776" i="1" s="1"/>
  <c r="R776" i="1"/>
  <c r="Q776" i="1"/>
  <c r="T776" i="1" s="1"/>
  <c r="S775" i="1"/>
  <c r="U775" i="1" s="1"/>
  <c r="R775" i="1"/>
  <c r="Q775" i="1"/>
  <c r="T775" i="1" s="1"/>
  <c r="S774" i="1"/>
  <c r="U774" i="1" s="1"/>
  <c r="R774" i="1"/>
  <c r="Q774" i="1"/>
  <c r="T774" i="1" s="1"/>
  <c r="S773" i="1"/>
  <c r="U773" i="1" s="1"/>
  <c r="R773" i="1"/>
  <c r="Q773" i="1"/>
  <c r="T773" i="1" s="1"/>
  <c r="S772" i="1"/>
  <c r="U772" i="1" s="1"/>
  <c r="R772" i="1"/>
  <c r="Q772" i="1"/>
  <c r="T772" i="1" s="1"/>
  <c r="S771" i="1"/>
  <c r="U771" i="1" s="1"/>
  <c r="R771" i="1"/>
  <c r="Q771" i="1"/>
  <c r="T771" i="1" s="1"/>
  <c r="S770" i="1"/>
  <c r="U770" i="1" s="1"/>
  <c r="R770" i="1"/>
  <c r="Q770" i="1"/>
  <c r="T770" i="1" s="1"/>
  <c r="S769" i="1"/>
  <c r="U769" i="1" s="1"/>
  <c r="R769" i="1"/>
  <c r="Q769" i="1"/>
  <c r="T769" i="1" s="1"/>
  <c r="S768" i="1"/>
  <c r="U768" i="1" s="1"/>
  <c r="R768" i="1"/>
  <c r="Q768" i="1"/>
  <c r="T768" i="1" s="1"/>
  <c r="S767" i="1"/>
  <c r="U767" i="1" s="1"/>
  <c r="R767" i="1"/>
  <c r="Q767" i="1"/>
  <c r="T767" i="1" s="1"/>
  <c r="S766" i="1"/>
  <c r="U766" i="1" s="1"/>
  <c r="R766" i="1"/>
  <c r="Q766" i="1"/>
  <c r="T766" i="1" s="1"/>
  <c r="S765" i="1"/>
  <c r="U765" i="1" s="1"/>
  <c r="R765" i="1"/>
  <c r="Q765" i="1"/>
  <c r="T765" i="1" s="1"/>
  <c r="S764" i="1"/>
  <c r="U764" i="1" s="1"/>
  <c r="R764" i="1"/>
  <c r="Q764" i="1"/>
  <c r="T764" i="1" s="1"/>
  <c r="S763" i="1"/>
  <c r="U763" i="1" s="1"/>
  <c r="R763" i="1"/>
  <c r="Q763" i="1"/>
  <c r="T763" i="1" s="1"/>
  <c r="S762" i="1"/>
  <c r="U762" i="1" s="1"/>
  <c r="R762" i="1"/>
  <c r="Q762" i="1"/>
  <c r="T762" i="1" s="1"/>
  <c r="S761" i="1"/>
  <c r="U761" i="1" s="1"/>
  <c r="R761" i="1"/>
  <c r="Q761" i="1"/>
  <c r="T761" i="1" s="1"/>
  <c r="S760" i="1"/>
  <c r="U760" i="1" s="1"/>
  <c r="R760" i="1"/>
  <c r="Q760" i="1"/>
  <c r="T760" i="1" s="1"/>
  <c r="S759" i="1"/>
  <c r="U759" i="1" s="1"/>
  <c r="R759" i="1"/>
  <c r="Q759" i="1"/>
  <c r="T759" i="1" s="1"/>
  <c r="S758" i="1"/>
  <c r="U758" i="1" s="1"/>
  <c r="R758" i="1"/>
  <c r="Q758" i="1"/>
  <c r="T758" i="1" s="1"/>
  <c r="S757" i="1"/>
  <c r="U757" i="1" s="1"/>
  <c r="R757" i="1"/>
  <c r="Q757" i="1"/>
  <c r="T757" i="1" s="1"/>
  <c r="S756" i="1"/>
  <c r="U756" i="1" s="1"/>
  <c r="R756" i="1"/>
  <c r="Q756" i="1"/>
  <c r="T756" i="1" s="1"/>
  <c r="S755" i="1"/>
  <c r="U755" i="1" s="1"/>
  <c r="R755" i="1"/>
  <c r="Q755" i="1"/>
  <c r="T755" i="1" s="1"/>
  <c r="S754" i="1"/>
  <c r="U754" i="1" s="1"/>
  <c r="R754" i="1"/>
  <c r="Q754" i="1"/>
  <c r="T754" i="1" s="1"/>
  <c r="S753" i="1"/>
  <c r="U753" i="1" s="1"/>
  <c r="R753" i="1"/>
  <c r="Q753" i="1"/>
  <c r="T753" i="1" s="1"/>
  <c r="S752" i="1"/>
  <c r="U752" i="1" s="1"/>
  <c r="R752" i="1"/>
  <c r="Q752" i="1"/>
  <c r="T752" i="1" s="1"/>
  <c r="S751" i="1"/>
  <c r="U751" i="1" s="1"/>
  <c r="R751" i="1"/>
  <c r="Q751" i="1"/>
  <c r="T751" i="1" s="1"/>
  <c r="S750" i="1"/>
  <c r="U750" i="1" s="1"/>
  <c r="R750" i="1"/>
  <c r="Q750" i="1"/>
  <c r="T750" i="1" s="1"/>
  <c r="S749" i="1"/>
  <c r="U749" i="1" s="1"/>
  <c r="R749" i="1"/>
  <c r="Q749" i="1"/>
  <c r="T749" i="1" s="1"/>
  <c r="S748" i="1"/>
  <c r="U748" i="1" s="1"/>
  <c r="R748" i="1"/>
  <c r="Q748" i="1"/>
  <c r="T748" i="1" s="1"/>
  <c r="S747" i="1"/>
  <c r="U747" i="1" s="1"/>
  <c r="R747" i="1"/>
  <c r="Q747" i="1"/>
  <c r="T747" i="1" s="1"/>
  <c r="S746" i="1"/>
  <c r="U746" i="1" s="1"/>
  <c r="R746" i="1"/>
  <c r="Q746" i="1"/>
  <c r="T746" i="1" s="1"/>
  <c r="S745" i="1"/>
  <c r="U745" i="1" s="1"/>
  <c r="R745" i="1"/>
  <c r="Q745" i="1"/>
  <c r="T745" i="1" s="1"/>
  <c r="S744" i="1"/>
  <c r="U744" i="1" s="1"/>
  <c r="R744" i="1"/>
  <c r="Q744" i="1"/>
  <c r="T744" i="1" s="1"/>
  <c r="S743" i="1"/>
  <c r="U743" i="1" s="1"/>
  <c r="R743" i="1"/>
  <c r="Q743" i="1"/>
  <c r="T743" i="1" s="1"/>
  <c r="S742" i="1"/>
  <c r="U742" i="1" s="1"/>
  <c r="R742" i="1"/>
  <c r="Q742" i="1"/>
  <c r="T742" i="1" s="1"/>
  <c r="S741" i="1"/>
  <c r="U741" i="1" s="1"/>
  <c r="R741" i="1"/>
  <c r="Q741" i="1"/>
  <c r="T741" i="1" s="1"/>
  <c r="S740" i="1"/>
  <c r="U740" i="1" s="1"/>
  <c r="R740" i="1"/>
  <c r="Q740" i="1"/>
  <c r="T740" i="1" s="1"/>
  <c r="S739" i="1"/>
  <c r="U739" i="1" s="1"/>
  <c r="R739" i="1"/>
  <c r="Q739" i="1"/>
  <c r="T739" i="1" s="1"/>
  <c r="S738" i="1"/>
  <c r="U738" i="1" s="1"/>
  <c r="R738" i="1"/>
  <c r="Q738" i="1"/>
  <c r="T738" i="1" s="1"/>
  <c r="S737" i="1"/>
  <c r="U737" i="1" s="1"/>
  <c r="R737" i="1"/>
  <c r="Q737" i="1"/>
  <c r="T737" i="1" s="1"/>
  <c r="S736" i="1"/>
  <c r="U736" i="1" s="1"/>
  <c r="R736" i="1"/>
  <c r="Q736" i="1"/>
  <c r="T736" i="1" s="1"/>
  <c r="S735" i="1"/>
  <c r="U735" i="1" s="1"/>
  <c r="R735" i="1"/>
  <c r="Q735" i="1"/>
  <c r="T735" i="1" s="1"/>
  <c r="S734" i="1"/>
  <c r="U734" i="1" s="1"/>
  <c r="R734" i="1"/>
  <c r="Q734" i="1"/>
  <c r="T734" i="1" s="1"/>
  <c r="S733" i="1"/>
  <c r="U733" i="1" s="1"/>
  <c r="R733" i="1"/>
  <c r="Q733" i="1"/>
  <c r="T733" i="1" s="1"/>
  <c r="S732" i="1"/>
  <c r="U732" i="1" s="1"/>
  <c r="R732" i="1"/>
  <c r="Q732" i="1"/>
  <c r="T732" i="1" s="1"/>
  <c r="S731" i="1"/>
  <c r="U731" i="1" s="1"/>
  <c r="R731" i="1"/>
  <c r="Q731" i="1"/>
  <c r="T731" i="1" s="1"/>
  <c r="S730" i="1"/>
  <c r="U730" i="1" s="1"/>
  <c r="R730" i="1"/>
  <c r="Q730" i="1"/>
  <c r="T730" i="1" s="1"/>
  <c r="S729" i="1"/>
  <c r="U729" i="1" s="1"/>
  <c r="R729" i="1"/>
  <c r="Q729" i="1"/>
  <c r="T729" i="1" s="1"/>
  <c r="S728" i="1"/>
  <c r="U728" i="1" s="1"/>
  <c r="R728" i="1"/>
  <c r="Q728" i="1"/>
  <c r="T728" i="1" s="1"/>
  <c r="S727" i="1"/>
  <c r="U727" i="1" s="1"/>
  <c r="R727" i="1"/>
  <c r="Q727" i="1"/>
  <c r="T727" i="1" s="1"/>
  <c r="S726" i="1"/>
  <c r="U726" i="1" s="1"/>
  <c r="R726" i="1"/>
  <c r="Q726" i="1"/>
  <c r="T726" i="1" s="1"/>
  <c r="S725" i="1"/>
  <c r="U725" i="1" s="1"/>
  <c r="R725" i="1"/>
  <c r="Q725" i="1"/>
  <c r="T725" i="1" s="1"/>
  <c r="S724" i="1"/>
  <c r="U724" i="1" s="1"/>
  <c r="R724" i="1"/>
  <c r="Q724" i="1"/>
  <c r="T724" i="1" s="1"/>
  <c r="S723" i="1"/>
  <c r="U723" i="1" s="1"/>
  <c r="R723" i="1"/>
  <c r="Q723" i="1"/>
  <c r="T723" i="1" s="1"/>
  <c r="S722" i="1"/>
  <c r="U722" i="1" s="1"/>
  <c r="R722" i="1"/>
  <c r="Q722" i="1"/>
  <c r="T722" i="1" s="1"/>
  <c r="S721" i="1"/>
  <c r="U721" i="1" s="1"/>
  <c r="R721" i="1"/>
  <c r="Q721" i="1"/>
  <c r="T721" i="1" s="1"/>
  <c r="S720" i="1"/>
  <c r="U720" i="1" s="1"/>
  <c r="R720" i="1"/>
  <c r="Q720" i="1"/>
  <c r="T720" i="1" s="1"/>
  <c r="S719" i="1"/>
  <c r="U719" i="1" s="1"/>
  <c r="R719" i="1"/>
  <c r="Q719" i="1"/>
  <c r="T719" i="1" s="1"/>
  <c r="S718" i="1"/>
  <c r="U718" i="1" s="1"/>
  <c r="R718" i="1"/>
  <c r="Q718" i="1"/>
  <c r="T718" i="1" s="1"/>
  <c r="S717" i="1"/>
  <c r="U717" i="1" s="1"/>
  <c r="R717" i="1"/>
  <c r="Q717" i="1"/>
  <c r="T717" i="1" s="1"/>
  <c r="S716" i="1"/>
  <c r="U716" i="1" s="1"/>
  <c r="R716" i="1"/>
  <c r="Q716" i="1"/>
  <c r="T716" i="1" s="1"/>
  <c r="S715" i="1"/>
  <c r="U715" i="1" s="1"/>
  <c r="R715" i="1"/>
  <c r="Q715" i="1"/>
  <c r="T715" i="1" s="1"/>
  <c r="S714" i="1"/>
  <c r="U714" i="1" s="1"/>
  <c r="R714" i="1"/>
  <c r="Q714" i="1"/>
  <c r="T714" i="1" s="1"/>
  <c r="S713" i="1"/>
  <c r="U713" i="1" s="1"/>
  <c r="R713" i="1"/>
  <c r="Q713" i="1"/>
  <c r="T713" i="1" s="1"/>
  <c r="S712" i="1"/>
  <c r="U712" i="1" s="1"/>
  <c r="R712" i="1"/>
  <c r="Q712" i="1"/>
  <c r="T712" i="1" s="1"/>
  <c r="S711" i="1"/>
  <c r="U711" i="1" s="1"/>
  <c r="R711" i="1"/>
  <c r="Q711" i="1"/>
  <c r="T711" i="1" s="1"/>
  <c r="S710" i="1"/>
  <c r="U710" i="1" s="1"/>
  <c r="R710" i="1"/>
  <c r="Q710" i="1"/>
  <c r="T710" i="1" s="1"/>
  <c r="S709" i="1"/>
  <c r="U709" i="1" s="1"/>
  <c r="R709" i="1"/>
  <c r="Q709" i="1"/>
  <c r="T709" i="1" s="1"/>
  <c r="S708" i="1"/>
  <c r="U708" i="1" s="1"/>
  <c r="R708" i="1"/>
  <c r="Q708" i="1"/>
  <c r="T708" i="1" s="1"/>
  <c r="S707" i="1"/>
  <c r="U707" i="1" s="1"/>
  <c r="R707" i="1"/>
  <c r="Q707" i="1"/>
  <c r="T707" i="1" s="1"/>
  <c r="S706" i="1"/>
  <c r="U706" i="1" s="1"/>
  <c r="R706" i="1"/>
  <c r="Q706" i="1"/>
  <c r="T706" i="1" s="1"/>
  <c r="S705" i="1"/>
  <c r="U705" i="1" s="1"/>
  <c r="R705" i="1"/>
  <c r="Q705" i="1"/>
  <c r="T705" i="1" s="1"/>
  <c r="S704" i="1"/>
  <c r="U704" i="1" s="1"/>
  <c r="R704" i="1"/>
  <c r="Q704" i="1"/>
  <c r="T704" i="1" s="1"/>
  <c r="S703" i="1"/>
  <c r="U703" i="1" s="1"/>
  <c r="R703" i="1"/>
  <c r="Q703" i="1"/>
  <c r="T703" i="1" s="1"/>
  <c r="S702" i="1"/>
  <c r="U702" i="1" s="1"/>
  <c r="R702" i="1"/>
  <c r="Q702" i="1"/>
  <c r="T702" i="1" s="1"/>
  <c r="S701" i="1"/>
  <c r="U701" i="1" s="1"/>
  <c r="R701" i="1"/>
  <c r="Q701" i="1"/>
  <c r="T701" i="1" s="1"/>
  <c r="S700" i="1"/>
  <c r="U700" i="1" s="1"/>
  <c r="R700" i="1"/>
  <c r="Q700" i="1"/>
  <c r="T700" i="1" s="1"/>
  <c r="S699" i="1"/>
  <c r="U699" i="1" s="1"/>
  <c r="R699" i="1"/>
  <c r="Q699" i="1"/>
  <c r="T699" i="1" s="1"/>
  <c r="S698" i="1"/>
  <c r="U698" i="1" s="1"/>
  <c r="R698" i="1"/>
  <c r="Q698" i="1"/>
  <c r="T698" i="1" s="1"/>
  <c r="S697" i="1"/>
  <c r="U697" i="1" s="1"/>
  <c r="R697" i="1"/>
  <c r="Q697" i="1"/>
  <c r="T697" i="1" s="1"/>
  <c r="S696" i="1"/>
  <c r="U696" i="1" s="1"/>
  <c r="R696" i="1"/>
  <c r="Q696" i="1"/>
  <c r="T696" i="1" s="1"/>
  <c r="S695" i="1"/>
  <c r="U695" i="1" s="1"/>
  <c r="R695" i="1"/>
  <c r="Q695" i="1"/>
  <c r="T695" i="1" s="1"/>
  <c r="S694" i="1"/>
  <c r="U694" i="1" s="1"/>
  <c r="R694" i="1"/>
  <c r="Q694" i="1"/>
  <c r="T694" i="1" s="1"/>
  <c r="S693" i="1"/>
  <c r="U693" i="1" s="1"/>
  <c r="R693" i="1"/>
  <c r="Q693" i="1"/>
  <c r="T693" i="1" s="1"/>
  <c r="S692" i="1"/>
  <c r="U692" i="1" s="1"/>
  <c r="R692" i="1"/>
  <c r="Q692" i="1"/>
  <c r="T692" i="1" s="1"/>
  <c r="S691" i="1"/>
  <c r="U691" i="1" s="1"/>
  <c r="R691" i="1"/>
  <c r="Q691" i="1"/>
  <c r="T691" i="1" s="1"/>
  <c r="S690" i="1"/>
  <c r="U690" i="1" s="1"/>
  <c r="R690" i="1"/>
  <c r="Q690" i="1"/>
  <c r="T690" i="1" s="1"/>
  <c r="S689" i="1"/>
  <c r="U689" i="1" s="1"/>
  <c r="R689" i="1"/>
  <c r="Q689" i="1"/>
  <c r="T689" i="1" s="1"/>
  <c r="S688" i="1"/>
  <c r="U688" i="1" s="1"/>
  <c r="R688" i="1"/>
  <c r="Q688" i="1"/>
  <c r="T688" i="1" s="1"/>
  <c r="S687" i="1"/>
  <c r="U687" i="1" s="1"/>
  <c r="R687" i="1"/>
  <c r="Q687" i="1"/>
  <c r="T687" i="1" s="1"/>
  <c r="S686" i="1"/>
  <c r="U686" i="1" s="1"/>
  <c r="R686" i="1"/>
  <c r="Q686" i="1"/>
  <c r="T686" i="1" s="1"/>
  <c r="S685" i="1"/>
  <c r="U685" i="1" s="1"/>
  <c r="R685" i="1"/>
  <c r="Q685" i="1"/>
  <c r="T685" i="1" s="1"/>
  <c r="S684" i="1"/>
  <c r="U684" i="1" s="1"/>
  <c r="R684" i="1"/>
  <c r="Q684" i="1"/>
  <c r="T684" i="1" s="1"/>
  <c r="S683" i="1"/>
  <c r="U683" i="1" s="1"/>
  <c r="R683" i="1"/>
  <c r="Q683" i="1"/>
  <c r="T683" i="1" s="1"/>
  <c r="S682" i="1"/>
  <c r="U682" i="1" s="1"/>
  <c r="R682" i="1"/>
  <c r="Q682" i="1"/>
  <c r="T682" i="1" s="1"/>
  <c r="S681" i="1"/>
  <c r="U681" i="1" s="1"/>
  <c r="R681" i="1"/>
  <c r="Q681" i="1"/>
  <c r="T681" i="1" s="1"/>
  <c r="S680" i="1"/>
  <c r="U680" i="1" s="1"/>
  <c r="R680" i="1"/>
  <c r="Q680" i="1"/>
  <c r="T680" i="1" s="1"/>
  <c r="S679" i="1"/>
  <c r="U679" i="1" s="1"/>
  <c r="R679" i="1"/>
  <c r="Q679" i="1"/>
  <c r="T679" i="1" s="1"/>
  <c r="S678" i="1"/>
  <c r="U678" i="1" s="1"/>
  <c r="R678" i="1"/>
  <c r="Q678" i="1"/>
  <c r="T678" i="1" s="1"/>
  <c r="S677" i="1"/>
  <c r="U677" i="1" s="1"/>
  <c r="R677" i="1"/>
  <c r="Q677" i="1"/>
  <c r="T677" i="1" s="1"/>
  <c r="S676" i="1"/>
  <c r="U676" i="1" s="1"/>
  <c r="R676" i="1"/>
  <c r="Q676" i="1"/>
  <c r="T676" i="1" s="1"/>
  <c r="S675" i="1"/>
  <c r="U675" i="1" s="1"/>
  <c r="R675" i="1"/>
  <c r="Q675" i="1"/>
  <c r="T675" i="1" s="1"/>
  <c r="S674" i="1"/>
  <c r="U674" i="1" s="1"/>
  <c r="R674" i="1"/>
  <c r="Q674" i="1"/>
  <c r="T674" i="1" s="1"/>
  <c r="S673" i="1"/>
  <c r="U673" i="1" s="1"/>
  <c r="R673" i="1"/>
  <c r="Q673" i="1"/>
  <c r="T673" i="1" s="1"/>
  <c r="S672" i="1"/>
  <c r="U672" i="1" s="1"/>
  <c r="R672" i="1"/>
  <c r="Q672" i="1"/>
  <c r="T672" i="1" s="1"/>
  <c r="S671" i="1"/>
  <c r="U671" i="1" s="1"/>
  <c r="R671" i="1"/>
  <c r="Q671" i="1"/>
  <c r="T671" i="1" s="1"/>
  <c r="S670" i="1"/>
  <c r="U670" i="1" s="1"/>
  <c r="R670" i="1"/>
  <c r="Q670" i="1"/>
  <c r="T670" i="1" s="1"/>
  <c r="S669" i="1"/>
  <c r="U669" i="1" s="1"/>
  <c r="R669" i="1"/>
  <c r="Q669" i="1"/>
  <c r="T669" i="1" s="1"/>
  <c r="S668" i="1"/>
  <c r="U668" i="1" s="1"/>
  <c r="R668" i="1"/>
  <c r="Q668" i="1"/>
  <c r="T668" i="1" s="1"/>
  <c r="S667" i="1"/>
  <c r="U667" i="1" s="1"/>
  <c r="R667" i="1"/>
  <c r="Q667" i="1"/>
  <c r="T667" i="1" s="1"/>
  <c r="S666" i="1"/>
  <c r="U666" i="1" s="1"/>
  <c r="R666" i="1"/>
  <c r="Q666" i="1"/>
  <c r="T666" i="1" s="1"/>
  <c r="S665" i="1"/>
  <c r="U665" i="1" s="1"/>
  <c r="R665" i="1"/>
  <c r="Q665" i="1"/>
  <c r="T665" i="1" s="1"/>
  <c r="S664" i="1"/>
  <c r="U664" i="1" s="1"/>
  <c r="R664" i="1"/>
  <c r="Q664" i="1"/>
  <c r="T664" i="1" s="1"/>
  <c r="S663" i="1"/>
  <c r="U663" i="1" s="1"/>
  <c r="R663" i="1"/>
  <c r="Q663" i="1"/>
  <c r="T663" i="1" s="1"/>
  <c r="S662" i="1"/>
  <c r="U662" i="1" s="1"/>
  <c r="R662" i="1"/>
  <c r="Q662" i="1"/>
  <c r="T662" i="1" s="1"/>
  <c r="S661" i="1"/>
  <c r="U661" i="1" s="1"/>
  <c r="R661" i="1"/>
  <c r="Q661" i="1"/>
  <c r="T661" i="1" s="1"/>
  <c r="S660" i="1"/>
  <c r="U660" i="1" s="1"/>
  <c r="R660" i="1"/>
  <c r="Q660" i="1"/>
  <c r="T660" i="1" s="1"/>
  <c r="S659" i="1"/>
  <c r="U659" i="1" s="1"/>
  <c r="R659" i="1"/>
  <c r="Q659" i="1"/>
  <c r="T659" i="1" s="1"/>
  <c r="S658" i="1"/>
  <c r="U658" i="1" s="1"/>
  <c r="R658" i="1"/>
  <c r="Q658" i="1"/>
  <c r="T658" i="1" s="1"/>
  <c r="S657" i="1"/>
  <c r="U657" i="1" s="1"/>
  <c r="R657" i="1"/>
  <c r="Q657" i="1"/>
  <c r="T657" i="1" s="1"/>
  <c r="S656" i="1"/>
  <c r="U656" i="1" s="1"/>
  <c r="R656" i="1"/>
  <c r="Q656" i="1"/>
  <c r="T656" i="1" s="1"/>
  <c r="S655" i="1"/>
  <c r="U655" i="1" s="1"/>
  <c r="R655" i="1"/>
  <c r="Q655" i="1"/>
  <c r="T655" i="1" s="1"/>
  <c r="S654" i="1"/>
  <c r="U654" i="1" s="1"/>
  <c r="R654" i="1"/>
  <c r="Q654" i="1"/>
  <c r="T654" i="1" s="1"/>
  <c r="S653" i="1"/>
  <c r="U653" i="1" s="1"/>
  <c r="R653" i="1"/>
  <c r="Q653" i="1"/>
  <c r="T653" i="1" s="1"/>
  <c r="S652" i="1"/>
  <c r="U652" i="1" s="1"/>
  <c r="R652" i="1"/>
  <c r="Q652" i="1"/>
  <c r="T652" i="1" s="1"/>
  <c r="S651" i="1"/>
  <c r="U651" i="1" s="1"/>
  <c r="R651" i="1"/>
  <c r="Q651" i="1"/>
  <c r="T651" i="1" s="1"/>
  <c r="S650" i="1"/>
  <c r="U650" i="1" s="1"/>
  <c r="R650" i="1"/>
  <c r="Q650" i="1"/>
  <c r="T650" i="1" s="1"/>
  <c r="S649" i="1"/>
  <c r="U649" i="1" s="1"/>
  <c r="R649" i="1"/>
  <c r="Q649" i="1"/>
  <c r="T649" i="1" s="1"/>
  <c r="S648" i="1"/>
  <c r="U648" i="1" s="1"/>
  <c r="R648" i="1"/>
  <c r="Q648" i="1"/>
  <c r="T648" i="1" s="1"/>
  <c r="S647" i="1"/>
  <c r="U647" i="1" s="1"/>
  <c r="R647" i="1"/>
  <c r="Q647" i="1"/>
  <c r="T647" i="1" s="1"/>
  <c r="S646" i="1"/>
  <c r="U646" i="1" s="1"/>
  <c r="R646" i="1"/>
  <c r="Q646" i="1"/>
  <c r="T646" i="1" s="1"/>
  <c r="S645" i="1"/>
  <c r="U645" i="1" s="1"/>
  <c r="R645" i="1"/>
  <c r="Q645" i="1"/>
  <c r="T645" i="1" s="1"/>
  <c r="S644" i="1"/>
  <c r="U644" i="1" s="1"/>
  <c r="R644" i="1"/>
  <c r="Q644" i="1"/>
  <c r="T644" i="1" s="1"/>
  <c r="S643" i="1"/>
  <c r="U643" i="1" s="1"/>
  <c r="R643" i="1"/>
  <c r="Q643" i="1"/>
  <c r="T643" i="1" s="1"/>
  <c r="S642" i="1"/>
  <c r="U642" i="1" s="1"/>
  <c r="R642" i="1"/>
  <c r="Q642" i="1"/>
  <c r="T642" i="1" s="1"/>
  <c r="S641" i="1"/>
  <c r="U641" i="1" s="1"/>
  <c r="R641" i="1"/>
  <c r="Q641" i="1"/>
  <c r="T641" i="1" s="1"/>
  <c r="S640" i="1"/>
  <c r="U640" i="1" s="1"/>
  <c r="R640" i="1"/>
  <c r="Q640" i="1"/>
  <c r="T640" i="1" s="1"/>
  <c r="S639" i="1"/>
  <c r="U639" i="1" s="1"/>
  <c r="R639" i="1"/>
  <c r="Q639" i="1"/>
  <c r="T639" i="1" s="1"/>
  <c r="S638" i="1"/>
  <c r="U638" i="1" s="1"/>
  <c r="R638" i="1"/>
  <c r="Q638" i="1"/>
  <c r="T638" i="1" s="1"/>
  <c r="S637" i="1"/>
  <c r="U637" i="1" s="1"/>
  <c r="R637" i="1"/>
  <c r="Q637" i="1"/>
  <c r="T637" i="1" s="1"/>
  <c r="S636" i="1"/>
  <c r="U636" i="1" s="1"/>
  <c r="R636" i="1"/>
  <c r="Q636" i="1"/>
  <c r="T636" i="1" s="1"/>
  <c r="S635" i="1"/>
  <c r="U635" i="1" s="1"/>
  <c r="R635" i="1"/>
  <c r="Q635" i="1"/>
  <c r="T635" i="1" s="1"/>
  <c r="S634" i="1"/>
  <c r="U634" i="1" s="1"/>
  <c r="R634" i="1"/>
  <c r="Q634" i="1"/>
  <c r="T634" i="1" s="1"/>
  <c r="S633" i="1"/>
  <c r="U633" i="1" s="1"/>
  <c r="R633" i="1"/>
  <c r="Q633" i="1"/>
  <c r="T633" i="1" s="1"/>
  <c r="S632" i="1"/>
  <c r="U632" i="1" s="1"/>
  <c r="R632" i="1"/>
  <c r="Q632" i="1"/>
  <c r="T632" i="1" s="1"/>
  <c r="S631" i="1"/>
  <c r="U631" i="1" s="1"/>
  <c r="R631" i="1"/>
  <c r="Q631" i="1"/>
  <c r="T631" i="1" s="1"/>
  <c r="S630" i="1"/>
  <c r="U630" i="1" s="1"/>
  <c r="R630" i="1"/>
  <c r="Q630" i="1"/>
  <c r="T630" i="1" s="1"/>
  <c r="S629" i="1"/>
  <c r="U629" i="1" s="1"/>
  <c r="R629" i="1"/>
  <c r="Q629" i="1"/>
  <c r="T629" i="1" s="1"/>
  <c r="S628" i="1"/>
  <c r="U628" i="1" s="1"/>
  <c r="R628" i="1"/>
  <c r="Q628" i="1"/>
  <c r="T628" i="1" s="1"/>
  <c r="S627" i="1"/>
  <c r="U627" i="1" s="1"/>
  <c r="R627" i="1"/>
  <c r="Q627" i="1"/>
  <c r="T627" i="1" s="1"/>
  <c r="S626" i="1"/>
  <c r="U626" i="1" s="1"/>
  <c r="R626" i="1"/>
  <c r="Q626" i="1"/>
  <c r="T626" i="1" s="1"/>
  <c r="S625" i="1"/>
  <c r="U625" i="1" s="1"/>
  <c r="R625" i="1"/>
  <c r="Q625" i="1"/>
  <c r="T625" i="1" s="1"/>
  <c r="S624" i="1"/>
  <c r="U624" i="1" s="1"/>
  <c r="R624" i="1"/>
  <c r="Q624" i="1"/>
  <c r="T624" i="1" s="1"/>
  <c r="S623" i="1"/>
  <c r="U623" i="1" s="1"/>
  <c r="R623" i="1"/>
  <c r="Q623" i="1"/>
  <c r="T623" i="1" s="1"/>
  <c r="S622" i="1"/>
  <c r="U622" i="1" s="1"/>
  <c r="R622" i="1"/>
  <c r="Q622" i="1"/>
  <c r="T622" i="1" s="1"/>
  <c r="S621" i="1"/>
  <c r="U621" i="1" s="1"/>
  <c r="R621" i="1"/>
  <c r="Q621" i="1"/>
  <c r="T621" i="1" s="1"/>
  <c r="S620" i="1"/>
  <c r="U620" i="1" s="1"/>
  <c r="R620" i="1"/>
  <c r="Q620" i="1"/>
  <c r="T620" i="1" s="1"/>
  <c r="S619" i="1"/>
  <c r="U619" i="1" s="1"/>
  <c r="R619" i="1"/>
  <c r="Q619" i="1"/>
  <c r="T619" i="1" s="1"/>
  <c r="S618" i="1"/>
  <c r="U618" i="1" s="1"/>
  <c r="R618" i="1"/>
  <c r="Q618" i="1"/>
  <c r="T618" i="1" s="1"/>
  <c r="S617" i="1"/>
  <c r="U617" i="1" s="1"/>
  <c r="R617" i="1"/>
  <c r="Q617" i="1"/>
  <c r="T617" i="1" s="1"/>
  <c r="S616" i="1"/>
  <c r="U616" i="1" s="1"/>
  <c r="R616" i="1"/>
  <c r="Q616" i="1"/>
  <c r="T616" i="1" s="1"/>
  <c r="S615" i="1"/>
  <c r="U615" i="1" s="1"/>
  <c r="R615" i="1"/>
  <c r="Q615" i="1"/>
  <c r="T615" i="1" s="1"/>
  <c r="S614" i="1"/>
  <c r="U614" i="1" s="1"/>
  <c r="R614" i="1"/>
  <c r="Q614" i="1"/>
  <c r="T614" i="1" s="1"/>
  <c r="S613" i="1"/>
  <c r="U613" i="1" s="1"/>
  <c r="R613" i="1"/>
  <c r="Q613" i="1"/>
  <c r="T613" i="1" s="1"/>
  <c r="S612" i="1"/>
  <c r="U612" i="1" s="1"/>
  <c r="R612" i="1"/>
  <c r="Q612" i="1"/>
  <c r="T612" i="1" s="1"/>
  <c r="S611" i="1"/>
  <c r="U611" i="1" s="1"/>
  <c r="R611" i="1"/>
  <c r="Q611" i="1"/>
  <c r="T611" i="1" s="1"/>
  <c r="S610" i="1"/>
  <c r="U610" i="1" s="1"/>
  <c r="R610" i="1"/>
  <c r="Q610" i="1"/>
  <c r="T610" i="1" s="1"/>
  <c r="S609" i="1"/>
  <c r="U609" i="1" s="1"/>
  <c r="R609" i="1"/>
  <c r="Q609" i="1"/>
  <c r="T609" i="1" s="1"/>
  <c r="S608" i="1"/>
  <c r="U608" i="1" s="1"/>
  <c r="R608" i="1"/>
  <c r="Q608" i="1"/>
  <c r="T608" i="1" s="1"/>
  <c r="S607" i="1"/>
  <c r="U607" i="1" s="1"/>
  <c r="R607" i="1"/>
  <c r="Q607" i="1"/>
  <c r="T607" i="1" s="1"/>
  <c r="S606" i="1"/>
  <c r="U606" i="1" s="1"/>
  <c r="R606" i="1"/>
  <c r="Q606" i="1"/>
  <c r="T606" i="1" s="1"/>
  <c r="S605" i="1"/>
  <c r="U605" i="1" s="1"/>
  <c r="R605" i="1"/>
  <c r="Q605" i="1"/>
  <c r="T605" i="1" s="1"/>
  <c r="S604" i="1"/>
  <c r="U604" i="1" s="1"/>
  <c r="R604" i="1"/>
  <c r="Q604" i="1"/>
  <c r="T604" i="1" s="1"/>
  <c r="S603" i="1"/>
  <c r="U603" i="1" s="1"/>
  <c r="R603" i="1"/>
  <c r="Q603" i="1"/>
  <c r="T603" i="1" s="1"/>
  <c r="S602" i="1"/>
  <c r="U602" i="1" s="1"/>
  <c r="R602" i="1"/>
  <c r="Q602" i="1"/>
  <c r="T602" i="1" s="1"/>
  <c r="S601" i="1"/>
  <c r="U601" i="1" s="1"/>
  <c r="R601" i="1"/>
  <c r="Q601" i="1"/>
  <c r="T601" i="1" s="1"/>
  <c r="S600" i="1"/>
  <c r="U600" i="1" s="1"/>
  <c r="R600" i="1"/>
  <c r="Q600" i="1"/>
  <c r="T600" i="1" s="1"/>
  <c r="S599" i="1"/>
  <c r="U599" i="1" s="1"/>
  <c r="R599" i="1"/>
  <c r="Q599" i="1"/>
  <c r="T599" i="1" s="1"/>
  <c r="S598" i="1"/>
  <c r="U598" i="1" s="1"/>
  <c r="R598" i="1"/>
  <c r="Q598" i="1"/>
  <c r="T598" i="1" s="1"/>
  <c r="S597" i="1"/>
  <c r="U597" i="1" s="1"/>
  <c r="R597" i="1"/>
  <c r="Q597" i="1"/>
  <c r="T597" i="1" s="1"/>
  <c r="S596" i="1"/>
  <c r="U596" i="1" s="1"/>
  <c r="R596" i="1"/>
  <c r="Q596" i="1"/>
  <c r="T596" i="1" s="1"/>
  <c r="S595" i="1"/>
  <c r="U595" i="1" s="1"/>
  <c r="R595" i="1"/>
  <c r="Q595" i="1"/>
  <c r="T595" i="1" s="1"/>
  <c r="S594" i="1"/>
  <c r="U594" i="1" s="1"/>
  <c r="R594" i="1"/>
  <c r="Q594" i="1"/>
  <c r="T594" i="1" s="1"/>
  <c r="S593" i="1"/>
  <c r="U593" i="1" s="1"/>
  <c r="R593" i="1"/>
  <c r="Q593" i="1"/>
  <c r="T593" i="1" s="1"/>
  <c r="S592" i="1"/>
  <c r="U592" i="1" s="1"/>
  <c r="R592" i="1"/>
  <c r="Q592" i="1"/>
  <c r="T592" i="1" s="1"/>
  <c r="S591" i="1"/>
  <c r="U591" i="1" s="1"/>
  <c r="R591" i="1"/>
  <c r="Q591" i="1"/>
  <c r="T591" i="1" s="1"/>
  <c r="S590" i="1"/>
  <c r="U590" i="1" s="1"/>
  <c r="R590" i="1"/>
  <c r="Q590" i="1"/>
  <c r="T590" i="1" s="1"/>
  <c r="S589" i="1"/>
  <c r="U589" i="1" s="1"/>
  <c r="R589" i="1"/>
  <c r="Q589" i="1"/>
  <c r="T589" i="1" s="1"/>
  <c r="S588" i="1"/>
  <c r="U588" i="1" s="1"/>
  <c r="R588" i="1"/>
  <c r="Q588" i="1"/>
  <c r="T588" i="1" s="1"/>
  <c r="S587" i="1"/>
  <c r="U587" i="1" s="1"/>
  <c r="R587" i="1"/>
  <c r="Q587" i="1"/>
  <c r="T587" i="1" s="1"/>
  <c r="S586" i="1"/>
  <c r="U586" i="1" s="1"/>
  <c r="R586" i="1"/>
  <c r="Q586" i="1"/>
  <c r="T586" i="1" s="1"/>
  <c r="S585" i="1"/>
  <c r="U585" i="1" s="1"/>
  <c r="R585" i="1"/>
  <c r="Q585" i="1"/>
  <c r="T585" i="1" s="1"/>
  <c r="S584" i="1"/>
  <c r="U584" i="1" s="1"/>
  <c r="R584" i="1"/>
  <c r="Q584" i="1"/>
  <c r="T584" i="1" s="1"/>
  <c r="S583" i="1"/>
  <c r="U583" i="1" s="1"/>
  <c r="R583" i="1"/>
  <c r="Q583" i="1"/>
  <c r="T583" i="1" s="1"/>
  <c r="S582" i="1"/>
  <c r="U582" i="1" s="1"/>
  <c r="R582" i="1"/>
  <c r="Q582" i="1"/>
  <c r="T582" i="1" s="1"/>
  <c r="S581" i="1"/>
  <c r="U581" i="1" s="1"/>
  <c r="R581" i="1"/>
  <c r="Q581" i="1"/>
  <c r="T581" i="1" s="1"/>
  <c r="S580" i="1"/>
  <c r="U580" i="1" s="1"/>
  <c r="R580" i="1"/>
  <c r="Q580" i="1"/>
  <c r="T580" i="1" s="1"/>
  <c r="S579" i="1"/>
  <c r="U579" i="1" s="1"/>
  <c r="R579" i="1"/>
  <c r="Q579" i="1"/>
  <c r="T579" i="1" s="1"/>
  <c r="S578" i="1"/>
  <c r="U578" i="1" s="1"/>
  <c r="R578" i="1"/>
  <c r="Q578" i="1"/>
  <c r="T578" i="1" s="1"/>
  <c r="S577" i="1"/>
  <c r="U577" i="1" s="1"/>
  <c r="R577" i="1"/>
  <c r="Q577" i="1"/>
  <c r="T577" i="1" s="1"/>
  <c r="S576" i="1"/>
  <c r="U576" i="1" s="1"/>
  <c r="R576" i="1"/>
  <c r="Q576" i="1"/>
  <c r="T576" i="1" s="1"/>
  <c r="S575" i="1"/>
  <c r="U575" i="1" s="1"/>
  <c r="R575" i="1"/>
  <c r="Q575" i="1"/>
  <c r="T575" i="1" s="1"/>
  <c r="S574" i="1"/>
  <c r="U574" i="1" s="1"/>
  <c r="R574" i="1"/>
  <c r="Q574" i="1"/>
  <c r="T574" i="1" s="1"/>
  <c r="S573" i="1"/>
  <c r="U573" i="1" s="1"/>
  <c r="R573" i="1"/>
  <c r="Q573" i="1"/>
  <c r="T573" i="1" s="1"/>
  <c r="S572" i="1"/>
  <c r="U572" i="1" s="1"/>
  <c r="R572" i="1"/>
  <c r="Q572" i="1"/>
  <c r="T572" i="1" s="1"/>
  <c r="S571" i="1"/>
  <c r="U571" i="1" s="1"/>
  <c r="R571" i="1"/>
  <c r="Q571" i="1"/>
  <c r="T571" i="1" s="1"/>
  <c r="S570" i="1"/>
  <c r="U570" i="1" s="1"/>
  <c r="R570" i="1"/>
  <c r="Q570" i="1"/>
  <c r="T570" i="1" s="1"/>
  <c r="S569" i="1"/>
  <c r="U569" i="1" s="1"/>
  <c r="R569" i="1"/>
  <c r="Q569" i="1"/>
  <c r="T569" i="1" s="1"/>
  <c r="S568" i="1"/>
  <c r="U568" i="1" s="1"/>
  <c r="R568" i="1"/>
  <c r="Q568" i="1"/>
  <c r="T568" i="1" s="1"/>
  <c r="S567" i="1"/>
  <c r="U567" i="1" s="1"/>
  <c r="R567" i="1"/>
  <c r="Q567" i="1"/>
  <c r="T567" i="1" s="1"/>
  <c r="S566" i="1"/>
  <c r="U566" i="1" s="1"/>
  <c r="R566" i="1"/>
  <c r="Q566" i="1"/>
  <c r="T566" i="1" s="1"/>
  <c r="S565" i="1"/>
  <c r="U565" i="1" s="1"/>
  <c r="R565" i="1"/>
  <c r="Q565" i="1"/>
  <c r="T565" i="1" s="1"/>
  <c r="S564" i="1"/>
  <c r="U564" i="1" s="1"/>
  <c r="R564" i="1"/>
  <c r="Q564" i="1"/>
  <c r="T564" i="1" s="1"/>
  <c r="S563" i="1"/>
  <c r="U563" i="1" s="1"/>
  <c r="R563" i="1"/>
  <c r="Q563" i="1"/>
  <c r="T563" i="1" s="1"/>
  <c r="S562" i="1"/>
  <c r="U562" i="1" s="1"/>
  <c r="R562" i="1"/>
  <c r="Q562" i="1"/>
  <c r="T562" i="1" s="1"/>
  <c r="S561" i="1"/>
  <c r="U561" i="1" s="1"/>
  <c r="R561" i="1"/>
  <c r="Q561" i="1"/>
  <c r="T561" i="1" s="1"/>
  <c r="S560" i="1"/>
  <c r="U560" i="1" s="1"/>
  <c r="R560" i="1"/>
  <c r="Q560" i="1"/>
  <c r="T560" i="1" s="1"/>
  <c r="S559" i="1"/>
  <c r="U559" i="1" s="1"/>
  <c r="R559" i="1"/>
  <c r="Q559" i="1"/>
  <c r="T559" i="1" s="1"/>
  <c r="S558" i="1"/>
  <c r="U558" i="1" s="1"/>
  <c r="R558" i="1"/>
  <c r="Q558" i="1"/>
  <c r="T558" i="1" s="1"/>
  <c r="S557" i="1"/>
  <c r="U557" i="1" s="1"/>
  <c r="R557" i="1"/>
  <c r="Q557" i="1"/>
  <c r="T557" i="1" s="1"/>
  <c r="S556" i="1"/>
  <c r="U556" i="1" s="1"/>
  <c r="R556" i="1"/>
  <c r="Q556" i="1"/>
  <c r="T556" i="1" s="1"/>
  <c r="S555" i="1"/>
  <c r="U555" i="1" s="1"/>
  <c r="R555" i="1"/>
  <c r="Q555" i="1"/>
  <c r="T555" i="1" s="1"/>
  <c r="S554" i="1"/>
  <c r="U554" i="1" s="1"/>
  <c r="R554" i="1"/>
  <c r="Q554" i="1"/>
  <c r="T554" i="1" s="1"/>
  <c r="S553" i="1"/>
  <c r="U553" i="1" s="1"/>
  <c r="R553" i="1"/>
  <c r="Q553" i="1"/>
  <c r="T553" i="1" s="1"/>
  <c r="S552" i="1"/>
  <c r="U552" i="1" s="1"/>
  <c r="R552" i="1"/>
  <c r="Q552" i="1"/>
  <c r="T552" i="1" s="1"/>
  <c r="S551" i="1"/>
  <c r="U551" i="1" s="1"/>
  <c r="R551" i="1"/>
  <c r="Q551" i="1"/>
  <c r="T551" i="1" s="1"/>
  <c r="S550" i="1"/>
  <c r="U550" i="1" s="1"/>
  <c r="R550" i="1"/>
  <c r="Q550" i="1"/>
  <c r="T550" i="1" s="1"/>
  <c r="S549" i="1"/>
  <c r="U549" i="1" s="1"/>
  <c r="R549" i="1"/>
  <c r="Q549" i="1"/>
  <c r="T549" i="1" s="1"/>
  <c r="S548" i="1"/>
  <c r="U548" i="1" s="1"/>
  <c r="R548" i="1"/>
  <c r="Q548" i="1"/>
  <c r="T548" i="1" s="1"/>
  <c r="S547" i="1"/>
  <c r="U547" i="1" s="1"/>
  <c r="R547" i="1"/>
  <c r="Q547" i="1"/>
  <c r="T547" i="1" s="1"/>
  <c r="S546" i="1"/>
  <c r="U546" i="1" s="1"/>
  <c r="R546" i="1"/>
  <c r="Q546" i="1"/>
  <c r="T546" i="1" s="1"/>
  <c r="S545" i="1"/>
  <c r="U545" i="1" s="1"/>
  <c r="R545" i="1"/>
  <c r="Q545" i="1"/>
  <c r="T545" i="1" s="1"/>
  <c r="S544" i="1"/>
  <c r="U544" i="1" s="1"/>
  <c r="R544" i="1"/>
  <c r="Q544" i="1"/>
  <c r="T544" i="1" s="1"/>
  <c r="S543" i="1"/>
  <c r="U543" i="1" s="1"/>
  <c r="R543" i="1"/>
  <c r="Q543" i="1"/>
  <c r="T543" i="1" s="1"/>
  <c r="S542" i="1"/>
  <c r="U542" i="1" s="1"/>
  <c r="R542" i="1"/>
  <c r="Q542" i="1"/>
  <c r="T542" i="1" s="1"/>
  <c r="S541" i="1"/>
  <c r="U541" i="1" s="1"/>
  <c r="R541" i="1"/>
  <c r="Q541" i="1"/>
  <c r="T541" i="1" s="1"/>
  <c r="S540" i="1"/>
  <c r="U540" i="1" s="1"/>
  <c r="R540" i="1"/>
  <c r="Q540" i="1"/>
  <c r="T540" i="1" s="1"/>
  <c r="S539" i="1"/>
  <c r="U539" i="1" s="1"/>
  <c r="R539" i="1"/>
  <c r="Q539" i="1"/>
  <c r="T539" i="1" s="1"/>
  <c r="S538" i="1"/>
  <c r="U538" i="1" s="1"/>
  <c r="R538" i="1"/>
  <c r="Q538" i="1"/>
  <c r="T538" i="1" s="1"/>
  <c r="S537" i="1"/>
  <c r="U537" i="1" s="1"/>
  <c r="R537" i="1"/>
  <c r="Q537" i="1"/>
  <c r="T537" i="1" s="1"/>
  <c r="S536" i="1"/>
  <c r="U536" i="1" s="1"/>
  <c r="R536" i="1"/>
  <c r="Q536" i="1"/>
  <c r="T536" i="1" s="1"/>
  <c r="S535" i="1"/>
  <c r="U535" i="1" s="1"/>
  <c r="R535" i="1"/>
  <c r="Q535" i="1"/>
  <c r="T535" i="1" s="1"/>
  <c r="S534" i="1"/>
  <c r="U534" i="1" s="1"/>
  <c r="R534" i="1"/>
  <c r="Q534" i="1"/>
  <c r="T534" i="1" s="1"/>
  <c r="S533" i="1"/>
  <c r="U533" i="1" s="1"/>
  <c r="R533" i="1"/>
  <c r="Q533" i="1"/>
  <c r="T533" i="1" s="1"/>
  <c r="S532" i="1"/>
  <c r="U532" i="1" s="1"/>
  <c r="R532" i="1"/>
  <c r="Q532" i="1"/>
  <c r="T532" i="1" s="1"/>
  <c r="S531" i="1"/>
  <c r="U531" i="1" s="1"/>
  <c r="R531" i="1"/>
  <c r="Q531" i="1"/>
  <c r="T531" i="1" s="1"/>
  <c r="S530" i="1"/>
  <c r="U530" i="1" s="1"/>
  <c r="R530" i="1"/>
  <c r="Q530" i="1"/>
  <c r="T530" i="1" s="1"/>
  <c r="S529" i="1"/>
  <c r="U529" i="1" s="1"/>
  <c r="R529" i="1"/>
  <c r="Q529" i="1"/>
  <c r="T529" i="1" s="1"/>
  <c r="S528" i="1"/>
  <c r="U528" i="1" s="1"/>
  <c r="R528" i="1"/>
  <c r="Q528" i="1"/>
  <c r="T528" i="1" s="1"/>
  <c r="S527" i="1"/>
  <c r="U527" i="1" s="1"/>
  <c r="R527" i="1"/>
  <c r="Q527" i="1"/>
  <c r="T527" i="1" s="1"/>
  <c r="S526" i="1"/>
  <c r="U526" i="1" s="1"/>
  <c r="R526" i="1"/>
  <c r="Q526" i="1"/>
  <c r="T526" i="1" s="1"/>
  <c r="S525" i="1"/>
  <c r="U525" i="1" s="1"/>
  <c r="R525" i="1"/>
  <c r="Q525" i="1"/>
  <c r="T525" i="1" s="1"/>
  <c r="S524" i="1"/>
  <c r="U524" i="1" s="1"/>
  <c r="R524" i="1"/>
  <c r="Q524" i="1"/>
  <c r="T524" i="1" s="1"/>
  <c r="S523" i="1"/>
  <c r="U523" i="1" s="1"/>
  <c r="R523" i="1"/>
  <c r="Q523" i="1"/>
  <c r="T523" i="1" s="1"/>
  <c r="S522" i="1"/>
  <c r="U522" i="1" s="1"/>
  <c r="R522" i="1"/>
  <c r="Q522" i="1"/>
  <c r="T522" i="1" s="1"/>
  <c r="S521" i="1"/>
  <c r="U521" i="1" s="1"/>
  <c r="R521" i="1"/>
  <c r="Q521" i="1"/>
  <c r="T521" i="1" s="1"/>
  <c r="S520" i="1"/>
  <c r="U520" i="1" s="1"/>
  <c r="R520" i="1"/>
  <c r="Q520" i="1"/>
  <c r="T520" i="1" s="1"/>
  <c r="S519" i="1"/>
  <c r="U519" i="1" s="1"/>
  <c r="R519" i="1"/>
  <c r="Q519" i="1"/>
  <c r="T519" i="1" s="1"/>
  <c r="S518" i="1"/>
  <c r="U518" i="1" s="1"/>
  <c r="R518" i="1"/>
  <c r="Q518" i="1"/>
  <c r="T518" i="1" s="1"/>
  <c r="S517" i="1"/>
  <c r="U517" i="1" s="1"/>
  <c r="R517" i="1"/>
  <c r="Q517" i="1"/>
  <c r="T517" i="1" s="1"/>
  <c r="S516" i="1"/>
  <c r="U516" i="1" s="1"/>
  <c r="R516" i="1"/>
  <c r="Q516" i="1"/>
  <c r="T516" i="1" s="1"/>
  <c r="S515" i="1"/>
  <c r="U515" i="1" s="1"/>
  <c r="R515" i="1"/>
  <c r="Q515" i="1"/>
  <c r="T515" i="1" s="1"/>
  <c r="S514" i="1"/>
  <c r="U514" i="1" s="1"/>
  <c r="R514" i="1"/>
  <c r="Q514" i="1"/>
  <c r="T514" i="1" s="1"/>
  <c r="S513" i="1"/>
  <c r="U513" i="1" s="1"/>
  <c r="R513" i="1"/>
  <c r="Q513" i="1"/>
  <c r="T513" i="1" s="1"/>
  <c r="S512" i="1"/>
  <c r="U512" i="1" s="1"/>
  <c r="R512" i="1"/>
  <c r="Q512" i="1"/>
  <c r="T512" i="1" s="1"/>
  <c r="S511" i="1"/>
  <c r="U511" i="1" s="1"/>
  <c r="R511" i="1"/>
  <c r="Q511" i="1"/>
  <c r="T511" i="1" s="1"/>
  <c r="S510" i="1"/>
  <c r="U510" i="1" s="1"/>
  <c r="R510" i="1"/>
  <c r="Q510" i="1"/>
  <c r="T510" i="1" s="1"/>
  <c r="S509" i="1"/>
  <c r="U509" i="1" s="1"/>
  <c r="R509" i="1"/>
  <c r="Q509" i="1"/>
  <c r="T509" i="1" s="1"/>
  <c r="S508" i="1"/>
  <c r="U508" i="1" s="1"/>
  <c r="R508" i="1"/>
  <c r="Q508" i="1"/>
  <c r="T508" i="1" s="1"/>
  <c r="S507" i="1"/>
  <c r="U507" i="1" s="1"/>
  <c r="R507" i="1"/>
  <c r="Q507" i="1"/>
  <c r="T507" i="1" s="1"/>
  <c r="S506" i="1"/>
  <c r="U506" i="1" s="1"/>
  <c r="R506" i="1"/>
  <c r="Q506" i="1"/>
  <c r="T506" i="1" s="1"/>
  <c r="S505" i="1"/>
  <c r="U505" i="1" s="1"/>
  <c r="R505" i="1"/>
  <c r="Q505" i="1"/>
  <c r="T505" i="1" s="1"/>
  <c r="S504" i="1"/>
  <c r="U504" i="1" s="1"/>
  <c r="R504" i="1"/>
  <c r="Q504" i="1"/>
  <c r="T504" i="1" s="1"/>
  <c r="S503" i="1"/>
  <c r="U503" i="1" s="1"/>
  <c r="R503" i="1"/>
  <c r="Q503" i="1"/>
  <c r="T503" i="1" s="1"/>
  <c r="S502" i="1"/>
  <c r="U502" i="1" s="1"/>
  <c r="R502" i="1"/>
  <c r="Q502" i="1"/>
  <c r="T502" i="1" s="1"/>
  <c r="S501" i="1"/>
  <c r="U501" i="1" s="1"/>
  <c r="R501" i="1"/>
  <c r="Q501" i="1"/>
  <c r="T501" i="1" s="1"/>
  <c r="S500" i="1"/>
  <c r="U500" i="1" s="1"/>
  <c r="R500" i="1"/>
  <c r="Q500" i="1"/>
  <c r="T500" i="1" s="1"/>
  <c r="S499" i="1"/>
  <c r="U499" i="1" s="1"/>
  <c r="R499" i="1"/>
  <c r="Q499" i="1"/>
  <c r="T499" i="1" s="1"/>
  <c r="S498" i="1"/>
  <c r="U498" i="1" s="1"/>
  <c r="R498" i="1"/>
  <c r="Q498" i="1"/>
  <c r="T498" i="1" s="1"/>
  <c r="S497" i="1"/>
  <c r="U497" i="1" s="1"/>
  <c r="R497" i="1"/>
  <c r="Q497" i="1"/>
  <c r="T497" i="1" s="1"/>
  <c r="S496" i="1"/>
  <c r="U496" i="1" s="1"/>
  <c r="R496" i="1"/>
  <c r="Q496" i="1"/>
  <c r="T496" i="1" s="1"/>
  <c r="S495" i="1"/>
  <c r="U495" i="1" s="1"/>
  <c r="R495" i="1"/>
  <c r="Q495" i="1"/>
  <c r="T495" i="1" s="1"/>
  <c r="S494" i="1"/>
  <c r="U494" i="1" s="1"/>
  <c r="R494" i="1"/>
  <c r="Q494" i="1"/>
  <c r="T494" i="1" s="1"/>
  <c r="S493" i="1"/>
  <c r="U493" i="1" s="1"/>
  <c r="R493" i="1"/>
  <c r="Q493" i="1"/>
  <c r="T493" i="1" s="1"/>
  <c r="S492" i="1"/>
  <c r="U492" i="1" s="1"/>
  <c r="R492" i="1"/>
  <c r="Q492" i="1"/>
  <c r="T492" i="1" s="1"/>
  <c r="S491" i="1"/>
  <c r="U491" i="1" s="1"/>
  <c r="R491" i="1"/>
  <c r="Q491" i="1"/>
  <c r="T491" i="1" s="1"/>
  <c r="S490" i="1"/>
  <c r="U490" i="1" s="1"/>
  <c r="R490" i="1"/>
  <c r="Q490" i="1"/>
  <c r="T490" i="1" s="1"/>
  <c r="S489" i="1"/>
  <c r="U489" i="1" s="1"/>
  <c r="R489" i="1"/>
  <c r="Q489" i="1"/>
  <c r="T489" i="1" s="1"/>
  <c r="S488" i="1"/>
  <c r="U488" i="1" s="1"/>
  <c r="R488" i="1"/>
  <c r="Q488" i="1"/>
  <c r="T488" i="1" s="1"/>
  <c r="S487" i="1"/>
  <c r="U487" i="1" s="1"/>
  <c r="R487" i="1"/>
  <c r="Q487" i="1"/>
  <c r="T487" i="1" s="1"/>
  <c r="S486" i="1"/>
  <c r="U486" i="1" s="1"/>
  <c r="R486" i="1"/>
  <c r="Q486" i="1"/>
  <c r="T486" i="1" s="1"/>
  <c r="S485" i="1"/>
  <c r="U485" i="1" s="1"/>
  <c r="R485" i="1"/>
  <c r="Q485" i="1"/>
  <c r="T485" i="1" s="1"/>
  <c r="S484" i="1"/>
  <c r="U484" i="1" s="1"/>
  <c r="R484" i="1"/>
  <c r="Q484" i="1"/>
  <c r="T484" i="1" s="1"/>
  <c r="S483" i="1"/>
  <c r="U483" i="1" s="1"/>
  <c r="R483" i="1"/>
  <c r="Q483" i="1"/>
  <c r="T483" i="1" s="1"/>
  <c r="S482" i="1"/>
  <c r="U482" i="1" s="1"/>
  <c r="R482" i="1"/>
  <c r="Q482" i="1"/>
  <c r="T482" i="1" s="1"/>
  <c r="S481" i="1"/>
  <c r="U481" i="1" s="1"/>
  <c r="R481" i="1"/>
  <c r="Q481" i="1"/>
  <c r="T481" i="1" s="1"/>
  <c r="S480" i="1"/>
  <c r="U480" i="1" s="1"/>
  <c r="R480" i="1"/>
  <c r="Q480" i="1"/>
  <c r="T480" i="1" s="1"/>
  <c r="S479" i="1"/>
  <c r="U479" i="1" s="1"/>
  <c r="R479" i="1"/>
  <c r="Q479" i="1"/>
  <c r="T479" i="1" s="1"/>
  <c r="S478" i="1"/>
  <c r="U478" i="1" s="1"/>
  <c r="R478" i="1"/>
  <c r="Q478" i="1"/>
  <c r="T478" i="1" s="1"/>
  <c r="S477" i="1"/>
  <c r="U477" i="1" s="1"/>
  <c r="R477" i="1"/>
  <c r="Q477" i="1"/>
  <c r="T477" i="1" s="1"/>
  <c r="S476" i="1"/>
  <c r="U476" i="1" s="1"/>
  <c r="R476" i="1"/>
  <c r="Q476" i="1"/>
  <c r="T476" i="1" s="1"/>
  <c r="S475" i="1"/>
  <c r="U475" i="1" s="1"/>
  <c r="R475" i="1"/>
  <c r="Q475" i="1"/>
  <c r="T475" i="1" s="1"/>
  <c r="S474" i="1"/>
  <c r="U474" i="1" s="1"/>
  <c r="R474" i="1"/>
  <c r="Q474" i="1"/>
  <c r="T474" i="1" s="1"/>
  <c r="S473" i="1"/>
  <c r="U473" i="1" s="1"/>
  <c r="R473" i="1"/>
  <c r="Q473" i="1"/>
  <c r="T473" i="1" s="1"/>
  <c r="S472" i="1"/>
  <c r="U472" i="1" s="1"/>
  <c r="R472" i="1"/>
  <c r="Q472" i="1"/>
  <c r="T472" i="1" s="1"/>
  <c r="S471" i="1"/>
  <c r="U471" i="1" s="1"/>
  <c r="R471" i="1"/>
  <c r="Q471" i="1"/>
  <c r="T471" i="1" s="1"/>
  <c r="S470" i="1"/>
  <c r="U470" i="1" s="1"/>
  <c r="R470" i="1"/>
  <c r="Q470" i="1"/>
  <c r="T470" i="1" s="1"/>
  <c r="S469" i="1"/>
  <c r="U469" i="1" s="1"/>
  <c r="R469" i="1"/>
  <c r="Q469" i="1"/>
  <c r="T469" i="1" s="1"/>
  <c r="S468" i="1"/>
  <c r="U468" i="1" s="1"/>
  <c r="R468" i="1"/>
  <c r="Q468" i="1"/>
  <c r="T468" i="1" s="1"/>
  <c r="S467" i="1"/>
  <c r="U467" i="1" s="1"/>
  <c r="R467" i="1"/>
  <c r="Q467" i="1"/>
  <c r="T467" i="1" s="1"/>
  <c r="S466" i="1"/>
  <c r="U466" i="1" s="1"/>
  <c r="R466" i="1"/>
  <c r="Q466" i="1"/>
  <c r="T466" i="1" s="1"/>
  <c r="S465" i="1"/>
  <c r="U465" i="1" s="1"/>
  <c r="R465" i="1"/>
  <c r="Q465" i="1"/>
  <c r="T465" i="1" s="1"/>
  <c r="S464" i="1"/>
  <c r="U464" i="1" s="1"/>
  <c r="R464" i="1"/>
  <c r="Q464" i="1"/>
  <c r="T464" i="1" s="1"/>
  <c r="S463" i="1"/>
  <c r="U463" i="1" s="1"/>
  <c r="R463" i="1"/>
  <c r="Q463" i="1"/>
  <c r="T463" i="1" s="1"/>
  <c r="S462" i="1"/>
  <c r="U462" i="1" s="1"/>
  <c r="R462" i="1"/>
  <c r="Q462" i="1"/>
  <c r="T462" i="1" s="1"/>
  <c r="S461" i="1"/>
  <c r="U461" i="1" s="1"/>
  <c r="R461" i="1"/>
  <c r="Q461" i="1"/>
  <c r="T461" i="1" s="1"/>
  <c r="S460" i="1"/>
  <c r="U460" i="1" s="1"/>
  <c r="R460" i="1"/>
  <c r="Q460" i="1"/>
  <c r="T460" i="1" s="1"/>
  <c r="S459" i="1"/>
  <c r="U459" i="1" s="1"/>
  <c r="R459" i="1"/>
  <c r="Q459" i="1"/>
  <c r="T459" i="1" s="1"/>
  <c r="S458" i="1"/>
  <c r="U458" i="1" s="1"/>
  <c r="R458" i="1"/>
  <c r="Q458" i="1"/>
  <c r="T458" i="1" s="1"/>
  <c r="S457" i="1"/>
  <c r="U457" i="1" s="1"/>
  <c r="R457" i="1"/>
  <c r="Q457" i="1"/>
  <c r="T457" i="1" s="1"/>
  <c r="S456" i="1"/>
  <c r="U456" i="1" s="1"/>
  <c r="R456" i="1"/>
  <c r="Q456" i="1"/>
  <c r="T456" i="1" s="1"/>
  <c r="S455" i="1"/>
  <c r="U455" i="1" s="1"/>
  <c r="R455" i="1"/>
  <c r="Q455" i="1"/>
  <c r="T455" i="1" s="1"/>
  <c r="S454" i="1"/>
  <c r="U454" i="1" s="1"/>
  <c r="R454" i="1"/>
  <c r="Q454" i="1"/>
  <c r="T454" i="1" s="1"/>
  <c r="S453" i="1"/>
  <c r="U453" i="1" s="1"/>
  <c r="R453" i="1"/>
  <c r="Q453" i="1"/>
  <c r="T453" i="1" s="1"/>
  <c r="S452" i="1"/>
  <c r="U452" i="1" s="1"/>
  <c r="R452" i="1"/>
  <c r="Q452" i="1"/>
  <c r="T452" i="1" s="1"/>
  <c r="S451" i="1"/>
  <c r="U451" i="1" s="1"/>
  <c r="R451" i="1"/>
  <c r="Q451" i="1"/>
  <c r="T451" i="1" s="1"/>
  <c r="S450" i="1"/>
  <c r="U450" i="1" s="1"/>
  <c r="R450" i="1"/>
  <c r="Q450" i="1"/>
  <c r="T450" i="1" s="1"/>
  <c r="S449" i="1"/>
  <c r="U449" i="1" s="1"/>
  <c r="R449" i="1"/>
  <c r="Q449" i="1"/>
  <c r="T449" i="1" s="1"/>
  <c r="S448" i="1"/>
  <c r="U448" i="1" s="1"/>
  <c r="R448" i="1"/>
  <c r="Q448" i="1"/>
  <c r="T448" i="1" s="1"/>
  <c r="S447" i="1"/>
  <c r="U447" i="1" s="1"/>
  <c r="R447" i="1"/>
  <c r="Q447" i="1"/>
  <c r="T447" i="1" s="1"/>
  <c r="S446" i="1"/>
  <c r="U446" i="1" s="1"/>
  <c r="R446" i="1"/>
  <c r="Q446" i="1"/>
  <c r="T446" i="1" s="1"/>
  <c r="S445" i="1"/>
  <c r="U445" i="1" s="1"/>
  <c r="R445" i="1"/>
  <c r="Q445" i="1"/>
  <c r="T445" i="1" s="1"/>
  <c r="S444" i="1"/>
  <c r="U444" i="1" s="1"/>
  <c r="R444" i="1"/>
  <c r="Q444" i="1"/>
  <c r="T444" i="1" s="1"/>
  <c r="S443" i="1"/>
  <c r="U443" i="1" s="1"/>
  <c r="R443" i="1"/>
  <c r="Q443" i="1"/>
  <c r="T443" i="1" s="1"/>
  <c r="S442" i="1"/>
  <c r="U442" i="1" s="1"/>
  <c r="R442" i="1"/>
  <c r="Q442" i="1"/>
  <c r="T442" i="1" s="1"/>
  <c r="S441" i="1"/>
  <c r="U441" i="1" s="1"/>
  <c r="R441" i="1"/>
  <c r="Q441" i="1"/>
  <c r="T441" i="1" s="1"/>
  <c r="S440" i="1"/>
  <c r="U440" i="1" s="1"/>
  <c r="R440" i="1"/>
  <c r="Q440" i="1"/>
  <c r="T440" i="1" s="1"/>
  <c r="S439" i="1"/>
  <c r="U439" i="1" s="1"/>
  <c r="R439" i="1"/>
  <c r="Q439" i="1"/>
  <c r="T439" i="1" s="1"/>
  <c r="S438" i="1"/>
  <c r="U438" i="1" s="1"/>
  <c r="R438" i="1"/>
  <c r="Q438" i="1"/>
  <c r="T438" i="1" s="1"/>
  <c r="S437" i="1"/>
  <c r="U437" i="1" s="1"/>
  <c r="R437" i="1"/>
  <c r="Q437" i="1"/>
  <c r="T437" i="1" s="1"/>
  <c r="S436" i="1"/>
  <c r="U436" i="1" s="1"/>
  <c r="R436" i="1"/>
  <c r="Q436" i="1"/>
  <c r="T436" i="1" s="1"/>
  <c r="S435" i="1"/>
  <c r="U435" i="1" s="1"/>
  <c r="R435" i="1"/>
  <c r="Q435" i="1"/>
  <c r="T435" i="1" s="1"/>
  <c r="S434" i="1"/>
  <c r="U434" i="1" s="1"/>
  <c r="R434" i="1"/>
  <c r="Q434" i="1"/>
  <c r="T434" i="1" s="1"/>
  <c r="S433" i="1"/>
  <c r="U433" i="1" s="1"/>
  <c r="R433" i="1"/>
  <c r="Q433" i="1"/>
  <c r="T433" i="1" s="1"/>
  <c r="S432" i="1"/>
  <c r="U432" i="1" s="1"/>
  <c r="R432" i="1"/>
  <c r="Q432" i="1"/>
  <c r="T432" i="1" s="1"/>
  <c r="S431" i="1"/>
  <c r="U431" i="1" s="1"/>
  <c r="R431" i="1"/>
  <c r="Q431" i="1"/>
  <c r="T431" i="1" s="1"/>
  <c r="S430" i="1"/>
  <c r="U430" i="1" s="1"/>
  <c r="R430" i="1"/>
  <c r="Q430" i="1"/>
  <c r="T430" i="1" s="1"/>
  <c r="S429" i="1"/>
  <c r="U429" i="1" s="1"/>
  <c r="R429" i="1"/>
  <c r="Q429" i="1"/>
  <c r="T429" i="1" s="1"/>
  <c r="S428" i="1"/>
  <c r="U428" i="1" s="1"/>
  <c r="R428" i="1"/>
  <c r="Q428" i="1"/>
  <c r="T428" i="1" s="1"/>
  <c r="S427" i="1"/>
  <c r="U427" i="1" s="1"/>
  <c r="R427" i="1"/>
  <c r="Q427" i="1"/>
  <c r="T427" i="1" s="1"/>
  <c r="S426" i="1"/>
  <c r="U426" i="1" s="1"/>
  <c r="R426" i="1"/>
  <c r="Q426" i="1"/>
  <c r="T426" i="1" s="1"/>
  <c r="S425" i="1"/>
  <c r="U425" i="1" s="1"/>
  <c r="R425" i="1"/>
  <c r="Q425" i="1"/>
  <c r="T425" i="1" s="1"/>
  <c r="S424" i="1"/>
  <c r="U424" i="1" s="1"/>
  <c r="R424" i="1"/>
  <c r="Q424" i="1"/>
  <c r="T424" i="1" s="1"/>
  <c r="S423" i="1"/>
  <c r="U423" i="1" s="1"/>
  <c r="R423" i="1"/>
  <c r="Q423" i="1"/>
  <c r="T423" i="1" s="1"/>
  <c r="S422" i="1"/>
  <c r="U422" i="1" s="1"/>
  <c r="R422" i="1"/>
  <c r="Q422" i="1"/>
  <c r="T422" i="1" s="1"/>
  <c r="S421" i="1"/>
  <c r="U421" i="1" s="1"/>
  <c r="R421" i="1"/>
  <c r="Q421" i="1"/>
  <c r="T421" i="1" s="1"/>
  <c r="S420" i="1"/>
  <c r="U420" i="1" s="1"/>
  <c r="R420" i="1"/>
  <c r="Q420" i="1"/>
  <c r="T420" i="1" s="1"/>
  <c r="S419" i="1"/>
  <c r="U419" i="1" s="1"/>
  <c r="R419" i="1"/>
  <c r="Q419" i="1"/>
  <c r="T419" i="1" s="1"/>
  <c r="S418" i="1"/>
  <c r="U418" i="1" s="1"/>
  <c r="R418" i="1"/>
  <c r="Q418" i="1"/>
  <c r="T418" i="1" s="1"/>
  <c r="S417" i="1"/>
  <c r="U417" i="1" s="1"/>
  <c r="R417" i="1"/>
  <c r="Q417" i="1"/>
  <c r="T417" i="1" s="1"/>
  <c r="S416" i="1"/>
  <c r="U416" i="1" s="1"/>
  <c r="R416" i="1"/>
  <c r="Q416" i="1"/>
  <c r="T416" i="1" s="1"/>
  <c r="S415" i="1"/>
  <c r="U415" i="1" s="1"/>
  <c r="R415" i="1"/>
  <c r="Q415" i="1"/>
  <c r="T415" i="1" s="1"/>
  <c r="S414" i="1"/>
  <c r="U414" i="1" s="1"/>
  <c r="R414" i="1"/>
  <c r="Q414" i="1"/>
  <c r="T414" i="1" s="1"/>
  <c r="S413" i="1"/>
  <c r="U413" i="1" s="1"/>
  <c r="R413" i="1"/>
  <c r="Q413" i="1"/>
  <c r="T413" i="1" s="1"/>
  <c r="S412" i="1"/>
  <c r="U412" i="1" s="1"/>
  <c r="R412" i="1"/>
  <c r="Q412" i="1"/>
  <c r="T412" i="1" s="1"/>
  <c r="S411" i="1"/>
  <c r="U411" i="1" s="1"/>
  <c r="R411" i="1"/>
  <c r="Q411" i="1"/>
  <c r="T411" i="1" s="1"/>
  <c r="S410" i="1"/>
  <c r="U410" i="1" s="1"/>
  <c r="R410" i="1"/>
  <c r="Q410" i="1"/>
  <c r="T410" i="1" s="1"/>
  <c r="S409" i="1"/>
  <c r="U409" i="1" s="1"/>
  <c r="R409" i="1"/>
  <c r="Q409" i="1"/>
  <c r="T409" i="1" s="1"/>
  <c r="S408" i="1"/>
  <c r="U408" i="1" s="1"/>
  <c r="R408" i="1"/>
  <c r="Q408" i="1"/>
  <c r="T408" i="1" s="1"/>
  <c r="S407" i="1"/>
  <c r="U407" i="1" s="1"/>
  <c r="R407" i="1"/>
  <c r="Q407" i="1"/>
  <c r="T407" i="1" s="1"/>
  <c r="S406" i="1"/>
  <c r="U406" i="1" s="1"/>
  <c r="R406" i="1"/>
  <c r="Q406" i="1"/>
  <c r="T406" i="1" s="1"/>
  <c r="S405" i="1"/>
  <c r="U405" i="1" s="1"/>
  <c r="R405" i="1"/>
  <c r="Q405" i="1"/>
  <c r="T405" i="1" s="1"/>
  <c r="S404" i="1"/>
  <c r="U404" i="1" s="1"/>
  <c r="R404" i="1"/>
  <c r="Q404" i="1"/>
  <c r="T404" i="1" s="1"/>
  <c r="S403" i="1"/>
  <c r="U403" i="1" s="1"/>
  <c r="R403" i="1"/>
  <c r="Q403" i="1"/>
  <c r="T403" i="1" s="1"/>
  <c r="S402" i="1"/>
  <c r="U402" i="1" s="1"/>
  <c r="R402" i="1"/>
  <c r="Q402" i="1"/>
  <c r="T402" i="1" s="1"/>
  <c r="S401" i="1"/>
  <c r="U401" i="1" s="1"/>
  <c r="R401" i="1"/>
  <c r="Q401" i="1"/>
  <c r="T401" i="1" s="1"/>
  <c r="S400" i="1"/>
  <c r="U400" i="1" s="1"/>
  <c r="R400" i="1"/>
  <c r="Q400" i="1"/>
  <c r="T400" i="1" s="1"/>
  <c r="S399" i="1"/>
  <c r="U399" i="1" s="1"/>
  <c r="R399" i="1"/>
  <c r="Q399" i="1"/>
  <c r="T399" i="1" s="1"/>
  <c r="S398" i="1"/>
  <c r="U398" i="1" s="1"/>
  <c r="R398" i="1"/>
  <c r="Q398" i="1"/>
  <c r="T398" i="1" s="1"/>
  <c r="S397" i="1"/>
  <c r="U397" i="1" s="1"/>
  <c r="R397" i="1"/>
  <c r="Q397" i="1"/>
  <c r="T397" i="1" s="1"/>
  <c r="S396" i="1"/>
  <c r="U396" i="1" s="1"/>
  <c r="R396" i="1"/>
  <c r="Q396" i="1"/>
  <c r="T396" i="1" s="1"/>
  <c r="S395" i="1"/>
  <c r="U395" i="1" s="1"/>
  <c r="R395" i="1"/>
  <c r="Q395" i="1"/>
  <c r="T395" i="1" s="1"/>
  <c r="S394" i="1"/>
  <c r="U394" i="1" s="1"/>
  <c r="R394" i="1"/>
  <c r="Q394" i="1"/>
  <c r="T394" i="1" s="1"/>
  <c r="S393" i="1"/>
  <c r="U393" i="1" s="1"/>
  <c r="R393" i="1"/>
  <c r="Q393" i="1"/>
  <c r="T393" i="1" s="1"/>
  <c r="S392" i="1"/>
  <c r="U392" i="1" s="1"/>
  <c r="R392" i="1"/>
  <c r="Q392" i="1"/>
  <c r="T392" i="1" s="1"/>
  <c r="S391" i="1"/>
  <c r="U391" i="1" s="1"/>
  <c r="R391" i="1"/>
  <c r="Q391" i="1"/>
  <c r="T391" i="1" s="1"/>
  <c r="S390" i="1"/>
  <c r="U390" i="1" s="1"/>
  <c r="R390" i="1"/>
  <c r="Q390" i="1"/>
  <c r="T390" i="1" s="1"/>
  <c r="S389" i="1"/>
  <c r="U389" i="1" s="1"/>
  <c r="R389" i="1"/>
  <c r="Q389" i="1"/>
  <c r="T389" i="1" s="1"/>
  <c r="S388" i="1"/>
  <c r="U388" i="1" s="1"/>
  <c r="R388" i="1"/>
  <c r="Q388" i="1"/>
  <c r="T388" i="1" s="1"/>
  <c r="S387" i="1"/>
  <c r="U387" i="1" s="1"/>
  <c r="R387" i="1"/>
  <c r="Q387" i="1"/>
  <c r="T387" i="1" s="1"/>
  <c r="S386" i="1"/>
  <c r="U386" i="1" s="1"/>
  <c r="R386" i="1"/>
  <c r="Q386" i="1"/>
  <c r="T386" i="1" s="1"/>
  <c r="S385" i="1"/>
  <c r="U385" i="1" s="1"/>
  <c r="R385" i="1"/>
  <c r="Q385" i="1"/>
  <c r="T385" i="1" s="1"/>
  <c r="S384" i="1"/>
  <c r="U384" i="1" s="1"/>
  <c r="R384" i="1"/>
  <c r="Q384" i="1"/>
  <c r="T384" i="1" s="1"/>
  <c r="S383" i="1"/>
  <c r="U383" i="1" s="1"/>
  <c r="R383" i="1"/>
  <c r="Q383" i="1"/>
  <c r="T383" i="1" s="1"/>
  <c r="S382" i="1"/>
  <c r="U382" i="1" s="1"/>
  <c r="R382" i="1"/>
  <c r="Q382" i="1"/>
  <c r="T382" i="1" s="1"/>
  <c r="S381" i="1"/>
  <c r="U381" i="1" s="1"/>
  <c r="R381" i="1"/>
  <c r="Q381" i="1"/>
  <c r="T381" i="1" s="1"/>
  <c r="S380" i="1"/>
  <c r="U380" i="1" s="1"/>
  <c r="R380" i="1"/>
  <c r="Q380" i="1"/>
  <c r="T380" i="1" s="1"/>
  <c r="S379" i="1"/>
  <c r="U379" i="1" s="1"/>
  <c r="R379" i="1"/>
  <c r="Q379" i="1"/>
  <c r="T379" i="1" s="1"/>
  <c r="S378" i="1"/>
  <c r="U378" i="1" s="1"/>
  <c r="R378" i="1"/>
  <c r="Q378" i="1"/>
  <c r="T378" i="1" s="1"/>
  <c r="S377" i="1"/>
  <c r="U377" i="1" s="1"/>
  <c r="R377" i="1"/>
  <c r="Q377" i="1"/>
  <c r="T377" i="1" s="1"/>
  <c r="S376" i="1"/>
  <c r="U376" i="1" s="1"/>
  <c r="R376" i="1"/>
  <c r="Q376" i="1"/>
  <c r="T376" i="1" s="1"/>
  <c r="S375" i="1"/>
  <c r="U375" i="1" s="1"/>
  <c r="R375" i="1"/>
  <c r="Q375" i="1"/>
  <c r="T375" i="1" s="1"/>
  <c r="S374" i="1"/>
  <c r="U374" i="1" s="1"/>
  <c r="R374" i="1"/>
  <c r="Q374" i="1"/>
  <c r="T374" i="1" s="1"/>
  <c r="S373" i="1"/>
  <c r="U373" i="1" s="1"/>
  <c r="R373" i="1"/>
  <c r="Q373" i="1"/>
  <c r="T373" i="1" s="1"/>
  <c r="S372" i="1"/>
  <c r="U372" i="1" s="1"/>
  <c r="R372" i="1"/>
  <c r="Q372" i="1"/>
  <c r="T372" i="1" s="1"/>
  <c r="S371" i="1"/>
  <c r="U371" i="1" s="1"/>
  <c r="R371" i="1"/>
  <c r="Q371" i="1"/>
  <c r="T371" i="1" s="1"/>
  <c r="S370" i="1"/>
  <c r="U370" i="1" s="1"/>
  <c r="R370" i="1"/>
  <c r="Q370" i="1"/>
  <c r="T370" i="1" s="1"/>
  <c r="S369" i="1"/>
  <c r="U369" i="1" s="1"/>
  <c r="R369" i="1"/>
  <c r="Q369" i="1"/>
  <c r="T369" i="1" s="1"/>
  <c r="S368" i="1"/>
  <c r="U368" i="1" s="1"/>
  <c r="R368" i="1"/>
  <c r="Q368" i="1"/>
  <c r="T368" i="1" s="1"/>
  <c r="S367" i="1"/>
  <c r="U367" i="1" s="1"/>
  <c r="R367" i="1"/>
  <c r="Q367" i="1"/>
  <c r="T367" i="1" s="1"/>
  <c r="S366" i="1"/>
  <c r="U366" i="1" s="1"/>
  <c r="R366" i="1"/>
  <c r="Q366" i="1"/>
  <c r="T366" i="1" s="1"/>
  <c r="S365" i="1"/>
  <c r="U365" i="1" s="1"/>
  <c r="R365" i="1"/>
  <c r="Q365" i="1"/>
  <c r="T365" i="1" s="1"/>
  <c r="S364" i="1"/>
  <c r="U364" i="1" s="1"/>
  <c r="R364" i="1"/>
  <c r="Q364" i="1"/>
  <c r="T364" i="1" s="1"/>
  <c r="S363" i="1"/>
  <c r="U363" i="1" s="1"/>
  <c r="R363" i="1"/>
  <c r="Q363" i="1"/>
  <c r="T363" i="1" s="1"/>
  <c r="S362" i="1"/>
  <c r="U362" i="1" s="1"/>
  <c r="R362" i="1"/>
  <c r="Q362" i="1"/>
  <c r="T362" i="1" s="1"/>
  <c r="S361" i="1"/>
  <c r="U361" i="1" s="1"/>
  <c r="R361" i="1"/>
  <c r="Q361" i="1"/>
  <c r="T361" i="1" s="1"/>
  <c r="S360" i="1"/>
  <c r="U360" i="1" s="1"/>
  <c r="R360" i="1"/>
  <c r="Q360" i="1"/>
  <c r="T360" i="1" s="1"/>
  <c r="S359" i="1"/>
  <c r="U359" i="1" s="1"/>
  <c r="R359" i="1"/>
  <c r="Q359" i="1"/>
  <c r="T359" i="1" s="1"/>
  <c r="S358" i="1"/>
  <c r="U358" i="1" s="1"/>
  <c r="R358" i="1"/>
  <c r="Q358" i="1"/>
  <c r="T358" i="1" s="1"/>
  <c r="S357" i="1"/>
  <c r="U357" i="1" s="1"/>
  <c r="R357" i="1"/>
  <c r="Q357" i="1"/>
  <c r="T357" i="1" s="1"/>
  <c r="S356" i="1"/>
  <c r="U356" i="1" s="1"/>
  <c r="R356" i="1"/>
  <c r="Q356" i="1"/>
  <c r="T356" i="1" s="1"/>
  <c r="S355" i="1"/>
  <c r="U355" i="1" s="1"/>
  <c r="R355" i="1"/>
  <c r="Q355" i="1"/>
  <c r="T355" i="1" s="1"/>
  <c r="S354" i="1"/>
  <c r="U354" i="1" s="1"/>
  <c r="R354" i="1"/>
  <c r="Q354" i="1"/>
  <c r="T354" i="1" s="1"/>
  <c r="S353" i="1"/>
  <c r="U353" i="1" s="1"/>
  <c r="R353" i="1"/>
  <c r="Q353" i="1"/>
  <c r="T353" i="1" s="1"/>
  <c r="S352" i="1"/>
  <c r="U352" i="1" s="1"/>
  <c r="R352" i="1"/>
  <c r="Q352" i="1"/>
  <c r="T352" i="1" s="1"/>
  <c r="S351" i="1"/>
  <c r="U351" i="1" s="1"/>
  <c r="R351" i="1"/>
  <c r="Q351" i="1"/>
  <c r="T351" i="1" s="1"/>
  <c r="S350" i="1"/>
  <c r="U350" i="1" s="1"/>
  <c r="R350" i="1"/>
  <c r="Q350" i="1"/>
  <c r="T350" i="1" s="1"/>
  <c r="S349" i="1"/>
  <c r="U349" i="1" s="1"/>
  <c r="R349" i="1"/>
  <c r="Q349" i="1"/>
  <c r="T349" i="1" s="1"/>
  <c r="S348" i="1"/>
  <c r="U348" i="1" s="1"/>
  <c r="R348" i="1"/>
  <c r="Q348" i="1"/>
  <c r="T348" i="1" s="1"/>
  <c r="S347" i="1"/>
  <c r="U347" i="1" s="1"/>
  <c r="R347" i="1"/>
  <c r="Q347" i="1"/>
  <c r="T347" i="1" s="1"/>
  <c r="S346" i="1"/>
  <c r="U346" i="1" s="1"/>
  <c r="R346" i="1"/>
  <c r="Q346" i="1"/>
  <c r="T346" i="1" s="1"/>
  <c r="S345" i="1"/>
  <c r="U345" i="1" s="1"/>
  <c r="R345" i="1"/>
  <c r="Q345" i="1"/>
  <c r="T345" i="1" s="1"/>
  <c r="S344" i="1"/>
  <c r="U344" i="1" s="1"/>
  <c r="R344" i="1"/>
  <c r="Q344" i="1"/>
  <c r="T344" i="1" s="1"/>
  <c r="S343" i="1"/>
  <c r="U343" i="1" s="1"/>
  <c r="R343" i="1"/>
  <c r="Q343" i="1"/>
  <c r="T343" i="1" s="1"/>
  <c r="S342" i="1"/>
  <c r="U342" i="1" s="1"/>
  <c r="R342" i="1"/>
  <c r="Q342" i="1"/>
  <c r="T342" i="1" s="1"/>
  <c r="S341" i="1"/>
  <c r="U341" i="1" s="1"/>
  <c r="R341" i="1"/>
  <c r="Q341" i="1"/>
  <c r="T341" i="1" s="1"/>
  <c r="S340" i="1"/>
  <c r="U340" i="1" s="1"/>
  <c r="R340" i="1"/>
  <c r="Q340" i="1"/>
  <c r="T340" i="1" s="1"/>
  <c r="S339" i="1"/>
  <c r="U339" i="1" s="1"/>
  <c r="R339" i="1"/>
  <c r="Q339" i="1"/>
  <c r="T339" i="1" s="1"/>
  <c r="S338" i="1"/>
  <c r="U338" i="1" s="1"/>
  <c r="R338" i="1"/>
  <c r="Q338" i="1"/>
  <c r="T338" i="1" s="1"/>
  <c r="S337" i="1"/>
  <c r="U337" i="1" s="1"/>
  <c r="R337" i="1"/>
  <c r="Q337" i="1"/>
  <c r="T337" i="1" s="1"/>
  <c r="S336" i="1"/>
  <c r="U336" i="1" s="1"/>
  <c r="R336" i="1"/>
  <c r="Q336" i="1"/>
  <c r="T336" i="1" s="1"/>
  <c r="S335" i="1"/>
  <c r="U335" i="1" s="1"/>
  <c r="R335" i="1"/>
  <c r="Q335" i="1"/>
  <c r="T335" i="1" s="1"/>
  <c r="S334" i="1"/>
  <c r="U334" i="1" s="1"/>
  <c r="R334" i="1"/>
  <c r="Q334" i="1"/>
  <c r="T334" i="1" s="1"/>
  <c r="S333" i="1"/>
  <c r="U333" i="1" s="1"/>
  <c r="R333" i="1"/>
  <c r="Q333" i="1"/>
  <c r="T333" i="1" s="1"/>
  <c r="S332" i="1"/>
  <c r="U332" i="1" s="1"/>
  <c r="R332" i="1"/>
  <c r="Q332" i="1"/>
  <c r="T332" i="1" s="1"/>
  <c r="S331" i="1"/>
  <c r="U331" i="1" s="1"/>
  <c r="R331" i="1"/>
  <c r="Q331" i="1"/>
  <c r="T331" i="1" s="1"/>
  <c r="S330" i="1"/>
  <c r="U330" i="1" s="1"/>
  <c r="R330" i="1"/>
  <c r="Q330" i="1"/>
  <c r="T330" i="1" s="1"/>
  <c r="S329" i="1"/>
  <c r="U329" i="1" s="1"/>
  <c r="R329" i="1"/>
  <c r="Q329" i="1"/>
  <c r="T329" i="1" s="1"/>
  <c r="S328" i="1"/>
  <c r="U328" i="1" s="1"/>
  <c r="R328" i="1"/>
  <c r="Q328" i="1"/>
  <c r="T328" i="1" s="1"/>
  <c r="S327" i="1"/>
  <c r="U327" i="1" s="1"/>
  <c r="R327" i="1"/>
  <c r="Q327" i="1"/>
  <c r="T327" i="1" s="1"/>
  <c r="S326" i="1"/>
  <c r="U326" i="1" s="1"/>
  <c r="R326" i="1"/>
  <c r="Q326" i="1"/>
  <c r="T326" i="1" s="1"/>
  <c r="S325" i="1"/>
  <c r="U325" i="1" s="1"/>
  <c r="R325" i="1"/>
  <c r="Q325" i="1"/>
  <c r="T325" i="1" s="1"/>
  <c r="S324" i="1"/>
  <c r="U324" i="1" s="1"/>
  <c r="R324" i="1"/>
  <c r="Q324" i="1"/>
  <c r="T324" i="1" s="1"/>
  <c r="S323" i="1"/>
  <c r="U323" i="1" s="1"/>
  <c r="R323" i="1"/>
  <c r="Q323" i="1"/>
  <c r="T323" i="1" s="1"/>
  <c r="S322" i="1"/>
  <c r="U322" i="1" s="1"/>
  <c r="R322" i="1"/>
  <c r="Q322" i="1"/>
  <c r="T322" i="1" s="1"/>
  <c r="S321" i="1"/>
  <c r="U321" i="1" s="1"/>
  <c r="R321" i="1"/>
  <c r="Q321" i="1"/>
  <c r="T321" i="1" s="1"/>
  <c r="S320" i="1"/>
  <c r="U320" i="1" s="1"/>
  <c r="R320" i="1"/>
  <c r="Q320" i="1"/>
  <c r="T320" i="1" s="1"/>
  <c r="S319" i="1"/>
  <c r="U319" i="1" s="1"/>
  <c r="R319" i="1"/>
  <c r="Q319" i="1"/>
  <c r="T319" i="1" s="1"/>
  <c r="S318" i="1"/>
  <c r="U318" i="1" s="1"/>
  <c r="R318" i="1"/>
  <c r="Q318" i="1"/>
  <c r="T318" i="1" s="1"/>
  <c r="S317" i="1"/>
  <c r="U317" i="1" s="1"/>
  <c r="R317" i="1"/>
  <c r="Q317" i="1"/>
  <c r="T317" i="1" s="1"/>
  <c r="S316" i="1"/>
  <c r="U316" i="1" s="1"/>
  <c r="R316" i="1"/>
  <c r="Q316" i="1"/>
  <c r="T316" i="1" s="1"/>
  <c r="S315" i="1"/>
  <c r="U315" i="1" s="1"/>
  <c r="R315" i="1"/>
  <c r="Q315" i="1"/>
  <c r="T315" i="1" s="1"/>
  <c r="S314" i="1"/>
  <c r="U314" i="1" s="1"/>
  <c r="R314" i="1"/>
  <c r="Q314" i="1"/>
  <c r="T314" i="1" s="1"/>
  <c r="S313" i="1"/>
  <c r="U313" i="1" s="1"/>
  <c r="R313" i="1"/>
  <c r="Q313" i="1"/>
  <c r="T313" i="1" s="1"/>
  <c r="S312" i="1"/>
  <c r="U312" i="1" s="1"/>
  <c r="R312" i="1"/>
  <c r="Q312" i="1"/>
  <c r="T312" i="1" s="1"/>
  <c r="S311" i="1"/>
  <c r="U311" i="1" s="1"/>
  <c r="R311" i="1"/>
  <c r="Q311" i="1"/>
  <c r="T311" i="1" s="1"/>
  <c r="S310" i="1"/>
  <c r="U310" i="1" s="1"/>
  <c r="R310" i="1"/>
  <c r="Q310" i="1"/>
  <c r="T310" i="1" s="1"/>
  <c r="S309" i="1"/>
  <c r="U309" i="1" s="1"/>
  <c r="R309" i="1"/>
  <c r="Q309" i="1"/>
  <c r="T309" i="1" s="1"/>
  <c r="S308" i="1"/>
  <c r="U308" i="1" s="1"/>
  <c r="R308" i="1"/>
  <c r="Q308" i="1"/>
  <c r="T308" i="1" s="1"/>
  <c r="S307" i="1"/>
  <c r="U307" i="1" s="1"/>
  <c r="R307" i="1"/>
  <c r="Q307" i="1"/>
  <c r="T307" i="1" s="1"/>
  <c r="S306" i="1"/>
  <c r="U306" i="1" s="1"/>
  <c r="R306" i="1"/>
  <c r="Q306" i="1"/>
  <c r="T306" i="1" s="1"/>
  <c r="S305" i="1"/>
  <c r="U305" i="1" s="1"/>
  <c r="R305" i="1"/>
  <c r="Q305" i="1"/>
  <c r="T305" i="1" s="1"/>
  <c r="S304" i="1"/>
  <c r="U304" i="1" s="1"/>
  <c r="R304" i="1"/>
  <c r="Q304" i="1"/>
  <c r="T304" i="1" s="1"/>
  <c r="S303" i="1"/>
  <c r="U303" i="1" s="1"/>
  <c r="R303" i="1"/>
  <c r="Q303" i="1"/>
  <c r="T303" i="1" s="1"/>
  <c r="S302" i="1"/>
  <c r="U302" i="1" s="1"/>
  <c r="R302" i="1"/>
  <c r="Q302" i="1"/>
  <c r="T302" i="1" s="1"/>
  <c r="S301" i="1"/>
  <c r="U301" i="1" s="1"/>
  <c r="R301" i="1"/>
  <c r="Q301" i="1"/>
  <c r="T301" i="1" s="1"/>
  <c r="S300" i="1"/>
  <c r="U300" i="1" s="1"/>
  <c r="R300" i="1"/>
  <c r="Q300" i="1"/>
  <c r="T300" i="1" s="1"/>
  <c r="S299" i="1"/>
  <c r="U299" i="1" s="1"/>
  <c r="R299" i="1"/>
  <c r="Q299" i="1"/>
  <c r="T299" i="1" s="1"/>
  <c r="S298" i="1"/>
  <c r="U298" i="1" s="1"/>
  <c r="R298" i="1"/>
  <c r="Q298" i="1"/>
  <c r="T298" i="1" s="1"/>
  <c r="S297" i="1"/>
  <c r="U297" i="1" s="1"/>
  <c r="R297" i="1"/>
  <c r="Q297" i="1"/>
  <c r="T297" i="1" s="1"/>
  <c r="S296" i="1"/>
  <c r="U296" i="1" s="1"/>
  <c r="R296" i="1"/>
  <c r="Q296" i="1"/>
  <c r="T296" i="1" s="1"/>
  <c r="S295" i="1"/>
  <c r="U295" i="1" s="1"/>
  <c r="R295" i="1"/>
  <c r="Q295" i="1"/>
  <c r="T295" i="1" s="1"/>
  <c r="S294" i="1"/>
  <c r="U294" i="1" s="1"/>
  <c r="R294" i="1"/>
  <c r="Q294" i="1"/>
  <c r="T294" i="1" s="1"/>
  <c r="S293" i="1"/>
  <c r="U293" i="1" s="1"/>
  <c r="R293" i="1"/>
  <c r="Q293" i="1"/>
  <c r="T293" i="1" s="1"/>
  <c r="S292" i="1"/>
  <c r="U292" i="1" s="1"/>
  <c r="R292" i="1"/>
  <c r="Q292" i="1"/>
  <c r="T292" i="1" s="1"/>
  <c r="S291" i="1"/>
  <c r="U291" i="1" s="1"/>
  <c r="R291" i="1"/>
  <c r="Q291" i="1"/>
  <c r="T291" i="1" s="1"/>
  <c r="S290" i="1"/>
  <c r="U290" i="1" s="1"/>
  <c r="R290" i="1"/>
  <c r="Q290" i="1"/>
  <c r="T290" i="1" s="1"/>
  <c r="S289" i="1"/>
  <c r="U289" i="1" s="1"/>
  <c r="R289" i="1"/>
  <c r="Q289" i="1"/>
  <c r="T289" i="1" s="1"/>
  <c r="S288" i="1"/>
  <c r="U288" i="1" s="1"/>
  <c r="R288" i="1"/>
  <c r="Q288" i="1"/>
  <c r="T288" i="1" s="1"/>
  <c r="S287" i="1"/>
  <c r="U287" i="1" s="1"/>
  <c r="R287" i="1"/>
  <c r="Q287" i="1"/>
  <c r="T287" i="1" s="1"/>
  <c r="S286" i="1"/>
  <c r="U286" i="1" s="1"/>
  <c r="R286" i="1"/>
  <c r="Q286" i="1"/>
  <c r="T286" i="1" s="1"/>
  <c r="S285" i="1"/>
  <c r="U285" i="1" s="1"/>
  <c r="R285" i="1"/>
  <c r="Q285" i="1"/>
  <c r="T285" i="1" s="1"/>
  <c r="S284" i="1"/>
  <c r="U284" i="1" s="1"/>
  <c r="R284" i="1"/>
  <c r="Q284" i="1"/>
  <c r="T284" i="1" s="1"/>
  <c r="S283" i="1"/>
  <c r="U283" i="1" s="1"/>
  <c r="R283" i="1"/>
  <c r="Q283" i="1"/>
  <c r="T283" i="1" s="1"/>
  <c r="S282" i="1"/>
  <c r="U282" i="1" s="1"/>
  <c r="R282" i="1"/>
  <c r="Q282" i="1"/>
  <c r="T282" i="1" s="1"/>
  <c r="S281" i="1"/>
  <c r="U281" i="1" s="1"/>
  <c r="R281" i="1"/>
  <c r="Q281" i="1"/>
  <c r="T281" i="1" s="1"/>
  <c r="S280" i="1"/>
  <c r="U280" i="1" s="1"/>
  <c r="R280" i="1"/>
  <c r="Q280" i="1"/>
  <c r="T280" i="1" s="1"/>
  <c r="S279" i="1"/>
  <c r="U279" i="1" s="1"/>
  <c r="R279" i="1"/>
  <c r="Q279" i="1"/>
  <c r="T279" i="1" s="1"/>
  <c r="S278" i="1"/>
  <c r="U278" i="1" s="1"/>
  <c r="R278" i="1"/>
  <c r="Q278" i="1"/>
  <c r="T278" i="1" s="1"/>
  <c r="S277" i="1"/>
  <c r="U277" i="1" s="1"/>
  <c r="R277" i="1"/>
  <c r="Q277" i="1"/>
  <c r="T277" i="1" s="1"/>
  <c r="S276" i="1"/>
  <c r="U276" i="1" s="1"/>
  <c r="R276" i="1"/>
  <c r="Q276" i="1"/>
  <c r="T276" i="1" s="1"/>
  <c r="S275" i="1"/>
  <c r="U275" i="1" s="1"/>
  <c r="R275" i="1"/>
  <c r="Q275" i="1"/>
  <c r="T275" i="1" s="1"/>
  <c r="S274" i="1"/>
  <c r="U274" i="1" s="1"/>
  <c r="R274" i="1"/>
  <c r="Q274" i="1"/>
  <c r="T274" i="1" s="1"/>
  <c r="S273" i="1"/>
  <c r="U273" i="1" s="1"/>
  <c r="R273" i="1"/>
  <c r="Q273" i="1"/>
  <c r="T273" i="1" s="1"/>
  <c r="S272" i="1"/>
  <c r="U272" i="1" s="1"/>
  <c r="R272" i="1"/>
  <c r="Q272" i="1"/>
  <c r="T272" i="1" s="1"/>
  <c r="S271" i="1"/>
  <c r="U271" i="1" s="1"/>
  <c r="R271" i="1"/>
  <c r="Q271" i="1"/>
  <c r="T271" i="1" s="1"/>
  <c r="S270" i="1"/>
  <c r="U270" i="1" s="1"/>
  <c r="R270" i="1"/>
  <c r="Q270" i="1"/>
  <c r="T270" i="1" s="1"/>
  <c r="S269" i="1"/>
  <c r="U269" i="1" s="1"/>
  <c r="R269" i="1"/>
  <c r="Q269" i="1"/>
  <c r="T269" i="1" s="1"/>
  <c r="S268" i="1"/>
  <c r="U268" i="1" s="1"/>
  <c r="R268" i="1"/>
  <c r="Q268" i="1"/>
  <c r="T268" i="1" s="1"/>
  <c r="S267" i="1"/>
  <c r="U267" i="1" s="1"/>
  <c r="R267" i="1"/>
  <c r="Q267" i="1"/>
  <c r="T267" i="1" s="1"/>
  <c r="S266" i="1"/>
  <c r="U266" i="1" s="1"/>
  <c r="R266" i="1"/>
  <c r="Q266" i="1"/>
  <c r="T266" i="1" s="1"/>
  <c r="S265" i="1"/>
  <c r="U265" i="1" s="1"/>
  <c r="R265" i="1"/>
  <c r="Q265" i="1"/>
  <c r="T265" i="1" s="1"/>
  <c r="S264" i="1"/>
  <c r="U264" i="1" s="1"/>
  <c r="R264" i="1"/>
  <c r="Q264" i="1"/>
  <c r="T264" i="1" s="1"/>
  <c r="S263" i="1"/>
  <c r="U263" i="1" s="1"/>
  <c r="R263" i="1"/>
  <c r="Q263" i="1"/>
  <c r="T263" i="1" s="1"/>
  <c r="S262" i="1"/>
  <c r="U262" i="1" s="1"/>
  <c r="R262" i="1"/>
  <c r="Q262" i="1"/>
  <c r="T262" i="1" s="1"/>
  <c r="S261" i="1"/>
  <c r="U261" i="1" s="1"/>
  <c r="R261" i="1"/>
  <c r="Q261" i="1"/>
  <c r="T261" i="1" s="1"/>
  <c r="S260" i="1"/>
  <c r="U260" i="1" s="1"/>
  <c r="R260" i="1"/>
  <c r="Q260" i="1"/>
  <c r="T260" i="1" s="1"/>
  <c r="S259" i="1"/>
  <c r="U259" i="1" s="1"/>
  <c r="R259" i="1"/>
  <c r="Q259" i="1"/>
  <c r="T259" i="1" s="1"/>
  <c r="S258" i="1"/>
  <c r="U258" i="1" s="1"/>
  <c r="R258" i="1"/>
  <c r="Q258" i="1"/>
  <c r="T258" i="1" s="1"/>
  <c r="S257" i="1"/>
  <c r="U257" i="1" s="1"/>
  <c r="R257" i="1"/>
  <c r="Q257" i="1"/>
  <c r="T257" i="1" s="1"/>
  <c r="S256" i="1"/>
  <c r="U256" i="1" s="1"/>
  <c r="R256" i="1"/>
  <c r="Q256" i="1"/>
  <c r="T256" i="1" s="1"/>
  <c r="S255" i="1"/>
  <c r="U255" i="1" s="1"/>
  <c r="R255" i="1"/>
  <c r="Q255" i="1"/>
  <c r="T255" i="1" s="1"/>
  <c r="S254" i="1"/>
  <c r="U254" i="1" s="1"/>
  <c r="R254" i="1"/>
  <c r="Q254" i="1"/>
  <c r="T254" i="1" s="1"/>
  <c r="S253" i="1"/>
  <c r="U253" i="1" s="1"/>
  <c r="R253" i="1"/>
  <c r="Q253" i="1"/>
  <c r="T253" i="1" s="1"/>
  <c r="S252" i="1"/>
  <c r="U252" i="1" s="1"/>
  <c r="R252" i="1"/>
  <c r="Q252" i="1"/>
  <c r="T252" i="1" s="1"/>
  <c r="S251" i="1"/>
  <c r="U251" i="1" s="1"/>
  <c r="R251" i="1"/>
  <c r="Q251" i="1"/>
  <c r="T251" i="1" s="1"/>
  <c r="S250" i="1"/>
  <c r="U250" i="1" s="1"/>
  <c r="R250" i="1"/>
  <c r="Q250" i="1"/>
  <c r="T250" i="1" s="1"/>
  <c r="S249" i="1"/>
  <c r="U249" i="1" s="1"/>
  <c r="R249" i="1"/>
  <c r="Q249" i="1"/>
  <c r="T249" i="1" s="1"/>
  <c r="S248" i="1"/>
  <c r="U248" i="1" s="1"/>
  <c r="R248" i="1"/>
  <c r="Q248" i="1"/>
  <c r="T248" i="1" s="1"/>
  <c r="S247" i="1"/>
  <c r="U247" i="1" s="1"/>
  <c r="R247" i="1"/>
  <c r="Q247" i="1"/>
  <c r="T247" i="1" s="1"/>
  <c r="S246" i="1"/>
  <c r="U246" i="1" s="1"/>
  <c r="R246" i="1"/>
  <c r="Q246" i="1"/>
  <c r="T246" i="1" s="1"/>
  <c r="S245" i="1"/>
  <c r="U245" i="1" s="1"/>
  <c r="R245" i="1"/>
  <c r="Q245" i="1"/>
  <c r="T245" i="1" s="1"/>
  <c r="S244" i="1"/>
  <c r="U244" i="1" s="1"/>
  <c r="R244" i="1"/>
  <c r="Q244" i="1"/>
  <c r="T244" i="1" s="1"/>
  <c r="S243" i="1"/>
  <c r="U243" i="1" s="1"/>
  <c r="R243" i="1"/>
  <c r="Q243" i="1"/>
  <c r="T243" i="1" s="1"/>
  <c r="S242" i="1"/>
  <c r="U242" i="1" s="1"/>
  <c r="R242" i="1"/>
  <c r="Q242" i="1"/>
  <c r="T242" i="1" s="1"/>
  <c r="S241" i="1"/>
  <c r="U241" i="1" s="1"/>
  <c r="R241" i="1"/>
  <c r="Q241" i="1"/>
  <c r="T241" i="1" s="1"/>
  <c r="S240" i="1"/>
  <c r="U240" i="1" s="1"/>
  <c r="R240" i="1"/>
  <c r="Q240" i="1"/>
  <c r="T240" i="1" s="1"/>
  <c r="S239" i="1"/>
  <c r="U239" i="1" s="1"/>
  <c r="R239" i="1"/>
  <c r="Q239" i="1"/>
  <c r="T239" i="1" s="1"/>
  <c r="S238" i="1"/>
  <c r="U238" i="1" s="1"/>
  <c r="R238" i="1"/>
  <c r="Q238" i="1"/>
  <c r="T238" i="1" s="1"/>
  <c r="S237" i="1"/>
  <c r="U237" i="1" s="1"/>
  <c r="R237" i="1"/>
  <c r="Q237" i="1"/>
  <c r="T237" i="1" s="1"/>
  <c r="S236" i="1"/>
  <c r="U236" i="1" s="1"/>
  <c r="R236" i="1"/>
  <c r="Q236" i="1"/>
  <c r="T236" i="1" s="1"/>
  <c r="S235" i="1"/>
  <c r="U235" i="1" s="1"/>
  <c r="R235" i="1"/>
  <c r="Q235" i="1"/>
  <c r="T235" i="1" s="1"/>
  <c r="S234" i="1"/>
  <c r="U234" i="1" s="1"/>
  <c r="R234" i="1"/>
  <c r="Q234" i="1"/>
  <c r="T234" i="1" s="1"/>
  <c r="S233" i="1"/>
  <c r="U233" i="1" s="1"/>
  <c r="R233" i="1"/>
  <c r="Q233" i="1"/>
  <c r="T233" i="1" s="1"/>
  <c r="S232" i="1"/>
  <c r="U232" i="1" s="1"/>
  <c r="R232" i="1"/>
  <c r="Q232" i="1"/>
  <c r="T232" i="1" s="1"/>
  <c r="S231" i="1"/>
  <c r="U231" i="1" s="1"/>
  <c r="R231" i="1"/>
  <c r="Q231" i="1"/>
  <c r="T231" i="1" s="1"/>
  <c r="S230" i="1"/>
  <c r="U230" i="1" s="1"/>
  <c r="R230" i="1"/>
  <c r="Q230" i="1"/>
  <c r="T230" i="1" s="1"/>
  <c r="S229" i="1"/>
  <c r="U229" i="1" s="1"/>
  <c r="R229" i="1"/>
  <c r="Q229" i="1"/>
  <c r="T229" i="1" s="1"/>
  <c r="T228" i="1"/>
  <c r="S228" i="1"/>
  <c r="U228" i="1" s="1"/>
  <c r="R228" i="1"/>
  <c r="Q228" i="1"/>
  <c r="S227" i="1"/>
  <c r="U227" i="1" s="1"/>
  <c r="R227" i="1"/>
  <c r="Q227" i="1"/>
  <c r="T227" i="1" s="1"/>
  <c r="S226" i="1"/>
  <c r="U226" i="1" s="1"/>
  <c r="R226" i="1"/>
  <c r="Q226" i="1"/>
  <c r="T226" i="1" s="1"/>
  <c r="S225" i="1"/>
  <c r="U225" i="1" s="1"/>
  <c r="R225" i="1"/>
  <c r="Q225" i="1"/>
  <c r="T225" i="1" s="1"/>
  <c r="S224" i="1"/>
  <c r="U224" i="1" s="1"/>
  <c r="R224" i="1"/>
  <c r="Q224" i="1"/>
  <c r="T224" i="1" s="1"/>
  <c r="S223" i="1"/>
  <c r="U223" i="1" s="1"/>
  <c r="R223" i="1"/>
  <c r="Q223" i="1"/>
  <c r="T223" i="1" s="1"/>
  <c r="S222" i="1"/>
  <c r="U222" i="1" s="1"/>
  <c r="R222" i="1"/>
  <c r="Q222" i="1"/>
  <c r="T222" i="1" s="1"/>
  <c r="S221" i="1"/>
  <c r="U221" i="1" s="1"/>
  <c r="R221" i="1"/>
  <c r="Q221" i="1"/>
  <c r="T221" i="1" s="1"/>
  <c r="S220" i="1"/>
  <c r="U220" i="1" s="1"/>
  <c r="R220" i="1"/>
  <c r="Q220" i="1"/>
  <c r="T220" i="1" s="1"/>
  <c r="S219" i="1"/>
  <c r="U219" i="1" s="1"/>
  <c r="R219" i="1"/>
  <c r="Q219" i="1"/>
  <c r="T219" i="1" s="1"/>
  <c r="S218" i="1"/>
  <c r="U218" i="1" s="1"/>
  <c r="R218" i="1"/>
  <c r="Q218" i="1"/>
  <c r="T218" i="1" s="1"/>
  <c r="S217" i="1"/>
  <c r="U217" i="1" s="1"/>
  <c r="R217" i="1"/>
  <c r="Q217" i="1"/>
  <c r="T217" i="1" s="1"/>
  <c r="S216" i="1"/>
  <c r="U216" i="1" s="1"/>
  <c r="R216" i="1"/>
  <c r="Q216" i="1"/>
  <c r="T216" i="1" s="1"/>
  <c r="S215" i="1"/>
  <c r="U215" i="1" s="1"/>
  <c r="R215" i="1"/>
  <c r="Q215" i="1"/>
  <c r="T215" i="1" s="1"/>
  <c r="S214" i="1"/>
  <c r="U214" i="1" s="1"/>
  <c r="R214" i="1"/>
  <c r="Q214" i="1"/>
  <c r="T214" i="1" s="1"/>
  <c r="S213" i="1"/>
  <c r="U213" i="1" s="1"/>
  <c r="R213" i="1"/>
  <c r="Q213" i="1"/>
  <c r="T213" i="1" s="1"/>
  <c r="S212" i="1"/>
  <c r="U212" i="1" s="1"/>
  <c r="R212" i="1"/>
  <c r="Q212" i="1"/>
  <c r="T212" i="1" s="1"/>
  <c r="S211" i="1"/>
  <c r="U211" i="1" s="1"/>
  <c r="R211" i="1"/>
  <c r="Q211" i="1"/>
  <c r="T211" i="1" s="1"/>
  <c r="S210" i="1"/>
  <c r="U210" i="1" s="1"/>
  <c r="R210" i="1"/>
  <c r="Q210" i="1"/>
  <c r="T210" i="1" s="1"/>
  <c r="S209" i="1"/>
  <c r="U209" i="1" s="1"/>
  <c r="R209" i="1"/>
  <c r="Q209" i="1"/>
  <c r="T209" i="1" s="1"/>
  <c r="S208" i="1"/>
  <c r="U208" i="1" s="1"/>
  <c r="R208" i="1"/>
  <c r="Q208" i="1"/>
  <c r="T208" i="1" s="1"/>
  <c r="S207" i="1"/>
  <c r="U207" i="1" s="1"/>
  <c r="R207" i="1"/>
  <c r="Q207" i="1"/>
  <c r="T207" i="1" s="1"/>
  <c r="S206" i="1"/>
  <c r="U206" i="1" s="1"/>
  <c r="R206" i="1"/>
  <c r="Q206" i="1"/>
  <c r="T206" i="1" s="1"/>
  <c r="S205" i="1"/>
  <c r="U205" i="1" s="1"/>
  <c r="R205" i="1"/>
  <c r="Q205" i="1"/>
  <c r="T205" i="1" s="1"/>
  <c r="S204" i="1"/>
  <c r="U204" i="1" s="1"/>
  <c r="R204" i="1"/>
  <c r="Q204" i="1"/>
  <c r="T204" i="1" s="1"/>
  <c r="S203" i="1"/>
  <c r="U203" i="1" s="1"/>
  <c r="R203" i="1"/>
  <c r="Q203" i="1"/>
  <c r="T203" i="1" s="1"/>
  <c r="S202" i="1"/>
  <c r="U202" i="1" s="1"/>
  <c r="R202" i="1"/>
  <c r="Q202" i="1"/>
  <c r="T202" i="1" s="1"/>
  <c r="S201" i="1"/>
  <c r="U201" i="1" s="1"/>
  <c r="R201" i="1"/>
  <c r="Q201" i="1"/>
  <c r="T201" i="1" s="1"/>
  <c r="S200" i="1"/>
  <c r="U200" i="1" s="1"/>
  <c r="R200" i="1"/>
  <c r="Q200" i="1"/>
  <c r="T200" i="1" s="1"/>
  <c r="S199" i="1"/>
  <c r="U199" i="1" s="1"/>
  <c r="R199" i="1"/>
  <c r="Q199" i="1"/>
  <c r="T199" i="1" s="1"/>
  <c r="S198" i="1"/>
  <c r="U198" i="1" s="1"/>
  <c r="R198" i="1"/>
  <c r="Q198" i="1"/>
  <c r="T198" i="1" s="1"/>
  <c r="S197" i="1"/>
  <c r="U197" i="1" s="1"/>
  <c r="R197" i="1"/>
  <c r="Q197" i="1"/>
  <c r="T197" i="1" s="1"/>
  <c r="S196" i="1"/>
  <c r="U196" i="1" s="1"/>
  <c r="R196" i="1"/>
  <c r="Q196" i="1"/>
  <c r="T196" i="1" s="1"/>
  <c r="S195" i="1"/>
  <c r="U195" i="1" s="1"/>
  <c r="R195" i="1"/>
  <c r="Q195" i="1"/>
  <c r="T195" i="1" s="1"/>
  <c r="S194" i="1"/>
  <c r="U194" i="1" s="1"/>
  <c r="R194" i="1"/>
  <c r="Q194" i="1"/>
  <c r="T194" i="1" s="1"/>
  <c r="S193" i="1"/>
  <c r="U193" i="1" s="1"/>
  <c r="R193" i="1"/>
  <c r="Q193" i="1"/>
  <c r="T193" i="1" s="1"/>
  <c r="S192" i="1"/>
  <c r="U192" i="1" s="1"/>
  <c r="R192" i="1"/>
  <c r="Q192" i="1"/>
  <c r="T192" i="1" s="1"/>
  <c r="S191" i="1"/>
  <c r="U191" i="1" s="1"/>
  <c r="R191" i="1"/>
  <c r="Q191" i="1"/>
  <c r="T191" i="1" s="1"/>
  <c r="S190" i="1"/>
  <c r="U190" i="1" s="1"/>
  <c r="R190" i="1"/>
  <c r="Q190" i="1"/>
  <c r="T190" i="1" s="1"/>
  <c r="S189" i="1"/>
  <c r="U189" i="1" s="1"/>
  <c r="R189" i="1"/>
  <c r="Q189" i="1"/>
  <c r="T189" i="1" s="1"/>
  <c r="S188" i="1"/>
  <c r="U188" i="1" s="1"/>
  <c r="R188" i="1"/>
  <c r="Q188" i="1"/>
  <c r="T188" i="1" s="1"/>
  <c r="S187" i="1"/>
  <c r="U187" i="1" s="1"/>
  <c r="R187" i="1"/>
  <c r="Q187" i="1"/>
  <c r="T187" i="1" s="1"/>
  <c r="S186" i="1"/>
  <c r="U186" i="1" s="1"/>
  <c r="R186" i="1"/>
  <c r="Q186" i="1"/>
  <c r="T186" i="1" s="1"/>
  <c r="S185" i="1"/>
  <c r="U185" i="1" s="1"/>
  <c r="R185" i="1"/>
  <c r="Q185" i="1"/>
  <c r="T185" i="1" s="1"/>
  <c r="S184" i="1"/>
  <c r="U184" i="1" s="1"/>
  <c r="R184" i="1"/>
  <c r="Q184" i="1"/>
  <c r="T184" i="1" s="1"/>
  <c r="S183" i="1"/>
  <c r="U183" i="1" s="1"/>
  <c r="R183" i="1"/>
  <c r="Q183" i="1"/>
  <c r="T183" i="1" s="1"/>
  <c r="S182" i="1"/>
  <c r="U182" i="1" s="1"/>
  <c r="R182" i="1"/>
  <c r="Q182" i="1"/>
  <c r="T182" i="1" s="1"/>
  <c r="S181" i="1"/>
  <c r="U181" i="1" s="1"/>
  <c r="R181" i="1"/>
  <c r="Q181" i="1"/>
  <c r="T181" i="1" s="1"/>
  <c r="S180" i="1"/>
  <c r="U180" i="1" s="1"/>
  <c r="R180" i="1"/>
  <c r="Q180" i="1"/>
  <c r="T180" i="1" s="1"/>
  <c r="S179" i="1"/>
  <c r="U179" i="1" s="1"/>
  <c r="R179" i="1"/>
  <c r="Q179" i="1"/>
  <c r="T179" i="1" s="1"/>
  <c r="S178" i="1"/>
  <c r="U178" i="1" s="1"/>
  <c r="R178" i="1"/>
  <c r="Q178" i="1"/>
  <c r="T178" i="1" s="1"/>
  <c r="S177" i="1"/>
  <c r="U177" i="1" s="1"/>
  <c r="R177" i="1"/>
  <c r="Q177" i="1"/>
  <c r="T177" i="1" s="1"/>
  <c r="S176" i="1"/>
  <c r="U176" i="1" s="1"/>
  <c r="R176" i="1"/>
  <c r="Q176" i="1"/>
  <c r="T176" i="1" s="1"/>
  <c r="S175" i="1"/>
  <c r="U175" i="1" s="1"/>
  <c r="R175" i="1"/>
  <c r="Q175" i="1"/>
  <c r="T175" i="1" s="1"/>
  <c r="S174" i="1"/>
  <c r="U174" i="1" s="1"/>
  <c r="R174" i="1"/>
  <c r="Q174" i="1"/>
  <c r="T174" i="1" s="1"/>
  <c r="S173" i="1"/>
  <c r="U173" i="1" s="1"/>
  <c r="R173" i="1"/>
  <c r="Q173" i="1"/>
  <c r="T173" i="1" s="1"/>
  <c r="S172" i="1"/>
  <c r="U172" i="1" s="1"/>
  <c r="R172" i="1"/>
  <c r="Q172" i="1"/>
  <c r="T172" i="1" s="1"/>
  <c r="S171" i="1"/>
  <c r="U171" i="1" s="1"/>
  <c r="R171" i="1"/>
  <c r="Q171" i="1"/>
  <c r="T171" i="1" s="1"/>
  <c r="S170" i="1"/>
  <c r="U170" i="1" s="1"/>
  <c r="R170" i="1"/>
  <c r="Q170" i="1"/>
  <c r="T170" i="1" s="1"/>
  <c r="S169" i="1"/>
  <c r="U169" i="1" s="1"/>
  <c r="R169" i="1"/>
  <c r="Q169" i="1"/>
  <c r="T169" i="1" s="1"/>
  <c r="S168" i="1"/>
  <c r="U168" i="1" s="1"/>
  <c r="R168" i="1"/>
  <c r="Q168" i="1"/>
  <c r="T168" i="1" s="1"/>
  <c r="S167" i="1"/>
  <c r="U167" i="1" s="1"/>
  <c r="R167" i="1"/>
  <c r="Q167" i="1"/>
  <c r="T167" i="1" s="1"/>
  <c r="S166" i="1"/>
  <c r="U166" i="1" s="1"/>
  <c r="R166" i="1"/>
  <c r="Q166" i="1"/>
  <c r="T166" i="1" s="1"/>
  <c r="S165" i="1"/>
  <c r="U165" i="1" s="1"/>
  <c r="R165" i="1"/>
  <c r="Q165" i="1"/>
  <c r="T165" i="1" s="1"/>
  <c r="S164" i="1"/>
  <c r="U164" i="1" s="1"/>
  <c r="R164" i="1"/>
  <c r="Q164" i="1"/>
  <c r="T164" i="1" s="1"/>
  <c r="S163" i="1"/>
  <c r="U163" i="1" s="1"/>
  <c r="R163" i="1"/>
  <c r="Q163" i="1"/>
  <c r="T163" i="1" s="1"/>
  <c r="S162" i="1"/>
  <c r="U162" i="1" s="1"/>
  <c r="R162" i="1"/>
  <c r="Q162" i="1"/>
  <c r="T162" i="1" s="1"/>
  <c r="S161" i="1"/>
  <c r="U161" i="1" s="1"/>
  <c r="R161" i="1"/>
  <c r="Q161" i="1"/>
  <c r="T161" i="1" s="1"/>
  <c r="S160" i="1"/>
  <c r="U160" i="1" s="1"/>
  <c r="R160" i="1"/>
  <c r="Q160" i="1"/>
  <c r="T160" i="1" s="1"/>
  <c r="S159" i="1"/>
  <c r="U159" i="1" s="1"/>
  <c r="R159" i="1"/>
  <c r="Q159" i="1"/>
  <c r="T159" i="1" s="1"/>
  <c r="S158" i="1"/>
  <c r="U158" i="1" s="1"/>
  <c r="R158" i="1"/>
  <c r="Q158" i="1"/>
  <c r="T158" i="1" s="1"/>
  <c r="S157" i="1"/>
  <c r="U157" i="1" s="1"/>
  <c r="R157" i="1"/>
  <c r="Q157" i="1"/>
  <c r="T157" i="1" s="1"/>
  <c r="S156" i="1"/>
  <c r="U156" i="1" s="1"/>
  <c r="R156" i="1"/>
  <c r="Q156" i="1"/>
  <c r="T156" i="1" s="1"/>
  <c r="S155" i="1"/>
  <c r="U155" i="1" s="1"/>
  <c r="R155" i="1"/>
  <c r="Q155" i="1"/>
  <c r="T155" i="1" s="1"/>
  <c r="S154" i="1"/>
  <c r="U154" i="1" s="1"/>
  <c r="R154" i="1"/>
  <c r="Q154" i="1"/>
  <c r="T154" i="1" s="1"/>
  <c r="S153" i="1"/>
  <c r="U153" i="1" s="1"/>
  <c r="R153" i="1"/>
  <c r="Q153" i="1"/>
  <c r="T153" i="1" s="1"/>
  <c r="S152" i="1"/>
  <c r="U152" i="1" s="1"/>
  <c r="R152" i="1"/>
  <c r="Q152" i="1"/>
  <c r="T152" i="1" s="1"/>
  <c r="S151" i="1"/>
  <c r="U151" i="1" s="1"/>
  <c r="R151" i="1"/>
  <c r="Q151" i="1"/>
  <c r="T151" i="1" s="1"/>
  <c r="S150" i="1"/>
  <c r="U150" i="1" s="1"/>
  <c r="R150" i="1"/>
  <c r="Q150" i="1"/>
  <c r="T150" i="1" s="1"/>
  <c r="S149" i="1"/>
  <c r="U149" i="1" s="1"/>
  <c r="R149" i="1"/>
  <c r="Q149" i="1"/>
  <c r="T149" i="1" s="1"/>
  <c r="S148" i="1"/>
  <c r="U148" i="1" s="1"/>
  <c r="R148" i="1"/>
  <c r="Q148" i="1"/>
  <c r="T148" i="1" s="1"/>
  <c r="S147" i="1"/>
  <c r="U147" i="1" s="1"/>
  <c r="R147" i="1"/>
  <c r="Q147" i="1"/>
  <c r="T147" i="1" s="1"/>
  <c r="S146" i="1"/>
  <c r="U146" i="1" s="1"/>
  <c r="R146" i="1"/>
  <c r="Q146" i="1"/>
  <c r="T146" i="1" s="1"/>
  <c r="S145" i="1"/>
  <c r="U145" i="1" s="1"/>
  <c r="R145" i="1"/>
  <c r="Q145" i="1"/>
  <c r="T145" i="1" s="1"/>
  <c r="S144" i="1"/>
  <c r="U144" i="1" s="1"/>
  <c r="R144" i="1"/>
  <c r="Q144" i="1"/>
  <c r="T144" i="1" s="1"/>
  <c r="S143" i="1"/>
  <c r="U143" i="1" s="1"/>
  <c r="R143" i="1"/>
  <c r="Q143" i="1"/>
  <c r="T143" i="1" s="1"/>
  <c r="S142" i="1"/>
  <c r="U142" i="1" s="1"/>
  <c r="R142" i="1"/>
  <c r="Q142" i="1"/>
  <c r="T142" i="1" s="1"/>
  <c r="S141" i="1"/>
  <c r="U141" i="1" s="1"/>
  <c r="R141" i="1"/>
  <c r="Q141" i="1"/>
  <c r="T141" i="1" s="1"/>
  <c r="S140" i="1"/>
  <c r="U140" i="1" s="1"/>
  <c r="R140" i="1"/>
  <c r="Q140" i="1"/>
  <c r="T140" i="1" s="1"/>
  <c r="S139" i="1"/>
  <c r="U139" i="1" s="1"/>
  <c r="R139" i="1"/>
  <c r="Q139" i="1"/>
  <c r="T139" i="1" s="1"/>
  <c r="S138" i="1"/>
  <c r="U138" i="1" s="1"/>
  <c r="R138" i="1"/>
  <c r="Q138" i="1"/>
  <c r="T138" i="1" s="1"/>
  <c r="S137" i="1"/>
  <c r="U137" i="1" s="1"/>
  <c r="R137" i="1"/>
  <c r="Q137" i="1"/>
  <c r="T137" i="1" s="1"/>
  <c r="S136" i="1"/>
  <c r="U136" i="1" s="1"/>
  <c r="R136" i="1"/>
  <c r="Q136" i="1"/>
  <c r="T136" i="1" s="1"/>
  <c r="S135" i="1"/>
  <c r="U135" i="1" s="1"/>
  <c r="R135" i="1"/>
  <c r="Q135" i="1"/>
  <c r="T135" i="1" s="1"/>
  <c r="S134" i="1"/>
  <c r="U134" i="1" s="1"/>
  <c r="R134" i="1"/>
  <c r="Q134" i="1"/>
  <c r="T134" i="1" s="1"/>
  <c r="S133" i="1"/>
  <c r="U133" i="1" s="1"/>
  <c r="R133" i="1"/>
  <c r="Q133" i="1"/>
  <c r="T133" i="1" s="1"/>
  <c r="S132" i="1"/>
  <c r="U132" i="1" s="1"/>
  <c r="R132" i="1"/>
  <c r="Q132" i="1"/>
  <c r="T132" i="1" s="1"/>
  <c r="S131" i="1"/>
  <c r="U131" i="1" s="1"/>
  <c r="R131" i="1"/>
  <c r="Q131" i="1"/>
  <c r="T131" i="1" s="1"/>
  <c r="S130" i="1"/>
  <c r="U130" i="1" s="1"/>
  <c r="R130" i="1"/>
  <c r="Q130" i="1"/>
  <c r="T130" i="1" s="1"/>
  <c r="S129" i="1"/>
  <c r="U129" i="1" s="1"/>
  <c r="R129" i="1"/>
  <c r="Q129" i="1"/>
  <c r="T129" i="1" s="1"/>
  <c r="S128" i="1"/>
  <c r="U128" i="1" s="1"/>
  <c r="R128" i="1"/>
  <c r="Q128" i="1"/>
  <c r="T128" i="1" s="1"/>
  <c r="S127" i="1"/>
  <c r="U127" i="1" s="1"/>
  <c r="R127" i="1"/>
  <c r="Q127" i="1"/>
  <c r="T127" i="1" s="1"/>
  <c r="S126" i="1"/>
  <c r="U126" i="1" s="1"/>
  <c r="R126" i="1"/>
  <c r="Q126" i="1"/>
  <c r="T126" i="1" s="1"/>
  <c r="S125" i="1"/>
  <c r="U125" i="1" s="1"/>
  <c r="R125" i="1"/>
  <c r="Q125" i="1"/>
  <c r="T125" i="1" s="1"/>
  <c r="S124" i="1"/>
  <c r="U124" i="1" s="1"/>
  <c r="R124" i="1"/>
  <c r="Q124" i="1"/>
  <c r="T124" i="1" s="1"/>
  <c r="S123" i="1"/>
  <c r="U123" i="1" s="1"/>
  <c r="R123" i="1"/>
  <c r="Q123" i="1"/>
  <c r="T123" i="1" s="1"/>
  <c r="S122" i="1"/>
  <c r="U122" i="1" s="1"/>
  <c r="R122" i="1"/>
  <c r="Q122" i="1"/>
  <c r="T122" i="1" s="1"/>
  <c r="S121" i="1"/>
  <c r="U121" i="1" s="1"/>
  <c r="R121" i="1"/>
  <c r="Q121" i="1"/>
  <c r="T121" i="1" s="1"/>
  <c r="S120" i="1"/>
  <c r="U120" i="1" s="1"/>
  <c r="R120" i="1"/>
  <c r="Q120" i="1"/>
  <c r="T120" i="1" s="1"/>
  <c r="S119" i="1"/>
  <c r="U119" i="1" s="1"/>
  <c r="R119" i="1"/>
  <c r="Q119" i="1"/>
  <c r="T119" i="1" s="1"/>
  <c r="S118" i="1"/>
  <c r="U118" i="1" s="1"/>
  <c r="R118" i="1"/>
  <c r="Q118" i="1"/>
  <c r="T118" i="1" s="1"/>
  <c r="S117" i="1"/>
  <c r="U117" i="1" s="1"/>
  <c r="R117" i="1"/>
  <c r="Q117" i="1"/>
  <c r="T117" i="1" s="1"/>
  <c r="S116" i="1"/>
  <c r="U116" i="1" s="1"/>
  <c r="R116" i="1"/>
  <c r="Q116" i="1"/>
  <c r="T116" i="1" s="1"/>
  <c r="S115" i="1"/>
  <c r="U115" i="1" s="1"/>
  <c r="R115" i="1"/>
  <c r="Q115" i="1"/>
  <c r="T115" i="1" s="1"/>
  <c r="S114" i="1"/>
  <c r="U114" i="1" s="1"/>
  <c r="R114" i="1"/>
  <c r="Q114" i="1"/>
  <c r="T114" i="1" s="1"/>
  <c r="S113" i="1"/>
  <c r="U113" i="1" s="1"/>
  <c r="R113" i="1"/>
  <c r="Q113" i="1"/>
  <c r="T113" i="1" s="1"/>
  <c r="S112" i="1"/>
  <c r="U112" i="1" s="1"/>
  <c r="R112" i="1"/>
  <c r="Q112" i="1"/>
  <c r="T112" i="1" s="1"/>
  <c r="S111" i="1"/>
  <c r="U111" i="1" s="1"/>
  <c r="R111" i="1"/>
  <c r="Q111" i="1"/>
  <c r="T111" i="1" s="1"/>
  <c r="S110" i="1"/>
  <c r="U110" i="1" s="1"/>
  <c r="R110" i="1"/>
  <c r="Q110" i="1"/>
  <c r="T110" i="1" s="1"/>
  <c r="S109" i="1"/>
  <c r="U109" i="1" s="1"/>
  <c r="R109" i="1"/>
  <c r="Q109" i="1"/>
  <c r="T109" i="1" s="1"/>
  <c r="S108" i="1"/>
  <c r="U108" i="1" s="1"/>
  <c r="R108" i="1"/>
  <c r="Q108" i="1"/>
  <c r="T108" i="1" s="1"/>
  <c r="S107" i="1"/>
  <c r="U107" i="1" s="1"/>
  <c r="R107" i="1"/>
  <c r="Q107" i="1"/>
  <c r="T107" i="1" s="1"/>
  <c r="S106" i="1"/>
  <c r="U106" i="1" s="1"/>
  <c r="R106" i="1"/>
  <c r="Q106" i="1"/>
  <c r="T106" i="1" s="1"/>
  <c r="S105" i="1"/>
  <c r="U105" i="1" s="1"/>
  <c r="R105" i="1"/>
  <c r="Q105" i="1"/>
  <c r="T105" i="1" s="1"/>
  <c r="S104" i="1"/>
  <c r="U104" i="1" s="1"/>
  <c r="R104" i="1"/>
  <c r="Q104" i="1"/>
  <c r="T104" i="1" s="1"/>
  <c r="S103" i="1"/>
  <c r="U103" i="1" s="1"/>
  <c r="R103" i="1"/>
  <c r="Q103" i="1"/>
  <c r="T103" i="1" s="1"/>
  <c r="S102" i="1"/>
  <c r="U102" i="1" s="1"/>
  <c r="R102" i="1"/>
  <c r="Q102" i="1"/>
  <c r="T102" i="1" s="1"/>
  <c r="S101" i="1"/>
  <c r="U101" i="1" s="1"/>
  <c r="R101" i="1"/>
  <c r="Q101" i="1"/>
  <c r="T101" i="1" s="1"/>
  <c r="S100" i="1"/>
  <c r="U100" i="1" s="1"/>
  <c r="R100" i="1"/>
  <c r="Q100" i="1"/>
  <c r="T100" i="1" s="1"/>
  <c r="S99" i="1"/>
  <c r="U99" i="1" s="1"/>
  <c r="R99" i="1"/>
  <c r="Q99" i="1"/>
  <c r="T99" i="1" s="1"/>
  <c r="S98" i="1"/>
  <c r="U98" i="1" s="1"/>
  <c r="R98" i="1"/>
  <c r="Q98" i="1"/>
  <c r="T98" i="1" s="1"/>
  <c r="S97" i="1"/>
  <c r="U97" i="1" s="1"/>
  <c r="R97" i="1"/>
  <c r="Q97" i="1"/>
  <c r="T97" i="1" s="1"/>
  <c r="S96" i="1"/>
  <c r="U96" i="1" s="1"/>
  <c r="R96" i="1"/>
  <c r="Q96" i="1"/>
  <c r="T96" i="1" s="1"/>
  <c r="S95" i="1"/>
  <c r="U95" i="1" s="1"/>
  <c r="R95" i="1"/>
  <c r="Q95" i="1"/>
  <c r="T95" i="1" s="1"/>
  <c r="S94" i="1"/>
  <c r="U94" i="1" s="1"/>
  <c r="R94" i="1"/>
  <c r="Q94" i="1"/>
  <c r="T94" i="1" s="1"/>
  <c r="S93" i="1"/>
  <c r="U93" i="1" s="1"/>
  <c r="R93" i="1"/>
  <c r="Q93" i="1"/>
  <c r="T93" i="1" s="1"/>
  <c r="S92" i="1"/>
  <c r="U92" i="1" s="1"/>
  <c r="R92" i="1"/>
  <c r="Q92" i="1"/>
  <c r="T92" i="1" s="1"/>
  <c r="S91" i="1"/>
  <c r="U91" i="1" s="1"/>
  <c r="R91" i="1"/>
  <c r="Q91" i="1"/>
  <c r="T91" i="1" s="1"/>
  <c r="S90" i="1"/>
  <c r="U90" i="1" s="1"/>
  <c r="R90" i="1"/>
  <c r="Q90" i="1"/>
  <c r="T90" i="1" s="1"/>
  <c r="S89" i="1"/>
  <c r="U89" i="1" s="1"/>
  <c r="R89" i="1"/>
  <c r="Q89" i="1"/>
  <c r="T89" i="1" s="1"/>
  <c r="S88" i="1"/>
  <c r="U88" i="1" s="1"/>
  <c r="R88" i="1"/>
  <c r="Q88" i="1"/>
  <c r="T88" i="1" s="1"/>
  <c r="S87" i="1"/>
  <c r="U87" i="1" s="1"/>
  <c r="R87" i="1"/>
  <c r="Q87" i="1"/>
  <c r="T87" i="1" s="1"/>
  <c r="S86" i="1"/>
  <c r="U86" i="1" s="1"/>
  <c r="R86" i="1"/>
  <c r="Q86" i="1"/>
  <c r="T86" i="1" s="1"/>
  <c r="S85" i="1"/>
  <c r="U85" i="1" s="1"/>
  <c r="R85" i="1"/>
  <c r="Q85" i="1"/>
  <c r="T85" i="1" s="1"/>
  <c r="S84" i="1"/>
  <c r="U84" i="1" s="1"/>
  <c r="R84" i="1"/>
  <c r="Q84" i="1"/>
  <c r="T84" i="1" s="1"/>
  <c r="S83" i="1"/>
  <c r="U83" i="1" s="1"/>
  <c r="R83" i="1"/>
  <c r="Q83" i="1"/>
  <c r="T83" i="1" s="1"/>
  <c r="S82" i="1"/>
  <c r="U82" i="1" s="1"/>
  <c r="R82" i="1"/>
  <c r="Q82" i="1"/>
  <c r="T82" i="1" s="1"/>
  <c r="S81" i="1"/>
  <c r="U81" i="1" s="1"/>
  <c r="R81" i="1"/>
  <c r="Q81" i="1"/>
  <c r="T81" i="1" s="1"/>
  <c r="S80" i="1"/>
  <c r="U80" i="1" s="1"/>
  <c r="R80" i="1"/>
  <c r="Q80" i="1"/>
  <c r="T80" i="1" s="1"/>
  <c r="S79" i="1"/>
  <c r="U79" i="1" s="1"/>
  <c r="R79" i="1"/>
  <c r="Q79" i="1"/>
  <c r="T79" i="1" s="1"/>
  <c r="S78" i="1"/>
  <c r="U78" i="1" s="1"/>
  <c r="R78" i="1"/>
  <c r="Q78" i="1"/>
  <c r="T78" i="1" s="1"/>
  <c r="S77" i="1"/>
  <c r="U77" i="1" s="1"/>
  <c r="R77" i="1"/>
  <c r="Q77" i="1"/>
  <c r="T77" i="1" s="1"/>
  <c r="S76" i="1"/>
  <c r="U76" i="1" s="1"/>
  <c r="R76" i="1"/>
  <c r="Q76" i="1"/>
  <c r="T76" i="1" s="1"/>
  <c r="S75" i="1"/>
  <c r="U75" i="1" s="1"/>
  <c r="R75" i="1"/>
  <c r="Q75" i="1"/>
  <c r="T75" i="1" s="1"/>
  <c r="S74" i="1"/>
  <c r="U74" i="1" s="1"/>
  <c r="R74" i="1"/>
  <c r="Q74" i="1"/>
  <c r="T74" i="1" s="1"/>
  <c r="S73" i="1"/>
  <c r="U73" i="1" s="1"/>
  <c r="R73" i="1"/>
  <c r="Q73" i="1"/>
  <c r="T73" i="1" s="1"/>
  <c r="S72" i="1"/>
  <c r="U72" i="1" s="1"/>
  <c r="R72" i="1"/>
  <c r="Q72" i="1"/>
  <c r="T72" i="1" s="1"/>
  <c r="S71" i="1"/>
  <c r="U71" i="1" s="1"/>
  <c r="R71" i="1"/>
  <c r="Q71" i="1"/>
  <c r="T71" i="1" s="1"/>
  <c r="S70" i="1"/>
  <c r="U70" i="1" s="1"/>
  <c r="R70" i="1"/>
  <c r="Q70" i="1"/>
  <c r="T70" i="1" s="1"/>
  <c r="S69" i="1"/>
  <c r="U69" i="1" s="1"/>
  <c r="R69" i="1"/>
  <c r="Q69" i="1"/>
  <c r="T69" i="1" s="1"/>
  <c r="S68" i="1"/>
  <c r="U68" i="1" s="1"/>
  <c r="R68" i="1"/>
  <c r="Q68" i="1"/>
  <c r="T68" i="1" s="1"/>
  <c r="S67" i="1"/>
  <c r="U67" i="1" s="1"/>
  <c r="R67" i="1"/>
  <c r="Q67" i="1"/>
  <c r="T67" i="1" s="1"/>
  <c r="S66" i="1"/>
  <c r="U66" i="1" s="1"/>
  <c r="R66" i="1"/>
  <c r="Q66" i="1"/>
  <c r="T66" i="1" s="1"/>
  <c r="S65" i="1"/>
  <c r="U65" i="1" s="1"/>
  <c r="R65" i="1"/>
  <c r="Q65" i="1"/>
  <c r="T65" i="1" s="1"/>
  <c r="S64" i="1"/>
  <c r="U64" i="1" s="1"/>
  <c r="R64" i="1"/>
  <c r="Q64" i="1"/>
  <c r="T64" i="1" s="1"/>
  <c r="S63" i="1"/>
  <c r="U63" i="1" s="1"/>
  <c r="R63" i="1"/>
  <c r="Q63" i="1"/>
  <c r="T63" i="1" s="1"/>
  <c r="S62" i="1"/>
  <c r="U62" i="1" s="1"/>
  <c r="R62" i="1"/>
  <c r="Q62" i="1"/>
  <c r="T62" i="1" s="1"/>
  <c r="S61" i="1"/>
  <c r="U61" i="1" s="1"/>
  <c r="R61" i="1"/>
  <c r="Q61" i="1"/>
  <c r="T61" i="1" s="1"/>
  <c r="S60" i="1"/>
  <c r="U60" i="1" s="1"/>
  <c r="R60" i="1"/>
  <c r="Q60" i="1"/>
  <c r="T60" i="1" s="1"/>
  <c r="S59" i="1"/>
  <c r="U59" i="1" s="1"/>
  <c r="R59" i="1"/>
  <c r="Q59" i="1"/>
  <c r="T59" i="1" s="1"/>
  <c r="S58" i="1"/>
  <c r="U58" i="1" s="1"/>
  <c r="R58" i="1"/>
  <c r="Q58" i="1"/>
  <c r="T58" i="1" s="1"/>
  <c r="S57" i="1"/>
  <c r="U57" i="1" s="1"/>
  <c r="R57" i="1"/>
  <c r="Q57" i="1"/>
  <c r="T57" i="1" s="1"/>
  <c r="S56" i="1"/>
  <c r="U56" i="1" s="1"/>
  <c r="R56" i="1"/>
  <c r="Q56" i="1"/>
  <c r="T56" i="1" s="1"/>
  <c r="S55" i="1"/>
  <c r="U55" i="1" s="1"/>
  <c r="R55" i="1"/>
  <c r="Q55" i="1"/>
  <c r="T55" i="1" s="1"/>
  <c r="S54" i="1"/>
  <c r="U54" i="1" s="1"/>
  <c r="R54" i="1"/>
  <c r="Q54" i="1"/>
  <c r="T54" i="1" s="1"/>
  <c r="S53" i="1"/>
  <c r="U53" i="1" s="1"/>
  <c r="R53" i="1"/>
  <c r="Q53" i="1"/>
  <c r="T53" i="1" s="1"/>
  <c r="S52" i="1"/>
  <c r="U52" i="1" s="1"/>
  <c r="R52" i="1"/>
  <c r="Q52" i="1"/>
  <c r="T52" i="1" s="1"/>
  <c r="S51" i="1"/>
  <c r="U51" i="1" s="1"/>
  <c r="R51" i="1"/>
  <c r="Q51" i="1"/>
  <c r="T51" i="1" s="1"/>
  <c r="S50" i="1"/>
  <c r="U50" i="1" s="1"/>
  <c r="R50" i="1"/>
  <c r="Q50" i="1"/>
  <c r="T50" i="1" s="1"/>
  <c r="S49" i="1"/>
  <c r="U49" i="1" s="1"/>
  <c r="R49" i="1"/>
  <c r="Q49" i="1"/>
  <c r="T49" i="1" s="1"/>
  <c r="S48" i="1"/>
  <c r="U48" i="1" s="1"/>
  <c r="R48" i="1"/>
  <c r="Q48" i="1"/>
  <c r="T48" i="1" s="1"/>
  <c r="S47" i="1"/>
  <c r="U47" i="1" s="1"/>
  <c r="R47" i="1"/>
  <c r="Q47" i="1"/>
  <c r="T47" i="1" s="1"/>
  <c r="S46" i="1"/>
  <c r="U46" i="1" s="1"/>
  <c r="R46" i="1"/>
  <c r="Q46" i="1"/>
  <c r="T46" i="1" s="1"/>
  <c r="S45" i="1"/>
  <c r="U45" i="1" s="1"/>
  <c r="R45" i="1"/>
  <c r="Q45" i="1"/>
  <c r="T45" i="1" s="1"/>
  <c r="S44" i="1"/>
  <c r="U44" i="1" s="1"/>
  <c r="R44" i="1"/>
  <c r="Q44" i="1"/>
  <c r="T44" i="1" s="1"/>
  <c r="S43" i="1"/>
  <c r="U43" i="1" s="1"/>
  <c r="R43" i="1"/>
  <c r="Q43" i="1"/>
  <c r="T43" i="1" s="1"/>
  <c r="S42" i="1"/>
  <c r="U42" i="1" s="1"/>
  <c r="R42" i="1"/>
  <c r="Q42" i="1"/>
  <c r="T42" i="1" s="1"/>
  <c r="S41" i="1"/>
  <c r="U41" i="1" s="1"/>
  <c r="R41" i="1"/>
  <c r="Q41" i="1"/>
  <c r="T41" i="1" s="1"/>
  <c r="S40" i="1"/>
  <c r="U40" i="1" s="1"/>
  <c r="R40" i="1"/>
  <c r="Q40" i="1"/>
  <c r="T40" i="1" s="1"/>
  <c r="S39" i="1"/>
  <c r="U39" i="1" s="1"/>
  <c r="R39" i="1"/>
  <c r="Q39" i="1"/>
  <c r="T39" i="1" s="1"/>
  <c r="S38" i="1"/>
  <c r="U38" i="1" s="1"/>
  <c r="R38" i="1"/>
  <c r="Q38" i="1"/>
  <c r="T38" i="1" s="1"/>
  <c r="S37" i="1"/>
  <c r="U37" i="1" s="1"/>
  <c r="R37" i="1"/>
  <c r="Q37" i="1"/>
  <c r="T37" i="1" s="1"/>
  <c r="S36" i="1"/>
  <c r="U36" i="1" s="1"/>
  <c r="R36" i="1"/>
  <c r="Q36" i="1"/>
  <c r="T36" i="1" s="1"/>
  <c r="S35" i="1"/>
  <c r="U35" i="1" s="1"/>
  <c r="R35" i="1"/>
  <c r="Q35" i="1"/>
  <c r="T35" i="1" s="1"/>
  <c r="S34" i="1"/>
  <c r="U34" i="1" s="1"/>
  <c r="R34" i="1"/>
  <c r="Q34" i="1"/>
  <c r="T34" i="1" s="1"/>
  <c r="S33" i="1"/>
  <c r="U33" i="1" s="1"/>
  <c r="R33" i="1"/>
  <c r="Q33" i="1"/>
  <c r="T33" i="1" s="1"/>
  <c r="S32" i="1"/>
  <c r="U32" i="1" s="1"/>
  <c r="R32" i="1"/>
  <c r="Q32" i="1"/>
  <c r="T32" i="1" s="1"/>
  <c r="S31" i="1"/>
  <c r="U31" i="1" s="1"/>
  <c r="R31" i="1"/>
  <c r="Q31" i="1"/>
  <c r="T31" i="1" s="1"/>
  <c r="S30" i="1"/>
  <c r="U30" i="1" s="1"/>
  <c r="R30" i="1"/>
  <c r="Q30" i="1"/>
  <c r="T30" i="1" s="1"/>
  <c r="S29" i="1"/>
  <c r="U29" i="1" s="1"/>
  <c r="R29" i="1"/>
  <c r="Q29" i="1"/>
  <c r="T29" i="1" s="1"/>
  <c r="S28" i="1"/>
  <c r="U28" i="1" s="1"/>
  <c r="R28" i="1"/>
  <c r="Q28" i="1"/>
  <c r="T28" i="1" s="1"/>
  <c r="S27" i="1"/>
  <c r="U27" i="1" s="1"/>
  <c r="R27" i="1"/>
  <c r="Q27" i="1"/>
  <c r="T27" i="1" s="1"/>
  <c r="S26" i="1"/>
  <c r="U26" i="1" s="1"/>
  <c r="R26" i="1"/>
  <c r="Q26" i="1"/>
  <c r="T26" i="1" s="1"/>
  <c r="S25" i="1"/>
  <c r="U25" i="1" s="1"/>
  <c r="R25" i="1"/>
  <c r="Q25" i="1"/>
  <c r="T25" i="1" s="1"/>
  <c r="S24" i="1"/>
  <c r="U24" i="1" s="1"/>
  <c r="R24" i="1"/>
  <c r="Q24" i="1"/>
  <c r="T24" i="1" s="1"/>
  <c r="S23" i="1"/>
  <c r="U23" i="1" s="1"/>
  <c r="R23" i="1"/>
  <c r="Q23" i="1"/>
  <c r="T23" i="1" s="1"/>
  <c r="S22" i="1"/>
  <c r="U22" i="1" s="1"/>
  <c r="R22" i="1"/>
  <c r="Q22" i="1"/>
  <c r="T22" i="1" s="1"/>
  <c r="S21" i="1"/>
  <c r="U21" i="1" s="1"/>
  <c r="R21" i="1"/>
  <c r="Q21" i="1"/>
  <c r="T21" i="1" s="1"/>
  <c r="S20" i="1"/>
  <c r="U20" i="1" s="1"/>
  <c r="R20" i="1"/>
  <c r="Q20" i="1"/>
  <c r="T20" i="1" s="1"/>
  <c r="S19" i="1"/>
  <c r="U19" i="1" s="1"/>
  <c r="R19" i="1"/>
  <c r="Q19" i="1"/>
  <c r="T19" i="1" s="1"/>
  <c r="S18" i="1"/>
  <c r="U18" i="1" s="1"/>
  <c r="R18" i="1"/>
  <c r="Q18" i="1"/>
  <c r="T18" i="1" s="1"/>
  <c r="S17" i="1"/>
  <c r="U17" i="1" s="1"/>
  <c r="R17" i="1"/>
  <c r="Q17" i="1"/>
  <c r="T17" i="1" s="1"/>
  <c r="S16" i="1"/>
  <c r="U16" i="1" s="1"/>
  <c r="R16" i="1"/>
  <c r="Q16" i="1"/>
  <c r="T16" i="1" s="1"/>
  <c r="S15" i="1"/>
  <c r="U15" i="1" s="1"/>
  <c r="R15" i="1"/>
  <c r="Q15" i="1"/>
  <c r="T15" i="1" s="1"/>
  <c r="S14" i="1"/>
  <c r="U14" i="1" s="1"/>
  <c r="R14" i="1"/>
  <c r="Q14" i="1"/>
  <c r="T14" i="1" s="1"/>
  <c r="S13" i="1"/>
  <c r="U13" i="1" s="1"/>
  <c r="R13" i="1"/>
  <c r="Q13" i="1"/>
  <c r="T13" i="1" s="1"/>
  <c r="S12" i="1"/>
  <c r="U12" i="1" s="1"/>
  <c r="R12" i="1"/>
  <c r="Q12" i="1"/>
  <c r="T12" i="1" s="1"/>
  <c r="S11" i="1"/>
  <c r="U11" i="1" s="1"/>
  <c r="R11" i="1"/>
  <c r="Q11" i="1"/>
  <c r="T11" i="1" s="1"/>
  <c r="S10" i="1"/>
  <c r="U10" i="1" s="1"/>
  <c r="R10" i="1"/>
  <c r="Q10" i="1"/>
  <c r="T10" i="1" s="1"/>
  <c r="S9" i="1"/>
  <c r="U9" i="1" s="1"/>
  <c r="R9" i="1"/>
  <c r="Q9" i="1"/>
  <c r="T9" i="1" s="1"/>
  <c r="S8" i="1"/>
  <c r="U8" i="1" s="1"/>
  <c r="R8" i="1"/>
  <c r="Q8" i="1"/>
  <c r="T8" i="1" s="1"/>
  <c r="S7" i="1"/>
  <c r="U7" i="1" s="1"/>
  <c r="R7" i="1"/>
  <c r="Q7" i="1"/>
  <c r="T7" i="1" s="1"/>
  <c r="S6" i="1"/>
  <c r="U6" i="1" s="1"/>
  <c r="R6" i="1"/>
  <c r="Q6" i="1"/>
  <c r="T6" i="1" s="1"/>
  <c r="S5" i="1"/>
  <c r="U5" i="1" s="1"/>
  <c r="R5" i="1"/>
  <c r="Q5" i="1"/>
  <c r="T5" i="1" s="1"/>
  <c r="S4" i="1"/>
  <c r="U4" i="1" s="1"/>
  <c r="R4" i="1"/>
  <c r="Q4" i="1"/>
  <c r="T4" i="1" s="1"/>
  <c r="S3" i="1"/>
  <c r="U3" i="1" s="1"/>
  <c r="R3" i="1"/>
  <c r="Q3" i="1"/>
  <c r="T3" i="1" s="1"/>
  <c r="S2" i="1"/>
  <c r="U2" i="1" s="1"/>
  <c r="R2" i="1"/>
  <c r="Q2" i="1"/>
  <c r="T2" i="1" s="1"/>
  <c r="B10" i="3" l="1"/>
  <c r="B9" i="3"/>
  <c r="B13" i="3"/>
</calcChain>
</file>

<file path=xl/sharedStrings.xml><?xml version="1.0" encoding="utf-8"?>
<sst xmlns="http://schemas.openxmlformats.org/spreadsheetml/2006/main" count="14078" uniqueCount="3395">
  <si>
    <t>Invoice ID</t>
  </si>
  <si>
    <t>Vendor Name</t>
  </si>
  <si>
    <t>Invoice Number</t>
  </si>
  <si>
    <t>Invoice Amount</t>
  </si>
  <si>
    <t>Department</t>
  </si>
  <si>
    <t>Invoice Type</t>
  </si>
  <si>
    <t>PO Number</t>
  </si>
  <si>
    <t>Approver</t>
  </si>
  <si>
    <t>Approval Level</t>
  </si>
  <si>
    <t>Date Received</t>
  </si>
  <si>
    <t>Payment Terms</t>
  </si>
  <si>
    <t>Payment Due Date</t>
  </si>
  <si>
    <t>Status</t>
  </si>
  <si>
    <t>Exception Type</t>
  </si>
  <si>
    <t>Approval Date</t>
  </si>
  <si>
    <t>Payment Date</t>
  </si>
  <si>
    <t>Invoice Age Days</t>
  </si>
  <si>
    <t>Approval Cycle Days</t>
  </si>
  <si>
    <t>Days Until Due</t>
  </si>
  <si>
    <t>Overdue Approval Flag</t>
  </si>
  <si>
    <t>Late Payment Risk</t>
  </si>
  <si>
    <t>Comments</t>
  </si>
  <si>
    <t>NS-202606-0001</t>
  </si>
  <si>
    <t>Union Energy Services</t>
  </si>
  <si>
    <t>INV-343962</t>
  </si>
  <si>
    <t>Maintenance</t>
  </si>
  <si>
    <t>PO</t>
  </si>
  <si>
    <t>PO-78265</t>
  </si>
  <si>
    <t>Marcus Lee</t>
  </si>
  <si>
    <t>Department Manager</t>
  </si>
  <si>
    <t>Net 15</t>
  </si>
  <si>
    <t>Paid</t>
  </si>
  <si>
    <t>None</t>
  </si>
  <si>
    <t>Payment completed</t>
  </si>
  <si>
    <t>NS-202606-0002</t>
  </si>
  <si>
    <t>Quarry Equipment Rental</t>
  </si>
  <si>
    <t>INV-456778</t>
  </si>
  <si>
    <t>HR</t>
  </si>
  <si>
    <t>Non-PO</t>
  </si>
  <si>
    <t>Ava Johnson</t>
  </si>
  <si>
    <t>2/10 Net 30</t>
  </si>
  <si>
    <t>Pending Approval</t>
  </si>
  <si>
    <t>Awaiting manager/director action</t>
  </si>
  <si>
    <t>NS-202606-0003</t>
  </si>
  <si>
    <t>IronGate Components</t>
  </si>
  <si>
    <t>INV-662275</t>
  </si>
  <si>
    <t>Procurement</t>
  </si>
  <si>
    <t>PO-54898</t>
  </si>
  <si>
    <t>Nina Patel</t>
  </si>
  <si>
    <t>Net 45</t>
  </si>
  <si>
    <t>Missing Documentation</t>
  </si>
  <si>
    <t>Exception review required: Missing Documentation</t>
  </si>
  <si>
    <t>NS-202606-0004</t>
  </si>
  <si>
    <t>Delta Tooling</t>
  </si>
  <si>
    <t>INV-498591</t>
  </si>
  <si>
    <t>Engineering</t>
  </si>
  <si>
    <t>Maya Singh</t>
  </si>
  <si>
    <t>Net 30</t>
  </si>
  <si>
    <t>Missing PO</t>
  </si>
  <si>
    <t>Exception review required: Missing PO</t>
  </si>
  <si>
    <t>NS-202606-0005</t>
  </si>
  <si>
    <t>INV-279451</t>
  </si>
  <si>
    <t>Facilities</t>
  </si>
  <si>
    <t>PO-43730</t>
  </si>
  <si>
    <t>Grace Morgan</t>
  </si>
  <si>
    <t>Exception</t>
  </si>
  <si>
    <t>NS-202606-0006</t>
  </si>
  <si>
    <t>Ridgeway Plastics</t>
  </si>
  <si>
    <t>INV-133659</t>
  </si>
  <si>
    <t>Sales</t>
  </si>
  <si>
    <t>PO-71943</t>
  </si>
  <si>
    <t>Ryan Scott</t>
  </si>
  <si>
    <t>NS-202606-0007</t>
  </si>
  <si>
    <t>Keystone Electrical</t>
  </si>
  <si>
    <t>INV-358607</t>
  </si>
  <si>
    <t>NS-202606-0008</t>
  </si>
  <si>
    <t>Zenith Software</t>
  </si>
  <si>
    <t>INV-892495</t>
  </si>
  <si>
    <t>IT</t>
  </si>
  <si>
    <t>PO-68242</t>
  </si>
  <si>
    <t>Noah Bennett</t>
  </si>
  <si>
    <t>NS-202606-0009</t>
  </si>
  <si>
    <t>BlueLine Logistics</t>
  </si>
  <si>
    <t>INV-813328</t>
  </si>
  <si>
    <t>Rejected</t>
  </si>
  <si>
    <t>NS-202606-0010</t>
  </si>
  <si>
    <t>INV-854639</t>
  </si>
  <si>
    <t>PO-72006</t>
  </si>
  <si>
    <t>NS-202606-0011</t>
  </si>
  <si>
    <t>INV-656116</t>
  </si>
  <si>
    <t>PO-70979</t>
  </si>
  <si>
    <t>Monica Price</t>
  </si>
  <si>
    <t>Director</t>
  </si>
  <si>
    <t>NS-202606-0012</t>
  </si>
  <si>
    <t>Apex Industrial Supply</t>
  </si>
  <si>
    <t>INV-172574</t>
  </si>
  <si>
    <t>NS-202606-0013</t>
  </si>
  <si>
    <t>INV-781446</t>
  </si>
  <si>
    <t>PO-47370</t>
  </si>
  <si>
    <t>Sent to Accounting</t>
  </si>
  <si>
    <t>Unclear Department Ownership</t>
  </si>
  <si>
    <t>Exception review required: Unclear Department Ownership</t>
  </si>
  <si>
    <t>NS-202606-0014</t>
  </si>
  <si>
    <t>Lakeview Chemicals</t>
  </si>
  <si>
    <t>INV-174441</t>
  </si>
  <si>
    <t>PO-34196</t>
  </si>
  <si>
    <t>Victor Allen</t>
  </si>
  <si>
    <t>Paid late due to approval bottleneck</t>
  </si>
  <si>
    <t>NS-202606-0015</t>
  </si>
  <si>
    <t>WestBridge Staffing</t>
  </si>
  <si>
    <t>INV-858490</t>
  </si>
  <si>
    <t>Finance</t>
  </si>
  <si>
    <t>PO-51654</t>
  </si>
  <si>
    <t>Evelyn Carter</t>
  </si>
  <si>
    <t>NS-202606-0016</t>
  </si>
  <si>
    <t>Summit Security</t>
  </si>
  <si>
    <t>INV-156802</t>
  </si>
  <si>
    <t>NS-202606-0017</t>
  </si>
  <si>
    <t>Vector Calibration</t>
  </si>
  <si>
    <t>INV-392075</t>
  </si>
  <si>
    <t>PO-52236</t>
  </si>
  <si>
    <t>Jordan Blake</t>
  </si>
  <si>
    <t>Finance Director</t>
  </si>
  <si>
    <t>NS-202606-0018</t>
  </si>
  <si>
    <t>Orion Consulting</t>
  </si>
  <si>
    <t>INV-989921</t>
  </si>
  <si>
    <t>Production</t>
  </si>
  <si>
    <t>Heather King</t>
  </si>
  <si>
    <t>NS-202606-0019</t>
  </si>
  <si>
    <t>Harbor Freight Services</t>
  </si>
  <si>
    <t>INV-865990</t>
  </si>
  <si>
    <t>NS-202606-0020</t>
  </si>
  <si>
    <t>INV-627276</t>
  </si>
  <si>
    <t>PO-33832</t>
  </si>
  <si>
    <t>NS-202606-0021</t>
  </si>
  <si>
    <t>INV-749468</t>
  </si>
  <si>
    <t>NS-202606-0022</t>
  </si>
  <si>
    <t>Cedar Packaging Co.</t>
  </si>
  <si>
    <t>INV-414569</t>
  </si>
  <si>
    <t>PO-47089</t>
  </si>
  <si>
    <t>NS-202606-0023</t>
  </si>
  <si>
    <t>INV-238890</t>
  </si>
  <si>
    <t>Logistics</t>
  </si>
  <si>
    <t>PO-70708</t>
  </si>
  <si>
    <t>Anthony Ross</t>
  </si>
  <si>
    <t>Approved</t>
  </si>
  <si>
    <t>NS-202606-0024</t>
  </si>
  <si>
    <t>INV-681542</t>
  </si>
  <si>
    <t>PO-84640</t>
  </si>
  <si>
    <t>Priya Shah</t>
  </si>
  <si>
    <t>NS-202606-0025</t>
  </si>
  <si>
    <t>Juniper Office Supply</t>
  </si>
  <si>
    <t>INV-820892</t>
  </si>
  <si>
    <t>PO-88308</t>
  </si>
  <si>
    <t>NS-202606-0026</t>
  </si>
  <si>
    <t>INV-768061</t>
  </si>
  <si>
    <t>Quality</t>
  </si>
  <si>
    <t>Lena Ortiz</t>
  </si>
  <si>
    <t>NS-202606-0027</t>
  </si>
  <si>
    <t>INV-710805</t>
  </si>
  <si>
    <t>PO-30633</t>
  </si>
  <si>
    <t>Carlos Mendes</t>
  </si>
  <si>
    <t>NS-202606-0028</t>
  </si>
  <si>
    <t>INV-918011</t>
  </si>
  <si>
    <t>PO-82174</t>
  </si>
  <si>
    <t>NS-202606-0029</t>
  </si>
  <si>
    <t>INV-920391</t>
  </si>
  <si>
    <t>NS-202606-0030</t>
  </si>
  <si>
    <t>Northfield Metals</t>
  </si>
  <si>
    <t>INV-333238</t>
  </si>
  <si>
    <t>PO-81601</t>
  </si>
  <si>
    <t>NS-202606-0031</t>
  </si>
  <si>
    <t>Granite Safety Supply</t>
  </si>
  <si>
    <t>INV-392683</t>
  </si>
  <si>
    <t>NS-202606-0032</t>
  </si>
  <si>
    <t>INV-555673</t>
  </si>
  <si>
    <t>NS-202606-0033</t>
  </si>
  <si>
    <t>INV-645175</t>
  </si>
  <si>
    <t>Michelle Young</t>
  </si>
  <si>
    <t>Incorrect Vendor Information</t>
  </si>
  <si>
    <t>Exception review required: Incorrect Vendor Information</t>
  </si>
  <si>
    <t>NS-202606-0034</t>
  </si>
  <si>
    <t>INV-854717</t>
  </si>
  <si>
    <t>NS-202606-0035</t>
  </si>
  <si>
    <t>INV-282480</t>
  </si>
  <si>
    <t>PO-49376</t>
  </si>
  <si>
    <t>NS-202606-0036</t>
  </si>
  <si>
    <t>Titan Machine Parts</t>
  </si>
  <si>
    <t>INV-808446</t>
  </si>
  <si>
    <t>PO-48803</t>
  </si>
  <si>
    <t>NS-202606-0037</t>
  </si>
  <si>
    <t>INV-887625</t>
  </si>
  <si>
    <t>NS-202606-0038</t>
  </si>
  <si>
    <t>INV-703634</t>
  </si>
  <si>
    <t>PO-33028</t>
  </si>
  <si>
    <t>NS-202606-0039</t>
  </si>
  <si>
    <t>INV-284430</t>
  </si>
  <si>
    <t>PO-72995</t>
  </si>
  <si>
    <t>NS-202606-0040</t>
  </si>
  <si>
    <t>INV-629298</t>
  </si>
  <si>
    <t>NS-202606-0041</t>
  </si>
  <si>
    <t>INV-181247</t>
  </si>
  <si>
    <t>NS-202606-0042</t>
  </si>
  <si>
    <t>INV-446954</t>
  </si>
  <si>
    <t>NS-202606-0043</t>
  </si>
  <si>
    <t>INV-413118</t>
  </si>
  <si>
    <t>PO-89299</t>
  </si>
  <si>
    <t>NS-202606-0044</t>
  </si>
  <si>
    <t>Metro Waste Services</t>
  </si>
  <si>
    <t>INV-936912</t>
  </si>
  <si>
    <t>NS-202606-0045</t>
  </si>
  <si>
    <t>INV-242291</t>
  </si>
  <si>
    <t>PO-70780</t>
  </si>
  <si>
    <t>Duplicate Invoice</t>
  </si>
  <si>
    <t>Exception review required: Duplicate Invoice</t>
  </si>
  <si>
    <t>NS-202606-0046</t>
  </si>
  <si>
    <t>INV-593152</t>
  </si>
  <si>
    <t>PO-51420</t>
  </si>
  <si>
    <t>NS-202606-0047</t>
  </si>
  <si>
    <t>INV-350132</t>
  </si>
  <si>
    <t>PO-72607</t>
  </si>
  <si>
    <t>NS-202606-0048</t>
  </si>
  <si>
    <t>Evergreen Maintenance</t>
  </si>
  <si>
    <t>INV-426147</t>
  </si>
  <si>
    <t>PO-75840</t>
  </si>
  <si>
    <t>NS-202606-0049</t>
  </si>
  <si>
    <t>INV-354646</t>
  </si>
  <si>
    <t>NS-202606-0050</t>
  </si>
  <si>
    <t>INV-113266</t>
  </si>
  <si>
    <t>NS-202606-0051</t>
  </si>
  <si>
    <t>INV-965845</t>
  </si>
  <si>
    <t>NS-202606-0052</t>
  </si>
  <si>
    <t>INV-452737</t>
  </si>
  <si>
    <t>NS-202606-0053</t>
  </si>
  <si>
    <t>INV-300337</t>
  </si>
  <si>
    <t>PO-82286</t>
  </si>
  <si>
    <t>NS-202606-0054</t>
  </si>
  <si>
    <t>INV-524045</t>
  </si>
  <si>
    <t>NS-202606-0055</t>
  </si>
  <si>
    <t>INV-421517</t>
  </si>
  <si>
    <t>PO-64794</t>
  </si>
  <si>
    <t>Ethan Brooks</t>
  </si>
  <si>
    <t>NS-202606-0056</t>
  </si>
  <si>
    <t>INV-718226</t>
  </si>
  <si>
    <t>PO-65118</t>
  </si>
  <si>
    <t>NS-202606-0057</t>
  </si>
  <si>
    <t>INV-680238</t>
  </si>
  <si>
    <t>PO-44908</t>
  </si>
  <si>
    <t>NS-202606-0058</t>
  </si>
  <si>
    <t>INV-364742</t>
  </si>
  <si>
    <t>NS-202606-0059</t>
  </si>
  <si>
    <t>Pioneer MRO</t>
  </si>
  <si>
    <t>INV-360247</t>
  </si>
  <si>
    <t>PO-71251</t>
  </si>
  <si>
    <t>NS-202606-0060</t>
  </si>
  <si>
    <t>INV-739244</t>
  </si>
  <si>
    <t>NS-202606-0061</t>
  </si>
  <si>
    <t>INV-572387</t>
  </si>
  <si>
    <t>PO-73281</t>
  </si>
  <si>
    <t>NS-202606-0062</t>
  </si>
  <si>
    <t>INV-926097</t>
  </si>
  <si>
    <t>PO-48528</t>
  </si>
  <si>
    <t>NS-202606-0063</t>
  </si>
  <si>
    <t>INV-422554</t>
  </si>
  <si>
    <t>PO-65688</t>
  </si>
  <si>
    <t>NS-202606-0064</t>
  </si>
  <si>
    <t>INV-617781</t>
  </si>
  <si>
    <t>PO-60716</t>
  </si>
  <si>
    <t>NS-202606-0065</t>
  </si>
  <si>
    <t>INV-900177</t>
  </si>
  <si>
    <t>NS-202606-0066</t>
  </si>
  <si>
    <t>ForgeWorks Materials</t>
  </si>
  <si>
    <t>INV-436653</t>
  </si>
  <si>
    <t>PO-68360</t>
  </si>
  <si>
    <t>NS-202606-0067</t>
  </si>
  <si>
    <t>INV-221552</t>
  </si>
  <si>
    <t>NS-202606-0068</t>
  </si>
  <si>
    <t>INV-313446</t>
  </si>
  <si>
    <t>NS-202606-0069</t>
  </si>
  <si>
    <t>INV-679077</t>
  </si>
  <si>
    <t>NS-202606-0070</t>
  </si>
  <si>
    <t>INV-386706</t>
  </si>
  <si>
    <t>PO-37698</t>
  </si>
  <si>
    <t>NS-202606-0071</t>
  </si>
  <si>
    <t>INV-535098</t>
  </si>
  <si>
    <t>PO-55138</t>
  </si>
  <si>
    <t>NS-202606-0072</t>
  </si>
  <si>
    <t>INV-669827</t>
  </si>
  <si>
    <t>NS-202606-0073</t>
  </si>
  <si>
    <t>INV-950823</t>
  </si>
  <si>
    <t>NS-202606-0074</t>
  </si>
  <si>
    <t>INV-561694</t>
  </si>
  <si>
    <t>NS-202606-0075</t>
  </si>
  <si>
    <t>INV-826353</t>
  </si>
  <si>
    <t>PO-87077</t>
  </si>
  <si>
    <t>NS-202606-0076</t>
  </si>
  <si>
    <t>INV-817644</t>
  </si>
  <si>
    <t>NS-202606-0077</t>
  </si>
  <si>
    <t>INV-148225</t>
  </si>
  <si>
    <t>PO-71533</t>
  </si>
  <si>
    <t>NS-202606-0078</t>
  </si>
  <si>
    <t>INV-501126</t>
  </si>
  <si>
    <t>Operations</t>
  </si>
  <si>
    <t>PO-64810</t>
  </si>
  <si>
    <t>Olivia Grant</t>
  </si>
  <si>
    <t>NS-202606-0079</t>
  </si>
  <si>
    <t>INV-587853</t>
  </si>
  <si>
    <t>PO-60221</t>
  </si>
  <si>
    <t>NS-202606-0080</t>
  </si>
  <si>
    <t>INV-308894</t>
  </si>
  <si>
    <t>NS-202606-0081</t>
  </si>
  <si>
    <t>INV-693419</t>
  </si>
  <si>
    <t>PO-49390</t>
  </si>
  <si>
    <t>NS-202606-0082</t>
  </si>
  <si>
    <t>INV-904751</t>
  </si>
  <si>
    <t>NS-202606-0083</t>
  </si>
  <si>
    <t>INV-409445</t>
  </si>
  <si>
    <t>NS-202606-0084</t>
  </si>
  <si>
    <t>INV-455168</t>
  </si>
  <si>
    <t>NS-202606-0085</t>
  </si>
  <si>
    <t>INV-377304</t>
  </si>
  <si>
    <t>NS-202606-0086</t>
  </si>
  <si>
    <t>INV-749641</t>
  </si>
  <si>
    <t>NS-202606-0087</t>
  </si>
  <si>
    <t>INV-419149</t>
  </si>
  <si>
    <t>PO-83992</t>
  </si>
  <si>
    <t>NS-202606-0088</t>
  </si>
  <si>
    <t>INV-786735</t>
  </si>
  <si>
    <t>PO-59729</t>
  </si>
  <si>
    <t>NS-202606-0089</t>
  </si>
  <si>
    <t>INV-204180</t>
  </si>
  <si>
    <t>PO-75238</t>
  </si>
  <si>
    <t>NS-202606-0090</t>
  </si>
  <si>
    <t>INV-770556</t>
  </si>
  <si>
    <t>PO-56092</t>
  </si>
  <si>
    <t>Tyler Chen</t>
  </si>
  <si>
    <t>NS-202606-0091</t>
  </si>
  <si>
    <t>INV-344316</t>
  </si>
  <si>
    <t>NS-202606-0092</t>
  </si>
  <si>
    <t>INV-928358</t>
  </si>
  <si>
    <t>PO-39482</t>
  </si>
  <si>
    <t>NS-202606-0093</t>
  </si>
  <si>
    <t>INV-479625</t>
  </si>
  <si>
    <t>PO-78609</t>
  </si>
  <si>
    <t>NS-202606-0094</t>
  </si>
  <si>
    <t>INV-546980</t>
  </si>
  <si>
    <t>NS-202606-0095</t>
  </si>
  <si>
    <t>INV-674993</t>
  </si>
  <si>
    <t>PO-35294</t>
  </si>
  <si>
    <t>NS-202606-0096</t>
  </si>
  <si>
    <t>INV-782535</t>
  </si>
  <si>
    <t>PO-63131</t>
  </si>
  <si>
    <t>NS-202606-0097</t>
  </si>
  <si>
    <t>INV-427704</t>
  </si>
  <si>
    <t>NS-202606-0098</t>
  </si>
  <si>
    <t>INV-951201</t>
  </si>
  <si>
    <t>NS-202606-0099</t>
  </si>
  <si>
    <t>INV-856086</t>
  </si>
  <si>
    <t>PO-73909</t>
  </si>
  <si>
    <t>NS-202606-0100</t>
  </si>
  <si>
    <t>INV-485415</t>
  </si>
  <si>
    <t>PO-43942</t>
  </si>
  <si>
    <t>NS-202606-0101</t>
  </si>
  <si>
    <t>INV-836833</t>
  </si>
  <si>
    <t>NS-202606-0102</t>
  </si>
  <si>
    <t>INV-325583</t>
  </si>
  <si>
    <t>PO-73079</t>
  </si>
  <si>
    <t>NS-202606-0103</t>
  </si>
  <si>
    <t>INV-152179</t>
  </si>
  <si>
    <t>PO-51258</t>
  </si>
  <si>
    <t>NS-202606-0104</t>
  </si>
  <si>
    <t>INV-397005</t>
  </si>
  <si>
    <t>PO-58969</t>
  </si>
  <si>
    <t>NS-202606-0105</t>
  </si>
  <si>
    <t>INV-904624</t>
  </si>
  <si>
    <t>PO-44451</t>
  </si>
  <si>
    <t>NS-202606-0106</t>
  </si>
  <si>
    <t>INV-800499</t>
  </si>
  <si>
    <t>PO-58223</t>
  </si>
  <si>
    <t>NS-202606-0107</t>
  </si>
  <si>
    <t>INV-403578</t>
  </si>
  <si>
    <t>PO-60130</t>
  </si>
  <si>
    <t>NS-202606-0108</t>
  </si>
  <si>
    <t>INV-355135</t>
  </si>
  <si>
    <t>NS-202606-0109</t>
  </si>
  <si>
    <t>INV-958729</t>
  </si>
  <si>
    <t>NS-202606-0110</t>
  </si>
  <si>
    <t>INV-896788</t>
  </si>
  <si>
    <t>PO-69478</t>
  </si>
  <si>
    <t>NS-202606-0111</t>
  </si>
  <si>
    <t>INV-563688</t>
  </si>
  <si>
    <t>NS-202606-0112</t>
  </si>
  <si>
    <t>INV-180458</t>
  </si>
  <si>
    <t>PO-34862</t>
  </si>
  <si>
    <t>Samantha Wu</t>
  </si>
  <si>
    <t>NS-202606-0113</t>
  </si>
  <si>
    <t>INV-258189</t>
  </si>
  <si>
    <t>PO-66327</t>
  </si>
  <si>
    <t>NS-202606-0114</t>
  </si>
  <si>
    <t>INV-648141</t>
  </si>
  <si>
    <t>PO-76813</t>
  </si>
  <si>
    <t>NS-202606-0115</t>
  </si>
  <si>
    <t>INV-811332</t>
  </si>
  <si>
    <t>PO-80755</t>
  </si>
  <si>
    <t>NS-202606-0116</t>
  </si>
  <si>
    <t>INV-832409</t>
  </si>
  <si>
    <t>NS-202606-0117</t>
  </si>
  <si>
    <t>INV-479404</t>
  </si>
  <si>
    <t>PO-66629</t>
  </si>
  <si>
    <t>NS-202606-0118</t>
  </si>
  <si>
    <t>INV-985447</t>
  </si>
  <si>
    <t>PO-80210</t>
  </si>
  <si>
    <t>NS-202606-0119</t>
  </si>
  <si>
    <t>INV-826501</t>
  </si>
  <si>
    <t>NS-202606-0120</t>
  </si>
  <si>
    <t>INV-424500</t>
  </si>
  <si>
    <t>PO-77158</t>
  </si>
  <si>
    <t>NS-202606-0121</t>
  </si>
  <si>
    <t>INV-245121</t>
  </si>
  <si>
    <t>NS-202606-0122</t>
  </si>
  <si>
    <t>INV-638289</t>
  </si>
  <si>
    <t>PO-36723</t>
  </si>
  <si>
    <t>NS-202606-0123</t>
  </si>
  <si>
    <t>INV-493124</t>
  </si>
  <si>
    <t>NS-202606-0124</t>
  </si>
  <si>
    <t>INV-570392</t>
  </si>
  <si>
    <t>NS-202606-0125</t>
  </si>
  <si>
    <t>INV-150068</t>
  </si>
  <si>
    <t>PO-39798</t>
  </si>
  <si>
    <t>Daniel Reed</t>
  </si>
  <si>
    <t>NS-202606-0126</t>
  </si>
  <si>
    <t>INV-405420</t>
  </si>
  <si>
    <t>PO-84833</t>
  </si>
  <si>
    <t>NS-202606-0127</t>
  </si>
  <si>
    <t>INV-651613</t>
  </si>
  <si>
    <t>PO-73540</t>
  </si>
  <si>
    <t>NS-202606-0128</t>
  </si>
  <si>
    <t>INV-474440</t>
  </si>
  <si>
    <t>PO-87234</t>
  </si>
  <si>
    <t>NS-202606-0129</t>
  </si>
  <si>
    <t>INV-283594</t>
  </si>
  <si>
    <t>PO-68135</t>
  </si>
  <si>
    <t>NS-202606-0130</t>
  </si>
  <si>
    <t>INV-143941</t>
  </si>
  <si>
    <t>PO-38837</t>
  </si>
  <si>
    <t>NS-202606-0131</t>
  </si>
  <si>
    <t>INV-448048</t>
  </si>
  <si>
    <t>PO-46601</t>
  </si>
  <si>
    <t>NS-202606-0132</t>
  </si>
  <si>
    <t>INV-644500</t>
  </si>
  <si>
    <t>PO-58818</t>
  </si>
  <si>
    <t>NS-202606-0133</t>
  </si>
  <si>
    <t>INV-274739</t>
  </si>
  <si>
    <t>NS-202606-0134</t>
  </si>
  <si>
    <t>INV-480959</t>
  </si>
  <si>
    <t>NS-202606-0135</t>
  </si>
  <si>
    <t>INV-776502</t>
  </si>
  <si>
    <t>PO-69817</t>
  </si>
  <si>
    <t>NS-202606-0136</t>
  </si>
  <si>
    <t>INV-244383</t>
  </si>
  <si>
    <t>NS-202606-0137</t>
  </si>
  <si>
    <t>INV-223481</t>
  </si>
  <si>
    <t>PO-37434</t>
  </si>
  <si>
    <t>NS-202606-0138</t>
  </si>
  <si>
    <t>INV-192055</t>
  </si>
  <si>
    <t>NS-202606-0139</t>
  </si>
  <si>
    <t>INV-633469</t>
  </si>
  <si>
    <t>PO-49029</t>
  </si>
  <si>
    <t>NS-202606-0140</t>
  </si>
  <si>
    <t>INV-236074</t>
  </si>
  <si>
    <t>PO-62376</t>
  </si>
  <si>
    <t>NS-202606-0141</t>
  </si>
  <si>
    <t>INV-571832</t>
  </si>
  <si>
    <t>NS-202606-0142</t>
  </si>
  <si>
    <t>INV-158104</t>
  </si>
  <si>
    <t>NS-202606-0143</t>
  </si>
  <si>
    <t>INV-765905</t>
  </si>
  <si>
    <t>PO-76486</t>
  </si>
  <si>
    <t>NS-202606-0144</t>
  </si>
  <si>
    <t>INV-754813</t>
  </si>
  <si>
    <t>PO-62936</t>
  </si>
  <si>
    <t>NS-202606-0145</t>
  </si>
  <si>
    <t>INV-699929</t>
  </si>
  <si>
    <t>PO-86608</t>
  </si>
  <si>
    <t>NS-202606-0146</t>
  </si>
  <si>
    <t>INV-162823</t>
  </si>
  <si>
    <t>NS-202606-0147</t>
  </si>
  <si>
    <t>INV-237118</t>
  </si>
  <si>
    <t>PO-39415</t>
  </si>
  <si>
    <t>NS-202606-0148</t>
  </si>
  <si>
    <t>INV-745270</t>
  </si>
  <si>
    <t>PO-47529</t>
  </si>
  <si>
    <t>NS-202606-0149</t>
  </si>
  <si>
    <t>INV-194423</t>
  </si>
  <si>
    <t>NS-202606-0150</t>
  </si>
  <si>
    <t>INV-988324</t>
  </si>
  <si>
    <t>PO-33188</t>
  </si>
  <si>
    <t>NS-202606-0151</t>
  </si>
  <si>
    <t>INV-177103</t>
  </si>
  <si>
    <t>PO-56427</t>
  </si>
  <si>
    <t>NS-202606-0152</t>
  </si>
  <si>
    <t>INV-731728</t>
  </si>
  <si>
    <t>NS-202606-0153</t>
  </si>
  <si>
    <t>INV-434002</t>
  </si>
  <si>
    <t>PO-51826</t>
  </si>
  <si>
    <t>NS-202606-0154</t>
  </si>
  <si>
    <t>INV-117445</t>
  </si>
  <si>
    <t>PO-52044</t>
  </si>
  <si>
    <t>NS-202606-0155</t>
  </si>
  <si>
    <t>INV-920934</t>
  </si>
  <si>
    <t>PO-82216</t>
  </si>
  <si>
    <t>NS-202606-0156</t>
  </si>
  <si>
    <t>INV-834549</t>
  </si>
  <si>
    <t>PO-64356</t>
  </si>
  <si>
    <t>NS-202606-0157</t>
  </si>
  <si>
    <t>INV-871581</t>
  </si>
  <si>
    <t>PO-75252</t>
  </si>
  <si>
    <t>NS-202606-0158</t>
  </si>
  <si>
    <t>INV-659024</t>
  </si>
  <si>
    <t>PO-73399</t>
  </si>
  <si>
    <t>NS-202606-0159</t>
  </si>
  <si>
    <t>INV-335790</t>
  </si>
  <si>
    <t>NS-202606-0160</t>
  </si>
  <si>
    <t>INV-513697</t>
  </si>
  <si>
    <t>PO-61444</t>
  </si>
  <si>
    <t>NS-202606-0161</t>
  </si>
  <si>
    <t>INV-384303</t>
  </si>
  <si>
    <t>NS-202606-0162</t>
  </si>
  <si>
    <t>INV-446337</t>
  </si>
  <si>
    <t>NS-202606-0163</t>
  </si>
  <si>
    <t>INV-892630</t>
  </si>
  <si>
    <t>PO-66067</t>
  </si>
  <si>
    <t>NS-202606-0164</t>
  </si>
  <si>
    <t>INV-978292</t>
  </si>
  <si>
    <t>NS-202606-0165</t>
  </si>
  <si>
    <t>INV-451317</t>
  </si>
  <si>
    <t>PO-79086</t>
  </si>
  <si>
    <t>NS-202606-0166</t>
  </si>
  <si>
    <t>INV-581206</t>
  </si>
  <si>
    <t>PO-38794</t>
  </si>
  <si>
    <t>NS-202606-0167</t>
  </si>
  <si>
    <t>INV-640310</t>
  </si>
  <si>
    <t>PO-49334</t>
  </si>
  <si>
    <t>NS-202606-0168</t>
  </si>
  <si>
    <t>INV-379963</t>
  </si>
  <si>
    <t>NS-202606-0169</t>
  </si>
  <si>
    <t>INV-267475</t>
  </si>
  <si>
    <t>PO-53563</t>
  </si>
  <si>
    <t>NS-202606-0170</t>
  </si>
  <si>
    <t>INV-601410</t>
  </si>
  <si>
    <t>NS-202606-0171</t>
  </si>
  <si>
    <t>INV-837952</t>
  </si>
  <si>
    <t>PO-65994</t>
  </si>
  <si>
    <t>NS-202606-0172</t>
  </si>
  <si>
    <t>INV-612573</t>
  </si>
  <si>
    <t>NS-202606-0173</t>
  </si>
  <si>
    <t>INV-515182</t>
  </si>
  <si>
    <t>PO-57225</t>
  </si>
  <si>
    <t>NS-202606-0174</t>
  </si>
  <si>
    <t>INV-172371</t>
  </si>
  <si>
    <t>PO-52579</t>
  </si>
  <si>
    <t>NS-202606-0175</t>
  </si>
  <si>
    <t>INV-495833</t>
  </si>
  <si>
    <t>PO-72042</t>
  </si>
  <si>
    <t>NS-202606-0176</t>
  </si>
  <si>
    <t>INV-333507</t>
  </si>
  <si>
    <t>PO-72830</t>
  </si>
  <si>
    <t>NS-202606-0177</t>
  </si>
  <si>
    <t>INV-860242</t>
  </si>
  <si>
    <t>NS-202606-0178</t>
  </si>
  <si>
    <t>INV-560285</t>
  </si>
  <si>
    <t>NS-202606-0179</t>
  </si>
  <si>
    <t>INV-958136</t>
  </si>
  <si>
    <t>PO-63023</t>
  </si>
  <si>
    <t>NS-202606-0180</t>
  </si>
  <si>
    <t>INV-774565</t>
  </si>
  <si>
    <t>NS-202606-0181</t>
  </si>
  <si>
    <t>INV-415344</t>
  </si>
  <si>
    <t>PO-39779</t>
  </si>
  <si>
    <t>Robert Hayes</t>
  </si>
  <si>
    <t>NS-202606-0182</t>
  </si>
  <si>
    <t>INV-182911</t>
  </si>
  <si>
    <t>PO-57296</t>
  </si>
  <si>
    <t>NS-202606-0183</t>
  </si>
  <si>
    <t>INV-804066</t>
  </si>
  <si>
    <t>PO-47593</t>
  </si>
  <si>
    <t>NS-202606-0184</t>
  </si>
  <si>
    <t>INV-354377</t>
  </si>
  <si>
    <t>PO-89571</t>
  </si>
  <si>
    <t>NS-202606-0185</t>
  </si>
  <si>
    <t>INV-637727</t>
  </si>
  <si>
    <t>PO-51077</t>
  </si>
  <si>
    <t>NS-202606-0186</t>
  </si>
  <si>
    <t>INV-332022</t>
  </si>
  <si>
    <t>PO-85032</t>
  </si>
  <si>
    <t>NS-202606-0187</t>
  </si>
  <si>
    <t>INV-973844</t>
  </si>
  <si>
    <t>PO-77186</t>
  </si>
  <si>
    <t>NS-202606-0188</t>
  </si>
  <si>
    <t>INV-673095</t>
  </si>
  <si>
    <t>PO-80027</t>
  </si>
  <si>
    <t>NS-202606-0189</t>
  </si>
  <si>
    <t>INV-983472</t>
  </si>
  <si>
    <t>NS-202606-0190</t>
  </si>
  <si>
    <t>INV-106933</t>
  </si>
  <si>
    <t>PO-59885</t>
  </si>
  <si>
    <t>NS-202606-0191</t>
  </si>
  <si>
    <t>INV-649857</t>
  </si>
  <si>
    <t>NS-202606-0192</t>
  </si>
  <si>
    <t>INV-414546</t>
  </si>
  <si>
    <t>NS-202606-0193</t>
  </si>
  <si>
    <t>INV-624139</t>
  </si>
  <si>
    <t>NS-202606-0194</t>
  </si>
  <si>
    <t>INV-817675</t>
  </si>
  <si>
    <t>NS-202606-0195</t>
  </si>
  <si>
    <t>INV-352153</t>
  </si>
  <si>
    <t>NS-202606-0196</t>
  </si>
  <si>
    <t>INV-343420</t>
  </si>
  <si>
    <t>PO-78479</t>
  </si>
  <si>
    <t>NS-202606-0197</t>
  </si>
  <si>
    <t>INV-679902</t>
  </si>
  <si>
    <t>PO-80695</t>
  </si>
  <si>
    <t>NS-202606-0198</t>
  </si>
  <si>
    <t>INV-846247</t>
  </si>
  <si>
    <t>PO-80604</t>
  </si>
  <si>
    <t>NS-202606-0199</t>
  </si>
  <si>
    <t>INV-296494</t>
  </si>
  <si>
    <t>PO-30340</t>
  </si>
  <si>
    <t>NS-202606-0200</t>
  </si>
  <si>
    <t>INV-112940</t>
  </si>
  <si>
    <t>PO-35873</t>
  </si>
  <si>
    <t>NS-202606-0201</t>
  </si>
  <si>
    <t>INV-555791</t>
  </si>
  <si>
    <t>NS-202606-0202</t>
  </si>
  <si>
    <t>INV-242071</t>
  </si>
  <si>
    <t>PO-46160</t>
  </si>
  <si>
    <t>NS-202606-0203</t>
  </si>
  <si>
    <t>INV-310608</t>
  </si>
  <si>
    <t>NS-202606-0204</t>
  </si>
  <si>
    <t>INV-956156</t>
  </si>
  <si>
    <t>PO-78160</t>
  </si>
  <si>
    <t>NS-202606-0205</t>
  </si>
  <si>
    <t>INV-405482</t>
  </si>
  <si>
    <t>PO-65758</t>
  </si>
  <si>
    <t>NS-202606-0206</t>
  </si>
  <si>
    <t>INV-495303</t>
  </si>
  <si>
    <t>PO-62722</t>
  </si>
  <si>
    <t>NS-202606-0207</t>
  </si>
  <si>
    <t>INV-951755</t>
  </si>
  <si>
    <t>PO-63201</t>
  </si>
  <si>
    <t>NS-202606-0208</t>
  </si>
  <si>
    <t>INV-551365</t>
  </si>
  <si>
    <t>NS-202606-0209</t>
  </si>
  <si>
    <t>INV-209627</t>
  </si>
  <si>
    <t>NS-202606-0210</t>
  </si>
  <si>
    <t>INV-559450</t>
  </si>
  <si>
    <t>NS-202606-0211</t>
  </si>
  <si>
    <t>INV-876459</t>
  </si>
  <si>
    <t>PO-76581</t>
  </si>
  <si>
    <t>NS-202606-0212</t>
  </si>
  <si>
    <t>INV-514798</t>
  </si>
  <si>
    <t>PO-60281</t>
  </si>
  <si>
    <t>NS-202606-0213</t>
  </si>
  <si>
    <t>INV-662968</t>
  </si>
  <si>
    <t>PO-55482</t>
  </si>
  <si>
    <t>NS-202606-0214</t>
  </si>
  <si>
    <t>INV-464825</t>
  </si>
  <si>
    <t>PO-86533</t>
  </si>
  <si>
    <t>NS-202606-0215</t>
  </si>
  <si>
    <t>INV-827120</t>
  </si>
  <si>
    <t>NS-202606-0216</t>
  </si>
  <si>
    <t>INV-402865</t>
  </si>
  <si>
    <t>PO-57724</t>
  </si>
  <si>
    <t>NS-202606-0217</t>
  </si>
  <si>
    <t>INV-629990</t>
  </si>
  <si>
    <t>PO-53529</t>
  </si>
  <si>
    <t>NS-202606-0218</t>
  </si>
  <si>
    <t>INV-663723</t>
  </si>
  <si>
    <t>NS-202606-0219</t>
  </si>
  <si>
    <t>INV-562806</t>
  </si>
  <si>
    <t>NS-202606-0220</t>
  </si>
  <si>
    <t>INV-191208</t>
  </si>
  <si>
    <t>NS-202606-0221</t>
  </si>
  <si>
    <t>INV-953047</t>
  </si>
  <si>
    <t>NS-202606-0222</t>
  </si>
  <si>
    <t>INV-639403</t>
  </si>
  <si>
    <t>PO-41034</t>
  </si>
  <si>
    <t>NS-202606-0223</t>
  </si>
  <si>
    <t>INV-437742</t>
  </si>
  <si>
    <t>PO-33885</t>
  </si>
  <si>
    <t>NS-202606-0224</t>
  </si>
  <si>
    <t>INV-486999</t>
  </si>
  <si>
    <t>NS-202606-0225</t>
  </si>
  <si>
    <t>INV-964915</t>
  </si>
  <si>
    <t>NS-202606-0226</t>
  </si>
  <si>
    <t>INV-977345</t>
  </si>
  <si>
    <t>PO-67875</t>
  </si>
  <si>
    <t>NS-202606-0227</t>
  </si>
  <si>
    <t>INV-387330</t>
  </si>
  <si>
    <t>PO-30044</t>
  </si>
  <si>
    <t>NS-202606-0228</t>
  </si>
  <si>
    <t>INV-837880</t>
  </si>
  <si>
    <t>NS-202606-0229</t>
  </si>
  <si>
    <t>INV-542828</t>
  </si>
  <si>
    <t>PO-64042</t>
  </si>
  <si>
    <t>NS-202606-0230</t>
  </si>
  <si>
    <t>INV-952878</t>
  </si>
  <si>
    <t>PO-82819</t>
  </si>
  <si>
    <t>NS-202606-0231</t>
  </si>
  <si>
    <t>INV-258727</t>
  </si>
  <si>
    <t>PO-30555</t>
  </si>
  <si>
    <t>NS-202606-0232</t>
  </si>
  <si>
    <t>INV-429780</t>
  </si>
  <si>
    <t>PO-36584</t>
  </si>
  <si>
    <t>NS-202606-0233</t>
  </si>
  <si>
    <t>INV-634273</t>
  </si>
  <si>
    <t>PO-69322</t>
  </si>
  <si>
    <t>NS-202606-0234</t>
  </si>
  <si>
    <t>INV-238394</t>
  </si>
  <si>
    <t>NS-202606-0235</t>
  </si>
  <si>
    <t>INV-163406</t>
  </si>
  <si>
    <t>PO-60868</t>
  </si>
  <si>
    <t>NS-202606-0236</t>
  </si>
  <si>
    <t>INV-636141</t>
  </si>
  <si>
    <t>NS-202606-0237</t>
  </si>
  <si>
    <t>INV-555589</t>
  </si>
  <si>
    <t>NS-202606-0238</t>
  </si>
  <si>
    <t>INV-463546</t>
  </si>
  <si>
    <t>NS-202606-0239</t>
  </si>
  <si>
    <t>INV-375722</t>
  </si>
  <si>
    <t>PO-38318</t>
  </si>
  <si>
    <t>NS-202606-0240</t>
  </si>
  <si>
    <t>INV-701790</t>
  </si>
  <si>
    <t>PO-33633</t>
  </si>
  <si>
    <t>NS-202606-0241</t>
  </si>
  <si>
    <t>INV-287654</t>
  </si>
  <si>
    <t>PO-86275</t>
  </si>
  <si>
    <t>NS-202606-0242</t>
  </si>
  <si>
    <t>INV-699298</t>
  </si>
  <si>
    <t>NS-202606-0243</t>
  </si>
  <si>
    <t>INV-911102</t>
  </si>
  <si>
    <t>PO-82713</t>
  </si>
  <si>
    <t>NS-202606-0244</t>
  </si>
  <si>
    <t>INV-720432</t>
  </si>
  <si>
    <t>PO-49109</t>
  </si>
  <si>
    <t>NS-202606-0245</t>
  </si>
  <si>
    <t>INV-827146</t>
  </si>
  <si>
    <t>NS-202606-0246</t>
  </si>
  <si>
    <t>INV-249289</t>
  </si>
  <si>
    <t>NS-202606-0247</t>
  </si>
  <si>
    <t>INV-768169</t>
  </si>
  <si>
    <t>NS-202606-0248</t>
  </si>
  <si>
    <t>INV-344959</t>
  </si>
  <si>
    <t>NS-202606-0249</t>
  </si>
  <si>
    <t>INV-907756</t>
  </si>
  <si>
    <t>PO-36924</t>
  </si>
  <si>
    <t>NS-202606-0250</t>
  </si>
  <si>
    <t>INV-443716</t>
  </si>
  <si>
    <t>PO-40329</t>
  </si>
  <si>
    <t>NS-202606-0251</t>
  </si>
  <si>
    <t>INV-524035</t>
  </si>
  <si>
    <t>PO-33208</t>
  </si>
  <si>
    <t>NS-202606-0252</t>
  </si>
  <si>
    <t>INV-520040</t>
  </si>
  <si>
    <t>PO-82684</t>
  </si>
  <si>
    <t>NS-202606-0253</t>
  </si>
  <si>
    <t>INV-196446</t>
  </si>
  <si>
    <t>PO-46962</t>
  </si>
  <si>
    <t>NS-202606-0254</t>
  </si>
  <si>
    <t>INV-281201</t>
  </si>
  <si>
    <t>PO-67610</t>
  </si>
  <si>
    <t>NS-202606-0255</t>
  </si>
  <si>
    <t>INV-602300</t>
  </si>
  <si>
    <t>PO-39740</t>
  </si>
  <si>
    <t>NS-202606-0256</t>
  </si>
  <si>
    <t>INV-602985</t>
  </si>
  <si>
    <t>PO-87976</t>
  </si>
  <si>
    <t>NS-202606-0257</t>
  </si>
  <si>
    <t>INV-916356</t>
  </si>
  <si>
    <t>PO-47723</t>
  </si>
  <si>
    <t>NS-202606-0258</t>
  </si>
  <si>
    <t>INV-929672</t>
  </si>
  <si>
    <t>PO-68272</t>
  </si>
  <si>
    <t>NS-202606-0259</t>
  </si>
  <si>
    <t>INV-945372</t>
  </si>
  <si>
    <t>PO-82257</t>
  </si>
  <si>
    <t>NS-202606-0260</t>
  </si>
  <si>
    <t>INV-194641</t>
  </si>
  <si>
    <t>NS-202606-0261</t>
  </si>
  <si>
    <t>INV-985296</t>
  </si>
  <si>
    <t>PO-51740</t>
  </si>
  <si>
    <t>NS-202606-0262</t>
  </si>
  <si>
    <t>INV-438273</t>
  </si>
  <si>
    <t>NS-202606-0263</t>
  </si>
  <si>
    <t>INV-954017</t>
  </si>
  <si>
    <t>NS-202606-0264</t>
  </si>
  <si>
    <t>INV-741079</t>
  </si>
  <si>
    <t>PO-77764</t>
  </si>
  <si>
    <t>NS-202606-0265</t>
  </si>
  <si>
    <t>INV-961574</t>
  </si>
  <si>
    <t>PO-78846</t>
  </si>
  <si>
    <t>NS-202606-0266</t>
  </si>
  <si>
    <t>INV-855408</t>
  </si>
  <si>
    <t>PO-47380</t>
  </si>
  <si>
    <t>NS-202606-0267</t>
  </si>
  <si>
    <t>INV-927043</t>
  </si>
  <si>
    <t>NS-202606-0268</t>
  </si>
  <si>
    <t>INV-177804</t>
  </si>
  <si>
    <t>PO-82376</t>
  </si>
  <si>
    <t>NS-202606-0269</t>
  </si>
  <si>
    <t>INV-785386</t>
  </si>
  <si>
    <t>PO-88859</t>
  </si>
  <si>
    <t>NS-202606-0270</t>
  </si>
  <si>
    <t>INV-349087</t>
  </si>
  <si>
    <t>PO-43470</t>
  </si>
  <si>
    <t>Karen Lewis</t>
  </si>
  <si>
    <t>NS-202606-0271</t>
  </si>
  <si>
    <t>INV-755455</t>
  </si>
  <si>
    <t>PO-33572</t>
  </si>
  <si>
    <t>NS-202606-0272</t>
  </si>
  <si>
    <t>INV-793150</t>
  </si>
  <si>
    <t>PO-49124</t>
  </si>
  <si>
    <t>NS-202606-0273</t>
  </si>
  <si>
    <t>INV-337232</t>
  </si>
  <si>
    <t>PO-54998</t>
  </si>
  <si>
    <t>NS-202606-0274</t>
  </si>
  <si>
    <t>INV-958160</t>
  </si>
  <si>
    <t>NS-202606-0275</t>
  </si>
  <si>
    <t>INV-570852</t>
  </si>
  <si>
    <t>NS-202606-0276</t>
  </si>
  <si>
    <t>INV-370413</t>
  </si>
  <si>
    <t>PO-57746</t>
  </si>
  <si>
    <t>NS-202606-0277</t>
  </si>
  <si>
    <t>INV-753323</t>
  </si>
  <si>
    <t>PO-56041</t>
  </si>
  <si>
    <t>NS-202606-0278</t>
  </si>
  <si>
    <t>INV-460572</t>
  </si>
  <si>
    <t>PO-67132</t>
  </si>
  <si>
    <t>NS-202606-0279</t>
  </si>
  <si>
    <t>INV-447596</t>
  </si>
  <si>
    <t>NS-202606-0280</t>
  </si>
  <si>
    <t>INV-999924</t>
  </si>
  <si>
    <t>PO-54408</t>
  </si>
  <si>
    <t>NS-202606-0281</t>
  </si>
  <si>
    <t>INV-193624</t>
  </si>
  <si>
    <t>PO-78740</t>
  </si>
  <si>
    <t>NS-202606-0282</t>
  </si>
  <si>
    <t>INV-522979</t>
  </si>
  <si>
    <t>NS-202606-0283</t>
  </si>
  <si>
    <t>INV-838862</t>
  </si>
  <si>
    <t>PO-84586</t>
  </si>
  <si>
    <t>NS-202606-0284</t>
  </si>
  <si>
    <t>INV-286209</t>
  </si>
  <si>
    <t>PO-38118</t>
  </si>
  <si>
    <t>NS-202606-0285</t>
  </si>
  <si>
    <t>INV-778827</t>
  </si>
  <si>
    <t>NS-202606-0286</t>
  </si>
  <si>
    <t>INV-730343</t>
  </si>
  <si>
    <t>PO-86664</t>
  </si>
  <si>
    <t>NS-202606-0287</t>
  </si>
  <si>
    <t>INV-581294</t>
  </si>
  <si>
    <t>PO-76489</t>
  </si>
  <si>
    <t>NS-202606-0288</t>
  </si>
  <si>
    <t>INV-605139</t>
  </si>
  <si>
    <t>NS-202606-0289</t>
  </si>
  <si>
    <t>INV-941339</t>
  </si>
  <si>
    <t>NS-202606-0290</t>
  </si>
  <si>
    <t>INV-137034</t>
  </si>
  <si>
    <t>NS-202606-0291</t>
  </si>
  <si>
    <t>INV-981473</t>
  </si>
  <si>
    <t>PO-76751</t>
  </si>
  <si>
    <t>NS-202606-0292</t>
  </si>
  <si>
    <t>INV-334176</t>
  </si>
  <si>
    <t>PO-46951</t>
  </si>
  <si>
    <t>NS-202606-0293</t>
  </si>
  <si>
    <t>INV-711922</t>
  </si>
  <si>
    <t>PO-68375</t>
  </si>
  <si>
    <t>NS-202606-0294</t>
  </si>
  <si>
    <t>INV-995735</t>
  </si>
  <si>
    <t>PO-86852</t>
  </si>
  <si>
    <t>NS-202606-0295</t>
  </si>
  <si>
    <t>INV-428638</t>
  </si>
  <si>
    <t>NS-202606-0296</t>
  </si>
  <si>
    <t>INV-550268</t>
  </si>
  <si>
    <t>NS-202606-0297</t>
  </si>
  <si>
    <t>INV-869238</t>
  </si>
  <si>
    <t>PO-43068</t>
  </si>
  <si>
    <t>NS-202606-0298</t>
  </si>
  <si>
    <t>INV-578073</t>
  </si>
  <si>
    <t>PO-55136</t>
  </si>
  <si>
    <t>NS-202606-0299</t>
  </si>
  <si>
    <t>INV-522986</t>
  </si>
  <si>
    <t>NS-202606-0300</t>
  </si>
  <si>
    <t>INV-771425</t>
  </si>
  <si>
    <t>PO-31436</t>
  </si>
  <si>
    <t>NS-202606-0301</t>
  </si>
  <si>
    <t>INV-498724</t>
  </si>
  <si>
    <t>PO-37085</t>
  </si>
  <si>
    <t>NS-202606-0302</t>
  </si>
  <si>
    <t>INV-383091</t>
  </si>
  <si>
    <t>PO-74940</t>
  </si>
  <si>
    <t>NS-202606-0303</t>
  </si>
  <si>
    <t>INV-915749</t>
  </si>
  <si>
    <t>NS-202606-0304</t>
  </si>
  <si>
    <t>INV-804258</t>
  </si>
  <si>
    <t>PO-40510</t>
  </si>
  <si>
    <t>NS-202606-0305</t>
  </si>
  <si>
    <t>INV-775636</t>
  </si>
  <si>
    <t>PO-35903</t>
  </si>
  <si>
    <t>NS-202606-0306</t>
  </si>
  <si>
    <t>INV-874415</t>
  </si>
  <si>
    <t>PO-36541</t>
  </si>
  <si>
    <t>NS-202606-0307</t>
  </si>
  <si>
    <t>INV-381342</t>
  </si>
  <si>
    <t>PO-39069</t>
  </si>
  <si>
    <t>NS-202606-0308</t>
  </si>
  <si>
    <t>INV-935620</t>
  </si>
  <si>
    <t>PO-56230</t>
  </si>
  <si>
    <t>NS-202606-0309</t>
  </si>
  <si>
    <t>INV-476018</t>
  </si>
  <si>
    <t>NS-202606-0310</t>
  </si>
  <si>
    <t>INV-786789</t>
  </si>
  <si>
    <t>NS-202606-0311</t>
  </si>
  <si>
    <t>INV-360651</t>
  </si>
  <si>
    <t>NS-202606-0312</t>
  </si>
  <si>
    <t>INV-592085</t>
  </si>
  <si>
    <t>PO-84161</t>
  </si>
  <si>
    <t>NS-202606-0313</t>
  </si>
  <si>
    <t>INV-182659</t>
  </si>
  <si>
    <t>PO-48229</t>
  </si>
  <si>
    <t>NS-202606-0314</t>
  </si>
  <si>
    <t>INV-137572</t>
  </si>
  <si>
    <t>NS-202606-0315</t>
  </si>
  <si>
    <t>INV-156911</t>
  </si>
  <si>
    <t>NS-202606-0316</t>
  </si>
  <si>
    <t>INV-790917</t>
  </si>
  <si>
    <t>PO-76966</t>
  </si>
  <si>
    <t>NS-202606-0317</t>
  </si>
  <si>
    <t>INV-529088</t>
  </si>
  <si>
    <t>NS-202606-0318</t>
  </si>
  <si>
    <t>INV-764000</t>
  </si>
  <si>
    <t>NS-202606-0319</t>
  </si>
  <si>
    <t>INV-680099</t>
  </si>
  <si>
    <t>PO-68621</t>
  </si>
  <si>
    <t>NS-202606-0320</t>
  </si>
  <si>
    <t>INV-826155</t>
  </si>
  <si>
    <t>NS-202606-0321</t>
  </si>
  <si>
    <t>INV-674416</t>
  </si>
  <si>
    <t>PO-82743</t>
  </si>
  <si>
    <t>NS-202606-0322</t>
  </si>
  <si>
    <t>INV-781664</t>
  </si>
  <si>
    <t>PO-43743</t>
  </si>
  <si>
    <t>NS-202606-0323</t>
  </si>
  <si>
    <t>INV-542904</t>
  </si>
  <si>
    <t>NS-202606-0324</t>
  </si>
  <si>
    <t>INV-980155</t>
  </si>
  <si>
    <t>PO-33709</t>
  </si>
  <si>
    <t>NS-202606-0325</t>
  </si>
  <si>
    <t>INV-688534</t>
  </si>
  <si>
    <t>PO-53506</t>
  </si>
  <si>
    <t>NS-202606-0326</t>
  </si>
  <si>
    <t>INV-427841</t>
  </si>
  <si>
    <t>NS-202606-0327</t>
  </si>
  <si>
    <t>INV-302897</t>
  </si>
  <si>
    <t>NS-202606-0328</t>
  </si>
  <si>
    <t>INV-236384</t>
  </si>
  <si>
    <t>PO-41389</t>
  </si>
  <si>
    <t>NS-202606-0329</t>
  </si>
  <si>
    <t>INV-745512</t>
  </si>
  <si>
    <t>PO-40145</t>
  </si>
  <si>
    <t>NS-202606-0330</t>
  </si>
  <si>
    <t>INV-924451</t>
  </si>
  <si>
    <t>PO-81382</t>
  </si>
  <si>
    <t>NS-202606-0331</t>
  </si>
  <si>
    <t>INV-748314</t>
  </si>
  <si>
    <t>PO-44496</t>
  </si>
  <si>
    <t>NS-202606-0332</t>
  </si>
  <si>
    <t>INV-499898</t>
  </si>
  <si>
    <t>NS-202606-0333</t>
  </si>
  <si>
    <t>INV-301863</t>
  </si>
  <si>
    <t>PO-63873</t>
  </si>
  <si>
    <t>NS-202606-0334</t>
  </si>
  <si>
    <t>INV-315565</t>
  </si>
  <si>
    <t>NS-202606-0335</t>
  </si>
  <si>
    <t>INV-156904</t>
  </si>
  <si>
    <t>PO-83526</t>
  </si>
  <si>
    <t>NS-202606-0336</t>
  </si>
  <si>
    <t>INV-117711</t>
  </si>
  <si>
    <t>PO-46950</t>
  </si>
  <si>
    <t>NS-202606-0337</t>
  </si>
  <si>
    <t>INV-190707</t>
  </si>
  <si>
    <t>NS-202606-0338</t>
  </si>
  <si>
    <t>INV-990731</t>
  </si>
  <si>
    <t>PO-40244</t>
  </si>
  <si>
    <t>NS-202606-0339</t>
  </si>
  <si>
    <t>INV-700538</t>
  </si>
  <si>
    <t>NS-202606-0340</t>
  </si>
  <si>
    <t>INV-746850</t>
  </si>
  <si>
    <t>PO-79040</t>
  </si>
  <si>
    <t>NS-202606-0341</t>
  </si>
  <si>
    <t>INV-362865</t>
  </si>
  <si>
    <t>PO-33564</t>
  </si>
  <si>
    <t>NS-202606-0342</t>
  </si>
  <si>
    <t>INV-433222</t>
  </si>
  <si>
    <t>PO-38402</t>
  </si>
  <si>
    <t>NS-202606-0343</t>
  </si>
  <si>
    <t>INV-332286</t>
  </si>
  <si>
    <t>NS-202606-0344</t>
  </si>
  <si>
    <t>INV-678469</t>
  </si>
  <si>
    <t>PO-74536</t>
  </si>
  <si>
    <t>NS-202606-0345</t>
  </si>
  <si>
    <t>INV-990856</t>
  </si>
  <si>
    <t>NS-202606-0346</t>
  </si>
  <si>
    <t>INV-483588</t>
  </si>
  <si>
    <t>PO-68668</t>
  </si>
  <si>
    <t>NS-202606-0347</t>
  </si>
  <si>
    <t>INV-743863</t>
  </si>
  <si>
    <t>NS-202606-0348</t>
  </si>
  <si>
    <t>INV-142383</t>
  </si>
  <si>
    <t>PO-67116</t>
  </si>
  <si>
    <t>NS-202606-0349</t>
  </si>
  <si>
    <t>INV-141843</t>
  </si>
  <si>
    <t>PO-73816</t>
  </si>
  <si>
    <t>NS-202606-0350</t>
  </si>
  <si>
    <t>INV-976052</t>
  </si>
  <si>
    <t>NS-202606-0351</t>
  </si>
  <si>
    <t>INV-106918</t>
  </si>
  <si>
    <t>PO-56597</t>
  </si>
  <si>
    <t>NS-202606-0352</t>
  </si>
  <si>
    <t>INV-224078</t>
  </si>
  <si>
    <t>PO-48403</t>
  </si>
  <si>
    <t>NS-202606-0353</t>
  </si>
  <si>
    <t>INV-530859</t>
  </si>
  <si>
    <t>PO-74251</t>
  </si>
  <si>
    <t>NS-202606-0354</t>
  </si>
  <si>
    <t>INV-641737</t>
  </si>
  <si>
    <t>PO-71257</t>
  </si>
  <si>
    <t>NS-202606-0355</t>
  </si>
  <si>
    <t>INV-605065</t>
  </si>
  <si>
    <t>NS-202606-0356</t>
  </si>
  <si>
    <t>INV-238635</t>
  </si>
  <si>
    <t>NS-202606-0357</t>
  </si>
  <si>
    <t>INV-657244</t>
  </si>
  <si>
    <t>PO-57511</t>
  </si>
  <si>
    <t>NS-202606-0358</t>
  </si>
  <si>
    <t>INV-831531</t>
  </si>
  <si>
    <t>NS-202606-0359</t>
  </si>
  <si>
    <t>INV-903061</t>
  </si>
  <si>
    <t>NS-202606-0360</t>
  </si>
  <si>
    <t>INV-786341</t>
  </si>
  <si>
    <t>PO-42387</t>
  </si>
  <si>
    <t>NS-202606-0361</t>
  </si>
  <si>
    <t>INV-741603</t>
  </si>
  <si>
    <t>PO-57923</t>
  </si>
  <si>
    <t>NS-202606-0362</t>
  </si>
  <si>
    <t>INV-705711</t>
  </si>
  <si>
    <t>PO-66540</t>
  </si>
  <si>
    <t>NS-202606-0363</t>
  </si>
  <si>
    <t>INV-924265</t>
  </si>
  <si>
    <t>NS-202606-0364</t>
  </si>
  <si>
    <t>INV-167193</t>
  </si>
  <si>
    <t>PO-55500</t>
  </si>
  <si>
    <t>NS-202606-0365</t>
  </si>
  <si>
    <t>INV-991884</t>
  </si>
  <si>
    <t>NS-202606-0366</t>
  </si>
  <si>
    <t>INV-786837</t>
  </si>
  <si>
    <t>PO-63804</t>
  </si>
  <si>
    <t>NS-202606-0367</t>
  </si>
  <si>
    <t>INV-194545</t>
  </si>
  <si>
    <t>PO-73886</t>
  </si>
  <si>
    <t>NS-202606-0368</t>
  </si>
  <si>
    <t>INV-702833</t>
  </si>
  <si>
    <t>PO-52772</t>
  </si>
  <si>
    <t>NS-202606-0369</t>
  </si>
  <si>
    <t>INV-702819</t>
  </si>
  <si>
    <t>PO-62975</t>
  </si>
  <si>
    <t>NS-202606-0370</t>
  </si>
  <si>
    <t>INV-170835</t>
  </si>
  <si>
    <t>PO-45943</t>
  </si>
  <si>
    <t>NS-202606-0371</t>
  </si>
  <si>
    <t>INV-806423</t>
  </si>
  <si>
    <t>NS-202606-0372</t>
  </si>
  <si>
    <t>INV-346269</t>
  </si>
  <si>
    <t>PO-53169</t>
  </si>
  <si>
    <t>NS-202606-0373</t>
  </si>
  <si>
    <t>INV-182300</t>
  </si>
  <si>
    <t>PO-46364</t>
  </si>
  <si>
    <t>NS-202606-0374</t>
  </si>
  <si>
    <t>INV-635962</t>
  </si>
  <si>
    <t>NS-202606-0375</t>
  </si>
  <si>
    <t>INV-819678</t>
  </si>
  <si>
    <t>PO-82380</t>
  </si>
  <si>
    <t>NS-202606-0376</t>
  </si>
  <si>
    <t>INV-479167</t>
  </si>
  <si>
    <t>PO-75168</t>
  </si>
  <si>
    <t>NS-202606-0377</t>
  </si>
  <si>
    <t>INV-888734</t>
  </si>
  <si>
    <t>PO-70179</t>
  </si>
  <si>
    <t>NS-202606-0378</t>
  </si>
  <si>
    <t>INV-499385</t>
  </si>
  <si>
    <t>PO-38594</t>
  </si>
  <si>
    <t>NS-202606-0379</t>
  </si>
  <si>
    <t>INV-414608</t>
  </si>
  <si>
    <t>PO-30638</t>
  </si>
  <si>
    <t>NS-202606-0380</t>
  </si>
  <si>
    <t>INV-372387</t>
  </si>
  <si>
    <t>PO-40704</t>
  </si>
  <si>
    <t>NS-202606-0381</t>
  </si>
  <si>
    <t>INV-781433</t>
  </si>
  <si>
    <t>PO-31299</t>
  </si>
  <si>
    <t>NS-202606-0382</t>
  </si>
  <si>
    <t>INV-400441</t>
  </si>
  <si>
    <t>PO-74118</t>
  </si>
  <si>
    <t>NS-202606-0383</t>
  </si>
  <si>
    <t>INV-428709</t>
  </si>
  <si>
    <t>NS-202606-0384</t>
  </si>
  <si>
    <t>INV-124223</t>
  </si>
  <si>
    <t>NS-202606-0385</t>
  </si>
  <si>
    <t>INV-902156</t>
  </si>
  <si>
    <t>NS-202606-0386</t>
  </si>
  <si>
    <t>INV-278895</t>
  </si>
  <si>
    <t>NS-202606-0387</t>
  </si>
  <si>
    <t>INV-831510</t>
  </si>
  <si>
    <t>PO-61205</t>
  </si>
  <si>
    <t>NS-202606-0388</t>
  </si>
  <si>
    <t>INV-338161</t>
  </si>
  <si>
    <t>NS-202606-0389</t>
  </si>
  <si>
    <t>INV-615827</t>
  </si>
  <si>
    <t>PO-30691</t>
  </si>
  <si>
    <t>NS-202606-0390</t>
  </si>
  <si>
    <t>INV-849666</t>
  </si>
  <si>
    <t>PO-45152</t>
  </si>
  <si>
    <t>NS-202606-0391</t>
  </si>
  <si>
    <t>INV-879015</t>
  </si>
  <si>
    <t>PO-57671</t>
  </si>
  <si>
    <t>NS-202606-0392</t>
  </si>
  <si>
    <t>INV-296911</t>
  </si>
  <si>
    <t>PO-48978</t>
  </si>
  <si>
    <t>NS-202606-0393</t>
  </si>
  <si>
    <t>INV-194578</t>
  </si>
  <si>
    <t>PO-36702</t>
  </si>
  <si>
    <t>NS-202606-0394</t>
  </si>
  <si>
    <t>INV-887029</t>
  </si>
  <si>
    <t>PO-82393</t>
  </si>
  <si>
    <t>NS-202606-0395</t>
  </si>
  <si>
    <t>INV-908688</t>
  </si>
  <si>
    <t>PO-41901</t>
  </si>
  <si>
    <t>NS-202606-0396</t>
  </si>
  <si>
    <t>INV-266316</t>
  </si>
  <si>
    <t>PO-80527</t>
  </si>
  <si>
    <t>NS-202606-0397</t>
  </si>
  <si>
    <t>INV-328367</t>
  </si>
  <si>
    <t>NS-202606-0398</t>
  </si>
  <si>
    <t>INV-709303</t>
  </si>
  <si>
    <t>PO-48094</t>
  </si>
  <si>
    <t>NS-202606-0399</t>
  </si>
  <si>
    <t>INV-261395</t>
  </si>
  <si>
    <t>NS-202606-0400</t>
  </si>
  <si>
    <t>INV-496119</t>
  </si>
  <si>
    <t>PO-66592</t>
  </si>
  <si>
    <t>NS-202606-0401</t>
  </si>
  <si>
    <t>INV-670027</t>
  </si>
  <si>
    <t>PO-58672</t>
  </si>
  <si>
    <t>NS-202606-0402</t>
  </si>
  <si>
    <t>INV-630535</t>
  </si>
  <si>
    <t>NS-202606-0403</t>
  </si>
  <si>
    <t>INV-902930</t>
  </si>
  <si>
    <t>NS-202606-0404</t>
  </si>
  <si>
    <t>INV-203550</t>
  </si>
  <si>
    <t>NS-202606-0405</t>
  </si>
  <si>
    <t>INV-174316</t>
  </si>
  <si>
    <t>PO-70892</t>
  </si>
  <si>
    <t>NS-202606-0406</t>
  </si>
  <si>
    <t>INV-161132</t>
  </si>
  <si>
    <t>NS-202606-0407</t>
  </si>
  <si>
    <t>INV-298663</t>
  </si>
  <si>
    <t>NS-202606-0408</t>
  </si>
  <si>
    <t>INV-547820</t>
  </si>
  <si>
    <t>NS-202606-0409</t>
  </si>
  <si>
    <t>INV-985893</t>
  </si>
  <si>
    <t>PO-73092</t>
  </si>
  <si>
    <t>NS-202606-0410</t>
  </si>
  <si>
    <t>INV-569237</t>
  </si>
  <si>
    <t>NS-202606-0411</t>
  </si>
  <si>
    <t>INV-122755</t>
  </si>
  <si>
    <t>PO-63922</t>
  </si>
  <si>
    <t>NS-202606-0412</t>
  </si>
  <si>
    <t>INV-484914</t>
  </si>
  <si>
    <t>PO-67461</t>
  </si>
  <si>
    <t>NS-202606-0413</t>
  </si>
  <si>
    <t>INV-281301</t>
  </si>
  <si>
    <t>PO-56201</t>
  </si>
  <si>
    <t>NS-202606-0414</t>
  </si>
  <si>
    <t>INV-908348</t>
  </si>
  <si>
    <t>PO-72090</t>
  </si>
  <si>
    <t>NS-202606-0415</t>
  </si>
  <si>
    <t>INV-143182</t>
  </si>
  <si>
    <t>NS-202606-0416</t>
  </si>
  <si>
    <t>INV-924566</t>
  </si>
  <si>
    <t>NS-202606-0417</t>
  </si>
  <si>
    <t>INV-911414</t>
  </si>
  <si>
    <t>PO-33231</t>
  </si>
  <si>
    <t>NS-202606-0418</t>
  </si>
  <si>
    <t>INV-379190</t>
  </si>
  <si>
    <t>PO-55907</t>
  </si>
  <si>
    <t>NS-202606-0419</t>
  </si>
  <si>
    <t>INV-125382</t>
  </si>
  <si>
    <t>PO-57104</t>
  </si>
  <si>
    <t>NS-202606-0420</t>
  </si>
  <si>
    <t>INV-263568</t>
  </si>
  <si>
    <t>NS-202606-0421</t>
  </si>
  <si>
    <t>INV-447997</t>
  </si>
  <si>
    <t>NS-202606-0422</t>
  </si>
  <si>
    <t>INV-800722</t>
  </si>
  <si>
    <t>NS-202606-0423</t>
  </si>
  <si>
    <t>INV-108739</t>
  </si>
  <si>
    <t>PO-41162</t>
  </si>
  <si>
    <t>NS-202606-0424</t>
  </si>
  <si>
    <t>INV-633243</t>
  </si>
  <si>
    <t>NS-202606-0425</t>
  </si>
  <si>
    <t>INV-122532</t>
  </si>
  <si>
    <t>PO-35768</t>
  </si>
  <si>
    <t>NS-202606-0426</t>
  </si>
  <si>
    <t>INV-347678</t>
  </si>
  <si>
    <t>PO-78784</t>
  </si>
  <si>
    <t>NS-202606-0427</t>
  </si>
  <si>
    <t>INV-646012</t>
  </si>
  <si>
    <t>NS-202606-0428</t>
  </si>
  <si>
    <t>INV-784167</t>
  </si>
  <si>
    <t>PO-67545</t>
  </si>
  <si>
    <t>NS-202606-0429</t>
  </si>
  <si>
    <t>INV-658850</t>
  </si>
  <si>
    <t>NS-202606-0430</t>
  </si>
  <si>
    <t>INV-767782</t>
  </si>
  <si>
    <t>PO-31932</t>
  </si>
  <si>
    <t>NS-202606-0431</t>
  </si>
  <si>
    <t>INV-342129</t>
  </si>
  <si>
    <t>PO-31716</t>
  </si>
  <si>
    <t>NS-202606-0432</t>
  </si>
  <si>
    <t>INV-615318</t>
  </si>
  <si>
    <t>PO-62920</t>
  </si>
  <si>
    <t>NS-202606-0433</t>
  </si>
  <si>
    <t>INV-285679</t>
  </si>
  <si>
    <t>PO-30983</t>
  </si>
  <si>
    <t>NS-202606-0434</t>
  </si>
  <si>
    <t>INV-513296</t>
  </si>
  <si>
    <t>PO-46173</t>
  </si>
  <si>
    <t>NS-202606-0435</t>
  </si>
  <si>
    <t>INV-514828</t>
  </si>
  <si>
    <t>NS-202606-0436</t>
  </si>
  <si>
    <t>INV-408721</t>
  </si>
  <si>
    <t>NS-202606-0437</t>
  </si>
  <si>
    <t>INV-829928</t>
  </si>
  <si>
    <t>PO-72342</t>
  </si>
  <si>
    <t>NS-202606-0438</t>
  </si>
  <si>
    <t>INV-846030</t>
  </si>
  <si>
    <t>PO-59732</t>
  </si>
  <si>
    <t>NS-202606-0439</t>
  </si>
  <si>
    <t>INV-146038</t>
  </si>
  <si>
    <t>NS-202606-0440</t>
  </si>
  <si>
    <t>INV-567935</t>
  </si>
  <si>
    <t>PO-86938</t>
  </si>
  <si>
    <t>NS-202606-0441</t>
  </si>
  <si>
    <t>INV-349433</t>
  </si>
  <si>
    <t>NS-202606-0442</t>
  </si>
  <si>
    <t>INV-684632</t>
  </si>
  <si>
    <t>PO-69401</t>
  </si>
  <si>
    <t>NS-202606-0443</t>
  </si>
  <si>
    <t>INV-286906</t>
  </si>
  <si>
    <t>PO-39527</t>
  </si>
  <si>
    <t>NS-202606-0444</t>
  </si>
  <si>
    <t>INV-438503</t>
  </si>
  <si>
    <t>NS-202606-0445</t>
  </si>
  <si>
    <t>INV-741784</t>
  </si>
  <si>
    <t>NS-202606-0446</t>
  </si>
  <si>
    <t>INV-753518</t>
  </si>
  <si>
    <t>PO-35745</t>
  </si>
  <si>
    <t>NS-202606-0447</t>
  </si>
  <si>
    <t>INV-587467</t>
  </si>
  <si>
    <t>NS-202606-0448</t>
  </si>
  <si>
    <t>INV-823535</t>
  </si>
  <si>
    <t>NS-202606-0449</t>
  </si>
  <si>
    <t>INV-745915</t>
  </si>
  <si>
    <t>PO-51228</t>
  </si>
  <si>
    <t>NS-202606-0450</t>
  </si>
  <si>
    <t>INV-663051</t>
  </si>
  <si>
    <t>NS-202606-0451</t>
  </si>
  <si>
    <t>INV-447832</t>
  </si>
  <si>
    <t>NS-202606-0452</t>
  </si>
  <si>
    <t>INV-222520</t>
  </si>
  <si>
    <t>PO-54591</t>
  </si>
  <si>
    <t>NS-202606-0453</t>
  </si>
  <si>
    <t>INV-283514</t>
  </si>
  <si>
    <t>PO-35688</t>
  </si>
  <si>
    <t>NS-202606-0454</t>
  </si>
  <si>
    <t>INV-868020</t>
  </si>
  <si>
    <t>NS-202606-0455</t>
  </si>
  <si>
    <t>INV-820426</t>
  </si>
  <si>
    <t>NS-202606-0456</t>
  </si>
  <si>
    <t>INV-320039</t>
  </si>
  <si>
    <t>PO-80212</t>
  </si>
  <si>
    <t>NS-202606-0457</t>
  </si>
  <si>
    <t>INV-115997</t>
  </si>
  <si>
    <t>PO-58908</t>
  </si>
  <si>
    <t>NS-202606-0458</t>
  </si>
  <si>
    <t>INV-426503</t>
  </si>
  <si>
    <t>PO-50872</t>
  </si>
  <si>
    <t>NS-202606-0459</t>
  </si>
  <si>
    <t>INV-510954</t>
  </si>
  <si>
    <t>PO-89198</t>
  </si>
  <si>
    <t>NS-202606-0460</t>
  </si>
  <si>
    <t>INV-892453</t>
  </si>
  <si>
    <t>NS-202606-0461</t>
  </si>
  <si>
    <t>INV-250703</t>
  </si>
  <si>
    <t>NS-202606-0462</t>
  </si>
  <si>
    <t>INV-598424</t>
  </si>
  <si>
    <t>NS-202606-0463</t>
  </si>
  <si>
    <t>INV-935461</t>
  </si>
  <si>
    <t>PO-52846</t>
  </si>
  <si>
    <t>NS-202606-0464</t>
  </si>
  <si>
    <t>INV-502460</t>
  </si>
  <si>
    <t>PO-60210</t>
  </si>
  <si>
    <t>NS-202606-0465</t>
  </si>
  <si>
    <t>INV-181678</t>
  </si>
  <si>
    <t>PO-58531</t>
  </si>
  <si>
    <t>NS-202606-0466</t>
  </si>
  <si>
    <t>INV-172988</t>
  </si>
  <si>
    <t>PO-60337</t>
  </si>
  <si>
    <t>NS-202606-0467</t>
  </si>
  <si>
    <t>INV-574978</t>
  </si>
  <si>
    <t>NS-202606-0468</t>
  </si>
  <si>
    <t>INV-555844</t>
  </si>
  <si>
    <t>PO-74663</t>
  </si>
  <si>
    <t>NS-202606-0469</t>
  </si>
  <si>
    <t>INV-155708</t>
  </si>
  <si>
    <t>NS-202606-0470</t>
  </si>
  <si>
    <t>INV-501384</t>
  </si>
  <si>
    <t>PO-48494</t>
  </si>
  <si>
    <t>NS-202606-0471</t>
  </si>
  <si>
    <t>INV-802615</t>
  </si>
  <si>
    <t>PO-39114</t>
  </si>
  <si>
    <t>NS-202606-0472</t>
  </si>
  <si>
    <t>INV-536056</t>
  </si>
  <si>
    <t>PO-87992</t>
  </si>
  <si>
    <t>NS-202606-0473</t>
  </si>
  <si>
    <t>INV-107790</t>
  </si>
  <si>
    <t>PO-63385</t>
  </si>
  <si>
    <t>NS-202606-0474</t>
  </si>
  <si>
    <t>INV-839122</t>
  </si>
  <si>
    <t>PO-56924</t>
  </si>
  <si>
    <t>NS-202606-0475</t>
  </si>
  <si>
    <t>INV-739705</t>
  </si>
  <si>
    <t>PO-77853</t>
  </si>
  <si>
    <t>NS-202606-0476</t>
  </si>
  <si>
    <t>INV-701846</t>
  </si>
  <si>
    <t>NS-202606-0477</t>
  </si>
  <si>
    <t>INV-706224</t>
  </si>
  <si>
    <t>NS-202606-0478</t>
  </si>
  <si>
    <t>INV-394620</t>
  </si>
  <si>
    <t>NS-202606-0479</t>
  </si>
  <si>
    <t>INV-347669</t>
  </si>
  <si>
    <t>PO-68782</t>
  </si>
  <si>
    <t>NS-202606-0480</t>
  </si>
  <si>
    <t>INV-561567</t>
  </si>
  <si>
    <t>PO-35531</t>
  </si>
  <si>
    <t>NS-202606-0481</t>
  </si>
  <si>
    <t>INV-416006</t>
  </si>
  <si>
    <t>NS-202606-0482</t>
  </si>
  <si>
    <t>INV-555851</t>
  </si>
  <si>
    <t>PO-74794</t>
  </si>
  <si>
    <t>NS-202606-0483</t>
  </si>
  <si>
    <t>INV-783740</t>
  </si>
  <si>
    <t>NS-202606-0484</t>
  </si>
  <si>
    <t>INV-288656</t>
  </si>
  <si>
    <t>PO-68284</t>
  </si>
  <si>
    <t>NS-202606-0485</t>
  </si>
  <si>
    <t>INV-364132</t>
  </si>
  <si>
    <t>PO-56951</t>
  </si>
  <si>
    <t>NS-202606-0486</t>
  </si>
  <si>
    <t>INV-236217</t>
  </si>
  <si>
    <t>NS-202606-0487</t>
  </si>
  <si>
    <t>INV-906731</t>
  </si>
  <si>
    <t>NS-202606-0488</t>
  </si>
  <si>
    <t>INV-952283</t>
  </si>
  <si>
    <t>PO-40614</t>
  </si>
  <si>
    <t>NS-202606-0489</t>
  </si>
  <si>
    <t>INV-774588</t>
  </si>
  <si>
    <t>NS-202606-0490</t>
  </si>
  <si>
    <t>INV-100909</t>
  </si>
  <si>
    <t>PO-67443</t>
  </si>
  <si>
    <t>NS-202606-0491</t>
  </si>
  <si>
    <t>INV-523533</t>
  </si>
  <si>
    <t>PO-55646</t>
  </si>
  <si>
    <t>NS-202606-0492</t>
  </si>
  <si>
    <t>INV-520075</t>
  </si>
  <si>
    <t>NS-202606-0493</t>
  </si>
  <si>
    <t>INV-141241</t>
  </si>
  <si>
    <t>PO-85924</t>
  </si>
  <si>
    <t>NS-202606-0494</t>
  </si>
  <si>
    <t>INV-302472</t>
  </si>
  <si>
    <t>NS-202606-0495</t>
  </si>
  <si>
    <t>INV-117215</t>
  </si>
  <si>
    <t>PO-81952</t>
  </si>
  <si>
    <t>NS-202606-0496</t>
  </si>
  <si>
    <t>INV-138669</t>
  </si>
  <si>
    <t>PO-37745</t>
  </si>
  <si>
    <t>NS-202606-0497</t>
  </si>
  <si>
    <t>INV-422266</t>
  </si>
  <si>
    <t>NS-202606-0498</t>
  </si>
  <si>
    <t>INV-546915</t>
  </si>
  <si>
    <t>PO-83573</t>
  </si>
  <si>
    <t>NS-202606-0499</t>
  </si>
  <si>
    <t>INV-451801</t>
  </si>
  <si>
    <t>NS-202606-0500</t>
  </si>
  <si>
    <t>INV-988528</t>
  </si>
  <si>
    <t>PO-54243</t>
  </si>
  <si>
    <t>NS-202606-0501</t>
  </si>
  <si>
    <t>INV-910090</t>
  </si>
  <si>
    <t>NS-202606-0502</t>
  </si>
  <si>
    <t>INV-741780</t>
  </si>
  <si>
    <t>PO-59518</t>
  </si>
  <si>
    <t>NS-202606-0503</t>
  </si>
  <si>
    <t>INV-898100</t>
  </si>
  <si>
    <t>PO-66550</t>
  </si>
  <si>
    <t>NS-202606-0504</t>
  </si>
  <si>
    <t>INV-145209</t>
  </si>
  <si>
    <t>NS-202606-0505</t>
  </si>
  <si>
    <t>INV-284431</t>
  </si>
  <si>
    <t>PO-70423</t>
  </si>
  <si>
    <t>NS-202606-0506</t>
  </si>
  <si>
    <t>INV-441974</t>
  </si>
  <si>
    <t>NS-202606-0507</t>
  </si>
  <si>
    <t>INV-251981</t>
  </si>
  <si>
    <t>PO-88416</t>
  </si>
  <si>
    <t>NS-202606-0508</t>
  </si>
  <si>
    <t>INV-696289</t>
  </si>
  <si>
    <t>PO-77174</t>
  </si>
  <si>
    <t>NS-202606-0509</t>
  </si>
  <si>
    <t>INV-741233</t>
  </si>
  <si>
    <t>PO-41219</t>
  </si>
  <si>
    <t>NS-202606-0510</t>
  </si>
  <si>
    <t>INV-585242</t>
  </si>
  <si>
    <t>PO-86162</t>
  </si>
  <si>
    <t>NS-202606-0511</t>
  </si>
  <si>
    <t>INV-538065</t>
  </si>
  <si>
    <t>PO-51449</t>
  </si>
  <si>
    <t>NS-202606-0512</t>
  </si>
  <si>
    <t>INV-352194</t>
  </si>
  <si>
    <t>PO-57898</t>
  </si>
  <si>
    <t>NS-202606-0513</t>
  </si>
  <si>
    <t>INV-419644</t>
  </si>
  <si>
    <t>PO-44287</t>
  </si>
  <si>
    <t>NS-202606-0514</t>
  </si>
  <si>
    <t>INV-488414</t>
  </si>
  <si>
    <t>PO-59808</t>
  </si>
  <si>
    <t>NS-202606-0515</t>
  </si>
  <si>
    <t>INV-184891</t>
  </si>
  <si>
    <t>NS-202606-0516</t>
  </si>
  <si>
    <t>INV-142859</t>
  </si>
  <si>
    <t>NS-202606-0517</t>
  </si>
  <si>
    <t>INV-873199</t>
  </si>
  <si>
    <t>PO-76487</t>
  </si>
  <si>
    <t>NS-202606-0518</t>
  </si>
  <si>
    <t>INV-609845</t>
  </si>
  <si>
    <t>PO-53115</t>
  </si>
  <si>
    <t>NS-202606-0519</t>
  </si>
  <si>
    <t>INV-826897</t>
  </si>
  <si>
    <t>PO-84092</t>
  </si>
  <si>
    <t>NS-202606-0520</t>
  </si>
  <si>
    <t>INV-830943</t>
  </si>
  <si>
    <t>PO-88847</t>
  </si>
  <si>
    <t>NS-202606-0521</t>
  </si>
  <si>
    <t>INV-873544</t>
  </si>
  <si>
    <t>NS-202606-0522</t>
  </si>
  <si>
    <t>INV-655919</t>
  </si>
  <si>
    <t>NS-202606-0523</t>
  </si>
  <si>
    <t>INV-907141</t>
  </si>
  <si>
    <t>NS-202606-0524</t>
  </si>
  <si>
    <t>INV-826515</t>
  </si>
  <si>
    <t>PO-40537</t>
  </si>
  <si>
    <t>NS-202606-0525</t>
  </si>
  <si>
    <t>INV-460549</t>
  </si>
  <si>
    <t>NS-202606-0526</t>
  </si>
  <si>
    <t>INV-263633</t>
  </si>
  <si>
    <t>PO-37961</t>
  </si>
  <si>
    <t>NS-202606-0527</t>
  </si>
  <si>
    <t>INV-602248</t>
  </si>
  <si>
    <t>NS-202606-0528</t>
  </si>
  <si>
    <t>INV-304629</t>
  </si>
  <si>
    <t>PO-70469</t>
  </si>
  <si>
    <t>NS-202606-0529</t>
  </si>
  <si>
    <t>INV-513583</t>
  </si>
  <si>
    <t>PO-31477</t>
  </si>
  <si>
    <t>NS-202606-0530</t>
  </si>
  <si>
    <t>INV-112782</t>
  </si>
  <si>
    <t>NS-202606-0531</t>
  </si>
  <si>
    <t>INV-863364</t>
  </si>
  <si>
    <t>NS-202606-0532</t>
  </si>
  <si>
    <t>INV-892843</t>
  </si>
  <si>
    <t>PO-35641</t>
  </si>
  <si>
    <t>NS-202606-0533</t>
  </si>
  <si>
    <t>INV-500314</t>
  </si>
  <si>
    <t>PO-41461</t>
  </si>
  <si>
    <t>NS-202606-0534</t>
  </si>
  <si>
    <t>INV-102565</t>
  </si>
  <si>
    <t>PO-68352</t>
  </si>
  <si>
    <t>NS-202606-0535</t>
  </si>
  <si>
    <t>INV-617000</t>
  </si>
  <si>
    <t>NS-202606-0536</t>
  </si>
  <si>
    <t>INV-118397</t>
  </si>
  <si>
    <t>PO-86907</t>
  </si>
  <si>
    <t>NS-202606-0537</t>
  </si>
  <si>
    <t>INV-473276</t>
  </si>
  <si>
    <t>PO-75434</t>
  </si>
  <si>
    <t>NS-202606-0538</t>
  </si>
  <si>
    <t>INV-431570</t>
  </si>
  <si>
    <t>PO-42701</t>
  </si>
  <si>
    <t>NS-202606-0539</t>
  </si>
  <si>
    <t>INV-491133</t>
  </si>
  <si>
    <t>PO-65023</t>
  </si>
  <si>
    <t>NS-202606-0540</t>
  </si>
  <si>
    <t>INV-180111</t>
  </si>
  <si>
    <t>PO-40128</t>
  </si>
  <si>
    <t>NS-202606-0541</t>
  </si>
  <si>
    <t>INV-880623</t>
  </si>
  <si>
    <t>PO-53761</t>
  </si>
  <si>
    <t>NS-202606-0542</t>
  </si>
  <si>
    <t>INV-607778</t>
  </si>
  <si>
    <t>NS-202606-0543</t>
  </si>
  <si>
    <t>INV-891203</t>
  </si>
  <si>
    <t>NS-202606-0544</t>
  </si>
  <si>
    <t>INV-918730</t>
  </si>
  <si>
    <t>NS-202606-0545</t>
  </si>
  <si>
    <t>INV-663217</t>
  </si>
  <si>
    <t>PO-67888</t>
  </si>
  <si>
    <t>NS-202606-0546</t>
  </si>
  <si>
    <t>INV-212537</t>
  </si>
  <si>
    <t>PO-76383</t>
  </si>
  <si>
    <t>NS-202606-0547</t>
  </si>
  <si>
    <t>INV-899301</t>
  </si>
  <si>
    <t>PO-56711</t>
  </si>
  <si>
    <t>NS-202606-0548</t>
  </si>
  <si>
    <t>INV-565521</t>
  </si>
  <si>
    <t>PO-62355</t>
  </si>
  <si>
    <t>NS-202606-0549</t>
  </si>
  <si>
    <t>INV-615530</t>
  </si>
  <si>
    <t>PO-86149</t>
  </si>
  <si>
    <t>NS-202606-0550</t>
  </si>
  <si>
    <t>INV-455081</t>
  </si>
  <si>
    <t>NS-202606-0551</t>
  </si>
  <si>
    <t>INV-775105</t>
  </si>
  <si>
    <t>PO-57833</t>
  </si>
  <si>
    <t>NS-202606-0552</t>
  </si>
  <si>
    <t>INV-613111</t>
  </si>
  <si>
    <t>PO-61754</t>
  </si>
  <si>
    <t>NS-202606-0553</t>
  </si>
  <si>
    <t>INV-442838</t>
  </si>
  <si>
    <t>PO-33463</t>
  </si>
  <si>
    <t>NS-202606-0554</t>
  </si>
  <si>
    <t>INV-374375</t>
  </si>
  <si>
    <t>PO-79257</t>
  </si>
  <si>
    <t>NS-202606-0555</t>
  </si>
  <si>
    <t>INV-494617</t>
  </si>
  <si>
    <t>PO-80067</t>
  </si>
  <si>
    <t>NS-202606-0556</t>
  </si>
  <si>
    <t>INV-614382</t>
  </si>
  <si>
    <t>NS-202606-0557</t>
  </si>
  <si>
    <t>INV-746908</t>
  </si>
  <si>
    <t>PO-85990</t>
  </si>
  <si>
    <t>NS-202606-0558</t>
  </si>
  <si>
    <t>INV-902364</t>
  </si>
  <si>
    <t>PO-68696</t>
  </si>
  <si>
    <t>NS-202606-0559</t>
  </si>
  <si>
    <t>INV-821411</t>
  </si>
  <si>
    <t>NS-202606-0560</t>
  </si>
  <si>
    <t>INV-592516</t>
  </si>
  <si>
    <t>PO-32449</t>
  </si>
  <si>
    <t>NS-202606-0561</t>
  </si>
  <si>
    <t>INV-950874</t>
  </si>
  <si>
    <t>PO-67521</t>
  </si>
  <si>
    <t>NS-202606-0562</t>
  </si>
  <si>
    <t>INV-411762</t>
  </si>
  <si>
    <t>NS-202606-0563</t>
  </si>
  <si>
    <t>INV-934301</t>
  </si>
  <si>
    <t>NS-202606-0564</t>
  </si>
  <si>
    <t>INV-575244</t>
  </si>
  <si>
    <t>PO-73480</t>
  </si>
  <si>
    <t>NS-202606-0565</t>
  </si>
  <si>
    <t>INV-658596</t>
  </si>
  <si>
    <t>NS-202606-0566</t>
  </si>
  <si>
    <t>INV-414861</t>
  </si>
  <si>
    <t>PO-43149</t>
  </si>
  <si>
    <t>NS-202606-0567</t>
  </si>
  <si>
    <t>INV-347600</t>
  </si>
  <si>
    <t>PO-43340</t>
  </si>
  <si>
    <t>NS-202606-0568</t>
  </si>
  <si>
    <t>INV-311802</t>
  </si>
  <si>
    <t>PO-84213</t>
  </si>
  <si>
    <t>NS-202606-0569</t>
  </si>
  <si>
    <t>INV-188006</t>
  </si>
  <si>
    <t>NS-202606-0570</t>
  </si>
  <si>
    <t>INV-624548</t>
  </si>
  <si>
    <t>NS-202606-0571</t>
  </si>
  <si>
    <t>INV-873048</t>
  </si>
  <si>
    <t>NS-202606-0572</t>
  </si>
  <si>
    <t>INV-158642</t>
  </si>
  <si>
    <t>PO-37000</t>
  </si>
  <si>
    <t>NS-202606-0573</t>
  </si>
  <si>
    <t>INV-485602</t>
  </si>
  <si>
    <t>PO-57772</t>
  </si>
  <si>
    <t>NS-202606-0574</t>
  </si>
  <si>
    <t>INV-503376</t>
  </si>
  <si>
    <t>PO-78460</t>
  </si>
  <si>
    <t>NS-202606-0575</t>
  </si>
  <si>
    <t>INV-367946</t>
  </si>
  <si>
    <t>NS-202606-0576</t>
  </si>
  <si>
    <t>INV-387348</t>
  </si>
  <si>
    <t>PO-86322</t>
  </si>
  <si>
    <t>NS-202606-0577</t>
  </si>
  <si>
    <t>INV-169591</t>
  </si>
  <si>
    <t>NS-202606-0578</t>
  </si>
  <si>
    <t>INV-103225</t>
  </si>
  <si>
    <t>NS-202606-0579</t>
  </si>
  <si>
    <t>INV-573421</t>
  </si>
  <si>
    <t>PO-40343</t>
  </si>
  <si>
    <t>NS-202606-0580</t>
  </si>
  <si>
    <t>INV-975224</t>
  </si>
  <si>
    <t>PO-51468</t>
  </si>
  <si>
    <t>NS-202606-0581</t>
  </si>
  <si>
    <t>INV-993209</t>
  </si>
  <si>
    <t>PO-70108</t>
  </si>
  <si>
    <t>NS-202606-0582</t>
  </si>
  <si>
    <t>INV-910926</t>
  </si>
  <si>
    <t>PO-35836</t>
  </si>
  <si>
    <t>NS-202606-0583</t>
  </si>
  <si>
    <t>INV-316642</t>
  </si>
  <si>
    <t>PO-86487</t>
  </si>
  <si>
    <t>NS-202606-0584</t>
  </si>
  <si>
    <t>INV-360380</t>
  </si>
  <si>
    <t>NS-202606-0585</t>
  </si>
  <si>
    <t>INV-726205</t>
  </si>
  <si>
    <t>PO-38729</t>
  </si>
  <si>
    <t>NS-202606-0586</t>
  </si>
  <si>
    <t>INV-499442</t>
  </si>
  <si>
    <t>PO-45390</t>
  </si>
  <si>
    <t>NS-202606-0587</t>
  </si>
  <si>
    <t>INV-844756</t>
  </si>
  <si>
    <t>NS-202606-0588</t>
  </si>
  <si>
    <t>INV-742705</t>
  </si>
  <si>
    <t>PO-38380</t>
  </si>
  <si>
    <t>NS-202606-0589</t>
  </si>
  <si>
    <t>INV-137604</t>
  </si>
  <si>
    <t>PO-62196</t>
  </si>
  <si>
    <t>NS-202606-0590</t>
  </si>
  <si>
    <t>INV-217955</t>
  </si>
  <si>
    <t>PO-88666</t>
  </si>
  <si>
    <t>NS-202606-0591</t>
  </si>
  <si>
    <t>INV-289340</t>
  </si>
  <si>
    <t>NS-202606-0592</t>
  </si>
  <si>
    <t>INV-211222</t>
  </si>
  <si>
    <t>PO-51538</t>
  </si>
  <si>
    <t>NS-202606-0593</t>
  </si>
  <si>
    <t>INV-788047</t>
  </si>
  <si>
    <t>NS-202606-0594</t>
  </si>
  <si>
    <t>INV-673734</t>
  </si>
  <si>
    <t>NS-202606-0595</t>
  </si>
  <si>
    <t>INV-521943</t>
  </si>
  <si>
    <t>PO-80520</t>
  </si>
  <si>
    <t>NS-202606-0596</t>
  </si>
  <si>
    <t>INV-972470</t>
  </si>
  <si>
    <t>PO-62168</t>
  </si>
  <si>
    <t>NS-202606-0597</t>
  </si>
  <si>
    <t>INV-743687</t>
  </si>
  <si>
    <t>PO-47595</t>
  </si>
  <si>
    <t>NS-202606-0598</t>
  </si>
  <si>
    <t>INV-652891</t>
  </si>
  <si>
    <t>PO-60377</t>
  </si>
  <si>
    <t>NS-202606-0599</t>
  </si>
  <si>
    <t>INV-415001</t>
  </si>
  <si>
    <t>PO-89454</t>
  </si>
  <si>
    <t>NS-202606-0600</t>
  </si>
  <si>
    <t>INV-855299</t>
  </si>
  <si>
    <t>PO-32955</t>
  </si>
  <si>
    <t>NS-202606-0601</t>
  </si>
  <si>
    <t>INV-838594</t>
  </si>
  <si>
    <t>NS-202606-0602</t>
  </si>
  <si>
    <t>INV-883317</t>
  </si>
  <si>
    <t>NS-202606-0603</t>
  </si>
  <si>
    <t>INV-789666</t>
  </si>
  <si>
    <t>PO-30383</t>
  </si>
  <si>
    <t>NS-202606-0604</t>
  </si>
  <si>
    <t>INV-241677</t>
  </si>
  <si>
    <t>NS-202606-0605</t>
  </si>
  <si>
    <t>INV-255362</t>
  </si>
  <si>
    <t>NS-202606-0606</t>
  </si>
  <si>
    <t>INV-311118</t>
  </si>
  <si>
    <t>PO-76045</t>
  </si>
  <si>
    <t>NS-202606-0607</t>
  </si>
  <si>
    <t>INV-866591</t>
  </si>
  <si>
    <t>PO-36728</t>
  </si>
  <si>
    <t>NS-202606-0608</t>
  </si>
  <si>
    <t>INV-542503</t>
  </si>
  <si>
    <t>PO-77488</t>
  </si>
  <si>
    <t>NS-202606-0609</t>
  </si>
  <si>
    <t>INV-121817</t>
  </si>
  <si>
    <t>NS-202606-0610</t>
  </si>
  <si>
    <t>INV-858115</t>
  </si>
  <si>
    <t>PO-63268</t>
  </si>
  <si>
    <t>NS-202606-0611</t>
  </si>
  <si>
    <t>INV-799459</t>
  </si>
  <si>
    <t>NS-202606-0612</t>
  </si>
  <si>
    <t>INV-119011</t>
  </si>
  <si>
    <t>PO-82001</t>
  </si>
  <si>
    <t>NS-202606-0613</t>
  </si>
  <si>
    <t>INV-226550</t>
  </si>
  <si>
    <t>NS-202606-0614</t>
  </si>
  <si>
    <t>INV-982478</t>
  </si>
  <si>
    <t>NS-202606-0615</t>
  </si>
  <si>
    <t>INV-562965</t>
  </si>
  <si>
    <t>NS-202606-0616</t>
  </si>
  <si>
    <t>INV-596672</t>
  </si>
  <si>
    <t>NS-202606-0617</t>
  </si>
  <si>
    <t>INV-655378</t>
  </si>
  <si>
    <t>PO-79469</t>
  </si>
  <si>
    <t>NS-202606-0618</t>
  </si>
  <si>
    <t>INV-642479</t>
  </si>
  <si>
    <t>NS-202606-0619</t>
  </si>
  <si>
    <t>INV-410089</t>
  </si>
  <si>
    <t>NS-202606-0620</t>
  </si>
  <si>
    <t>INV-670871</t>
  </si>
  <si>
    <t>NS-202606-0621</t>
  </si>
  <si>
    <t>INV-508937</t>
  </si>
  <si>
    <t>NS-202606-0622</t>
  </si>
  <si>
    <t>INV-666160</t>
  </si>
  <si>
    <t>NS-202606-0623</t>
  </si>
  <si>
    <t>INV-782583</t>
  </si>
  <si>
    <t>NS-202606-0624</t>
  </si>
  <si>
    <t>INV-954672</t>
  </si>
  <si>
    <t>PO-45472</t>
  </si>
  <si>
    <t>NS-202606-0625</t>
  </si>
  <si>
    <t>INV-478816</t>
  </si>
  <si>
    <t>PO-46228</t>
  </si>
  <si>
    <t>NS-202606-0626</t>
  </si>
  <si>
    <t>INV-809699</t>
  </si>
  <si>
    <t>PO-36045</t>
  </si>
  <si>
    <t>NS-202606-0627</t>
  </si>
  <si>
    <t>INV-613321</t>
  </si>
  <si>
    <t>PO-47281</t>
  </si>
  <si>
    <t>NS-202606-0628</t>
  </si>
  <si>
    <t>INV-134191</t>
  </si>
  <si>
    <t>PO-76605</t>
  </si>
  <si>
    <t>NS-202606-0629</t>
  </si>
  <si>
    <t>INV-223461</t>
  </si>
  <si>
    <t>NS-202606-0630</t>
  </si>
  <si>
    <t>INV-326053</t>
  </si>
  <si>
    <t>PO-81852</t>
  </si>
  <si>
    <t>NS-202606-0631</t>
  </si>
  <si>
    <t>INV-919304</t>
  </si>
  <si>
    <t>PO-87044</t>
  </si>
  <si>
    <t>NS-202606-0632</t>
  </si>
  <si>
    <t>INV-193653</t>
  </si>
  <si>
    <t>PO-39078</t>
  </si>
  <si>
    <t>NS-202606-0633</t>
  </si>
  <si>
    <t>INV-841561</t>
  </si>
  <si>
    <t>NS-202606-0634</t>
  </si>
  <si>
    <t>INV-647098</t>
  </si>
  <si>
    <t>PO-72281</t>
  </si>
  <si>
    <t>NS-202606-0635</t>
  </si>
  <si>
    <t>INV-979668</t>
  </si>
  <si>
    <t>NS-202606-0636</t>
  </si>
  <si>
    <t>INV-125225</t>
  </si>
  <si>
    <t>PO-68593</t>
  </si>
  <si>
    <t>NS-202606-0637</t>
  </si>
  <si>
    <t>INV-811572</t>
  </si>
  <si>
    <t>NS-202606-0638</t>
  </si>
  <si>
    <t>INV-370463</t>
  </si>
  <si>
    <t>PO-33833</t>
  </si>
  <si>
    <t>NS-202606-0639</t>
  </si>
  <si>
    <t>INV-526850</t>
  </si>
  <si>
    <t>PO-45498</t>
  </si>
  <si>
    <t>NS-202606-0640</t>
  </si>
  <si>
    <t>INV-923356</t>
  </si>
  <si>
    <t>NS-202606-0641</t>
  </si>
  <si>
    <t>INV-663646</t>
  </si>
  <si>
    <t>NS-202606-0642</t>
  </si>
  <si>
    <t>INV-605608</t>
  </si>
  <si>
    <t>PO-84353</t>
  </si>
  <si>
    <t>NS-202606-0643</t>
  </si>
  <si>
    <t>INV-690433</t>
  </si>
  <si>
    <t>NS-202606-0644</t>
  </si>
  <si>
    <t>INV-766023</t>
  </si>
  <si>
    <t>NS-202606-0645</t>
  </si>
  <si>
    <t>INV-738359</t>
  </si>
  <si>
    <t>NS-202606-0646</t>
  </si>
  <si>
    <t>INV-972503</t>
  </si>
  <si>
    <t>PO-88672</t>
  </si>
  <si>
    <t>NS-202606-0647</t>
  </si>
  <si>
    <t>INV-302365</t>
  </si>
  <si>
    <t>NS-202606-0648</t>
  </si>
  <si>
    <t>INV-331890</t>
  </si>
  <si>
    <t>PO-76477</t>
  </si>
  <si>
    <t>NS-202606-0649</t>
  </si>
  <si>
    <t>INV-390819</t>
  </si>
  <si>
    <t>PO-76140</t>
  </si>
  <si>
    <t>NS-202606-0650</t>
  </si>
  <si>
    <t>INV-648489</t>
  </si>
  <si>
    <t>NS-202606-0651</t>
  </si>
  <si>
    <t>INV-781605</t>
  </si>
  <si>
    <t>NS-202606-0652</t>
  </si>
  <si>
    <t>INV-335455</t>
  </si>
  <si>
    <t>PO-74575</t>
  </si>
  <si>
    <t>NS-202606-0653</t>
  </si>
  <si>
    <t>INV-823044</t>
  </si>
  <si>
    <t>PO-55680</t>
  </si>
  <si>
    <t>NS-202606-0654</t>
  </si>
  <si>
    <t>INV-721313</t>
  </si>
  <si>
    <t>PO-34118</t>
  </si>
  <si>
    <t>NS-202606-0655</t>
  </si>
  <si>
    <t>INV-913432</t>
  </si>
  <si>
    <t>PO-52334</t>
  </si>
  <si>
    <t>NS-202606-0656</t>
  </si>
  <si>
    <t>INV-827044</t>
  </si>
  <si>
    <t>PO-38180</t>
  </si>
  <si>
    <t>NS-202606-0657</t>
  </si>
  <si>
    <t>INV-409242</t>
  </si>
  <si>
    <t>PO-70025</t>
  </si>
  <si>
    <t>NS-202606-0658</t>
  </si>
  <si>
    <t>INV-750338</t>
  </si>
  <si>
    <t>PO-69293</t>
  </si>
  <si>
    <t>NS-202606-0659</t>
  </si>
  <si>
    <t>INV-368735</t>
  </si>
  <si>
    <t>NS-202606-0660</t>
  </si>
  <si>
    <t>INV-891018</t>
  </si>
  <si>
    <t>PO-39022</t>
  </si>
  <si>
    <t>NS-202606-0661</t>
  </si>
  <si>
    <t>INV-811249</t>
  </si>
  <si>
    <t>PO-60770</t>
  </si>
  <si>
    <t>NS-202606-0662</t>
  </si>
  <si>
    <t>INV-311037</t>
  </si>
  <si>
    <t>PO-33578</t>
  </si>
  <si>
    <t>NS-202606-0663</t>
  </si>
  <si>
    <t>INV-576370</t>
  </si>
  <si>
    <t>NS-202606-0664</t>
  </si>
  <si>
    <t>INV-494172</t>
  </si>
  <si>
    <t>PO-45091</t>
  </si>
  <si>
    <t>NS-202606-0665</t>
  </si>
  <si>
    <t>INV-762002</t>
  </si>
  <si>
    <t>PO-34832</t>
  </si>
  <si>
    <t>NS-202606-0666</t>
  </si>
  <si>
    <t>INV-357912</t>
  </si>
  <si>
    <t>PO-41412</t>
  </si>
  <si>
    <t>NS-202606-0667</t>
  </si>
  <si>
    <t>INV-419891</t>
  </si>
  <si>
    <t>NS-202606-0668</t>
  </si>
  <si>
    <t>INV-237148</t>
  </si>
  <si>
    <t>PO-64532</t>
  </si>
  <si>
    <t>NS-202606-0669</t>
  </si>
  <si>
    <t>INV-927942</t>
  </si>
  <si>
    <t>PO-58150</t>
  </si>
  <si>
    <t>NS-202606-0670</t>
  </si>
  <si>
    <t>INV-929420</t>
  </si>
  <si>
    <t>PO-38287</t>
  </si>
  <si>
    <t>NS-202606-0671</t>
  </si>
  <si>
    <t>INV-606773</t>
  </si>
  <si>
    <t>NS-202606-0672</t>
  </si>
  <si>
    <t>INV-420863</t>
  </si>
  <si>
    <t>NS-202606-0673</t>
  </si>
  <si>
    <t>PO-66080</t>
  </si>
  <si>
    <t>NS-202606-0674</t>
  </si>
  <si>
    <t>INV-378527</t>
  </si>
  <si>
    <t>PO-54085</t>
  </si>
  <si>
    <t>NS-202606-0675</t>
  </si>
  <si>
    <t>INV-672549</t>
  </si>
  <si>
    <t>NS-202606-0676</t>
  </si>
  <si>
    <t>INV-888931</t>
  </si>
  <si>
    <t>PO-83448</t>
  </si>
  <si>
    <t>NS-202606-0677</t>
  </si>
  <si>
    <t>INV-112468</t>
  </si>
  <si>
    <t>NS-202606-0678</t>
  </si>
  <si>
    <t>INV-715517</t>
  </si>
  <si>
    <t>PO-56050</t>
  </si>
  <si>
    <t>NS-202606-0679</t>
  </si>
  <si>
    <t>INV-685573</t>
  </si>
  <si>
    <t>NS-202606-0680</t>
  </si>
  <si>
    <t>INV-889185</t>
  </si>
  <si>
    <t>PO-78352</t>
  </si>
  <si>
    <t>NS-202606-0681</t>
  </si>
  <si>
    <t>INV-732294</t>
  </si>
  <si>
    <t>PO-81469</t>
  </si>
  <si>
    <t>NS-202606-0682</t>
  </si>
  <si>
    <t>INV-770043</t>
  </si>
  <si>
    <t>PO-55600</t>
  </si>
  <si>
    <t>NS-202606-0683</t>
  </si>
  <si>
    <t>INV-504639</t>
  </si>
  <si>
    <t>PO-84163</t>
  </si>
  <si>
    <t>NS-202606-0684</t>
  </si>
  <si>
    <t>INV-235410</t>
  </si>
  <si>
    <t>PO-33765</t>
  </si>
  <si>
    <t>NS-202606-0685</t>
  </si>
  <si>
    <t>INV-266494</t>
  </si>
  <si>
    <t>NS-202606-0686</t>
  </si>
  <si>
    <t>INV-964637</t>
  </si>
  <si>
    <t>PO-74881</t>
  </si>
  <si>
    <t>NS-202606-0687</t>
  </si>
  <si>
    <t>INV-846216</t>
  </si>
  <si>
    <t>NS-202606-0688</t>
  </si>
  <si>
    <t>INV-512668</t>
  </si>
  <si>
    <t>PO-46327</t>
  </si>
  <si>
    <t>NS-202606-0689</t>
  </si>
  <si>
    <t>INV-857501</t>
  </si>
  <si>
    <t>PO-71162</t>
  </si>
  <si>
    <t>NS-202606-0690</t>
  </si>
  <si>
    <t>INV-365045</t>
  </si>
  <si>
    <t>PO-54165</t>
  </si>
  <si>
    <t>NS-202606-0691</t>
  </si>
  <si>
    <t>INV-362779</t>
  </si>
  <si>
    <t>NS-202606-0692</t>
  </si>
  <si>
    <t>INV-392701</t>
  </si>
  <si>
    <t>NS-202606-0693</t>
  </si>
  <si>
    <t>INV-260952</t>
  </si>
  <si>
    <t>PO-38136</t>
  </si>
  <si>
    <t>NS-202606-0694</t>
  </si>
  <si>
    <t>INV-727263</t>
  </si>
  <si>
    <t>NS-202606-0695</t>
  </si>
  <si>
    <t>INV-166240</t>
  </si>
  <si>
    <t>NS-202606-0696</t>
  </si>
  <si>
    <t>INV-298754</t>
  </si>
  <si>
    <t>PO-40947</t>
  </si>
  <si>
    <t>NS-202606-0697</t>
  </si>
  <si>
    <t>INV-431601</t>
  </si>
  <si>
    <t>PO-45231</t>
  </si>
  <si>
    <t>NS-202606-0698</t>
  </si>
  <si>
    <t>INV-206759</t>
  </si>
  <si>
    <t>NS-202606-0699</t>
  </si>
  <si>
    <t>INV-908878</t>
  </si>
  <si>
    <t>PO-46511</t>
  </si>
  <si>
    <t>NS-202606-0700</t>
  </si>
  <si>
    <t>INV-627874</t>
  </si>
  <si>
    <t>NS-202606-0701</t>
  </si>
  <si>
    <t>INV-622952</t>
  </si>
  <si>
    <t>NS-202606-0702</t>
  </si>
  <si>
    <t>INV-774865</t>
  </si>
  <si>
    <t>PO-77533</t>
  </si>
  <si>
    <t>NS-202606-0703</t>
  </si>
  <si>
    <t>INV-797309</t>
  </si>
  <si>
    <t>NS-202606-0704</t>
  </si>
  <si>
    <t>INV-154638</t>
  </si>
  <si>
    <t>NS-202606-0705</t>
  </si>
  <si>
    <t>INV-272132</t>
  </si>
  <si>
    <t>PO-65969</t>
  </si>
  <si>
    <t>NS-202606-0706</t>
  </si>
  <si>
    <t>INV-604544</t>
  </si>
  <si>
    <t>PO-48700</t>
  </si>
  <si>
    <t>NS-202606-0707</t>
  </si>
  <si>
    <t>INV-548158</t>
  </si>
  <si>
    <t>PO-63114</t>
  </si>
  <si>
    <t>NS-202606-0708</t>
  </si>
  <si>
    <t>INV-849588</t>
  </si>
  <si>
    <t>NS-202606-0709</t>
  </si>
  <si>
    <t>INV-878246</t>
  </si>
  <si>
    <t>PO-62813</t>
  </si>
  <si>
    <t>NS-202606-0710</t>
  </si>
  <si>
    <t>INV-367657</t>
  </si>
  <si>
    <t>PO-56790</t>
  </si>
  <si>
    <t>NS-202606-0711</t>
  </si>
  <si>
    <t>INV-952624</t>
  </si>
  <si>
    <t>NS-202606-0712</t>
  </si>
  <si>
    <t>INV-794791</t>
  </si>
  <si>
    <t>NS-202606-0713</t>
  </si>
  <si>
    <t>INV-273878</t>
  </si>
  <si>
    <t>NS-202606-0714</t>
  </si>
  <si>
    <t>INV-914419</t>
  </si>
  <si>
    <t>PO-88107</t>
  </si>
  <si>
    <t>NS-202606-0715</t>
  </si>
  <si>
    <t>INV-538136</t>
  </si>
  <si>
    <t>NS-202606-0716</t>
  </si>
  <si>
    <t>INV-572552</t>
  </si>
  <si>
    <t>PO-54553</t>
  </si>
  <si>
    <t>NS-202606-0717</t>
  </si>
  <si>
    <t>INV-214499</t>
  </si>
  <si>
    <t>PO-79752</t>
  </si>
  <si>
    <t>NS-202606-0718</t>
  </si>
  <si>
    <t>INV-205706</t>
  </si>
  <si>
    <t>PO-34211</t>
  </si>
  <si>
    <t>NS-202606-0719</t>
  </si>
  <si>
    <t>INV-596219</t>
  </si>
  <si>
    <t>NS-202606-0720</t>
  </si>
  <si>
    <t>INV-446297</t>
  </si>
  <si>
    <t>NS-202606-0721</t>
  </si>
  <si>
    <t>INV-819517</t>
  </si>
  <si>
    <t>NS-202606-0722</t>
  </si>
  <si>
    <t>INV-871555</t>
  </si>
  <si>
    <t>PO-71816</t>
  </si>
  <si>
    <t>NS-202606-0723</t>
  </si>
  <si>
    <t>INV-869946</t>
  </si>
  <si>
    <t>PO-70146</t>
  </si>
  <si>
    <t>NS-202606-0724</t>
  </si>
  <si>
    <t>INV-221297</t>
  </si>
  <si>
    <t>NS-202606-0725</t>
  </si>
  <si>
    <t>INV-442360</t>
  </si>
  <si>
    <t>PO-73237</t>
  </si>
  <si>
    <t>NS-202606-0726</t>
  </si>
  <si>
    <t>INV-825388</t>
  </si>
  <si>
    <t>PO-88819</t>
  </si>
  <si>
    <t>NS-202606-0727</t>
  </si>
  <si>
    <t>INV-334410</t>
  </si>
  <si>
    <t>NS-202606-0728</t>
  </si>
  <si>
    <t>INV-498663</t>
  </si>
  <si>
    <t>PO-68810</t>
  </si>
  <si>
    <t>NS-202606-0729</t>
  </si>
  <si>
    <t>INV-935259</t>
  </si>
  <si>
    <t>PO-85516</t>
  </si>
  <si>
    <t>NS-202606-0730</t>
  </si>
  <si>
    <t>INV-624112</t>
  </si>
  <si>
    <t>PO-30602</t>
  </si>
  <si>
    <t>NS-202606-0731</t>
  </si>
  <si>
    <t>INV-840842</t>
  </si>
  <si>
    <t>NS-202606-0732</t>
  </si>
  <si>
    <t>INV-949785</t>
  </si>
  <si>
    <t>PO-54687</t>
  </si>
  <si>
    <t>NS-202606-0733</t>
  </si>
  <si>
    <t>INV-453800</t>
  </si>
  <si>
    <t>NS-202606-0734</t>
  </si>
  <si>
    <t>INV-674630</t>
  </si>
  <si>
    <t>PO-34707</t>
  </si>
  <si>
    <t>NS-202606-0735</t>
  </si>
  <si>
    <t>INV-829762</t>
  </si>
  <si>
    <t>PO-82761</t>
  </si>
  <si>
    <t>NS-202606-0736</t>
  </si>
  <si>
    <t>INV-812449</t>
  </si>
  <si>
    <t>NS-202606-0737</t>
  </si>
  <si>
    <t>INV-356902</t>
  </si>
  <si>
    <t>PO-33438</t>
  </si>
  <si>
    <t>NS-202606-0738</t>
  </si>
  <si>
    <t>INV-500661</t>
  </si>
  <si>
    <t>NS-202606-0739</t>
  </si>
  <si>
    <t>INV-700446</t>
  </si>
  <si>
    <t>PO-35415</t>
  </si>
  <si>
    <t>NS-202606-0740</t>
  </si>
  <si>
    <t>INV-848440</t>
  </si>
  <si>
    <t>PO-55163</t>
  </si>
  <si>
    <t>NS-202606-0741</t>
  </si>
  <si>
    <t>INV-317541</t>
  </si>
  <si>
    <t>NS-202606-0742</t>
  </si>
  <si>
    <t>INV-784343</t>
  </si>
  <si>
    <t>PO-66354</t>
  </si>
  <si>
    <t>NS-202606-0743</t>
  </si>
  <si>
    <t>INV-790130</t>
  </si>
  <si>
    <t>PO-38173</t>
  </si>
  <si>
    <t>NS-202606-0744</t>
  </si>
  <si>
    <t>INV-469221</t>
  </si>
  <si>
    <t>PO-81301</t>
  </si>
  <si>
    <t>NS-202606-0745</t>
  </si>
  <si>
    <t>INV-864521</t>
  </si>
  <si>
    <t>NS-202606-0746</t>
  </si>
  <si>
    <t>INV-250202</t>
  </si>
  <si>
    <t>PO-89222</t>
  </si>
  <si>
    <t>NS-202606-0747</t>
  </si>
  <si>
    <t>INV-431727</t>
  </si>
  <si>
    <t>NS-202606-0748</t>
  </si>
  <si>
    <t>INV-193296</t>
  </si>
  <si>
    <t>PO-38167</t>
  </si>
  <si>
    <t>NS-202606-0749</t>
  </si>
  <si>
    <t>INV-920755</t>
  </si>
  <si>
    <t>NS-202606-0750</t>
  </si>
  <si>
    <t>INV-736975</t>
  </si>
  <si>
    <t>PO-82874</t>
  </si>
  <si>
    <t>NS-202606-0751</t>
  </si>
  <si>
    <t>INV-820013</t>
  </si>
  <si>
    <t>PO-52621</t>
  </si>
  <si>
    <t>NS-202606-0752</t>
  </si>
  <si>
    <t>INV-738271</t>
  </si>
  <si>
    <t>PO-78196</t>
  </si>
  <si>
    <t>NS-202606-0753</t>
  </si>
  <si>
    <t>INV-853367</t>
  </si>
  <si>
    <t>PO-60714</t>
  </si>
  <si>
    <t>NS-202606-0754</t>
  </si>
  <si>
    <t>INV-273133</t>
  </si>
  <si>
    <t>PO-80500</t>
  </si>
  <si>
    <t>NS-202606-0755</t>
  </si>
  <si>
    <t>INV-809649</t>
  </si>
  <si>
    <t>NS-202606-0756</t>
  </si>
  <si>
    <t>INV-793291</t>
  </si>
  <si>
    <t>PO-84486</t>
  </si>
  <si>
    <t>NS-202606-0757</t>
  </si>
  <si>
    <t>INV-543256</t>
  </si>
  <si>
    <t>NS-202606-0758</t>
  </si>
  <si>
    <t>INV-102342</t>
  </si>
  <si>
    <t>PO-74503</t>
  </si>
  <si>
    <t>NS-202606-0759</t>
  </si>
  <si>
    <t>INV-745430</t>
  </si>
  <si>
    <t>PO-72137</t>
  </si>
  <si>
    <t>NS-202606-0760</t>
  </si>
  <si>
    <t>INV-188860</t>
  </si>
  <si>
    <t>PO-77345</t>
  </si>
  <si>
    <t>NS-202606-0761</t>
  </si>
  <si>
    <t>INV-482201</t>
  </si>
  <si>
    <t>NS-202606-0762</t>
  </si>
  <si>
    <t>INV-843670</t>
  </si>
  <si>
    <t>NS-202606-0763</t>
  </si>
  <si>
    <t>INV-797557</t>
  </si>
  <si>
    <t>PO-78753</t>
  </si>
  <si>
    <t>NS-202606-0764</t>
  </si>
  <si>
    <t>INV-213119</t>
  </si>
  <si>
    <t>NS-202606-0765</t>
  </si>
  <si>
    <t>INV-609533</t>
  </si>
  <si>
    <t>NS-202606-0766</t>
  </si>
  <si>
    <t>INV-308050</t>
  </si>
  <si>
    <t>PO-46349</t>
  </si>
  <si>
    <t>NS-202606-0767</t>
  </si>
  <si>
    <t>INV-520775</t>
  </si>
  <si>
    <t>NS-202606-0768</t>
  </si>
  <si>
    <t>INV-764073</t>
  </si>
  <si>
    <t>PO-70400</t>
  </si>
  <si>
    <t>NS-202606-0769</t>
  </si>
  <si>
    <t>INV-846151</t>
  </si>
  <si>
    <t>PO-72196</t>
  </si>
  <si>
    <t>NS-202606-0770</t>
  </si>
  <si>
    <t>INV-735984</t>
  </si>
  <si>
    <t>PO-33416</t>
  </si>
  <si>
    <t>NS-202606-0771</t>
  </si>
  <si>
    <t>INV-949383</t>
  </si>
  <si>
    <t>PO-49946</t>
  </si>
  <si>
    <t>NS-202606-0772</t>
  </si>
  <si>
    <t>INV-236823</t>
  </si>
  <si>
    <t>PO-72614</t>
  </si>
  <si>
    <t>NS-202606-0773</t>
  </si>
  <si>
    <t>INV-749079</t>
  </si>
  <si>
    <t>NS-202606-0774</t>
  </si>
  <si>
    <t>INV-896241</t>
  </si>
  <si>
    <t>PO-77236</t>
  </si>
  <si>
    <t>NS-202606-0775</t>
  </si>
  <si>
    <t>INV-830549</t>
  </si>
  <si>
    <t>NS-202606-0776</t>
  </si>
  <si>
    <t>INV-634017</t>
  </si>
  <si>
    <t>NS-202606-0777</t>
  </si>
  <si>
    <t>INV-929053</t>
  </si>
  <si>
    <t>PO-42062</t>
  </si>
  <si>
    <t>NS-202606-0778</t>
  </si>
  <si>
    <t>INV-659484</t>
  </si>
  <si>
    <t>PO-85867</t>
  </si>
  <si>
    <t>NS-202606-0779</t>
  </si>
  <si>
    <t>INV-101467</t>
  </si>
  <si>
    <t>NS-202606-0780</t>
  </si>
  <si>
    <t>INV-409220</t>
  </si>
  <si>
    <t>PO-76233</t>
  </si>
  <si>
    <t>NS-202606-0781</t>
  </si>
  <si>
    <t>INV-915987</t>
  </si>
  <si>
    <t>PO-77872</t>
  </si>
  <si>
    <t>NS-202606-0782</t>
  </si>
  <si>
    <t>INV-946969</t>
  </si>
  <si>
    <t>NS-202606-0783</t>
  </si>
  <si>
    <t>INV-284665</t>
  </si>
  <si>
    <t>PO-39721</t>
  </si>
  <si>
    <t>NS-202606-0784</t>
  </si>
  <si>
    <t>INV-577127</t>
  </si>
  <si>
    <t>NS-202606-0785</t>
  </si>
  <si>
    <t>INV-249564</t>
  </si>
  <si>
    <t>NS-202606-0786</t>
  </si>
  <si>
    <t>INV-565909</t>
  </si>
  <si>
    <t>NS-202606-0787</t>
  </si>
  <si>
    <t>INV-207548</t>
  </si>
  <si>
    <t>PO-75353</t>
  </si>
  <si>
    <t>NS-202606-0788</t>
  </si>
  <si>
    <t>INV-503433</t>
  </si>
  <si>
    <t>PO-57992</t>
  </si>
  <si>
    <t>NS-202606-0789</t>
  </si>
  <si>
    <t>INV-224099</t>
  </si>
  <si>
    <t>PO-37217</t>
  </si>
  <si>
    <t>NS-202606-0790</t>
  </si>
  <si>
    <t>INV-820540</t>
  </si>
  <si>
    <t>PO-64765</t>
  </si>
  <si>
    <t>NS-202606-0791</t>
  </si>
  <si>
    <t>INV-255863</t>
  </si>
  <si>
    <t>PO-62718</t>
  </si>
  <si>
    <t>NS-202606-0792</t>
  </si>
  <si>
    <t>INV-290706</t>
  </si>
  <si>
    <t>NS-202606-0793</t>
  </si>
  <si>
    <t>INV-621249</t>
  </si>
  <si>
    <t>NS-202606-0794</t>
  </si>
  <si>
    <t>INV-346617</t>
  </si>
  <si>
    <t>PO-35479</t>
  </si>
  <si>
    <t>NS-202606-0795</t>
  </si>
  <si>
    <t>INV-916470</t>
  </si>
  <si>
    <t>PO-61059</t>
  </si>
  <si>
    <t>NS-202606-0796</t>
  </si>
  <si>
    <t>INV-222930</t>
  </si>
  <si>
    <t>PO-89831</t>
  </si>
  <si>
    <t>NS-202606-0797</t>
  </si>
  <si>
    <t>INV-265856</t>
  </si>
  <si>
    <t>NS-202606-0798</t>
  </si>
  <si>
    <t>INV-832497</t>
  </si>
  <si>
    <t>PO-67301</t>
  </si>
  <si>
    <t>NS-202606-0799</t>
  </si>
  <si>
    <t>INV-515645</t>
  </si>
  <si>
    <t>NS-202606-0800</t>
  </si>
  <si>
    <t>INV-646833</t>
  </si>
  <si>
    <t>NS-202606-0801</t>
  </si>
  <si>
    <t>INV-967438</t>
  </si>
  <si>
    <t>PO-55709</t>
  </si>
  <si>
    <t>NS-202606-0802</t>
  </si>
  <si>
    <t>INV-270666</t>
  </si>
  <si>
    <t>PO-47689</t>
  </si>
  <si>
    <t>NS-202606-0803</t>
  </si>
  <si>
    <t>INV-692232</t>
  </si>
  <si>
    <t>NS-202606-0804</t>
  </si>
  <si>
    <t>INV-888363</t>
  </si>
  <si>
    <t>PO-36108</t>
  </si>
  <si>
    <t>NS-202606-0805</t>
  </si>
  <si>
    <t>INV-600121</t>
  </si>
  <si>
    <t>NS-202606-0806</t>
  </si>
  <si>
    <t>INV-785999</t>
  </si>
  <si>
    <t>PO-88012</t>
  </si>
  <si>
    <t>NS-202606-0807</t>
  </si>
  <si>
    <t>INV-753756</t>
  </si>
  <si>
    <t>PO-77757</t>
  </si>
  <si>
    <t>NS-202606-0808</t>
  </si>
  <si>
    <t>INV-249550</t>
  </si>
  <si>
    <t>PO-43685</t>
  </si>
  <si>
    <t>NS-202606-0809</t>
  </si>
  <si>
    <t>INV-470533</t>
  </si>
  <si>
    <t>NS-202606-0810</t>
  </si>
  <si>
    <t>INV-696360</t>
  </si>
  <si>
    <t>PO-61015</t>
  </si>
  <si>
    <t>NS-202606-0811</t>
  </si>
  <si>
    <t>INV-815339</t>
  </si>
  <si>
    <t>PO-70611</t>
  </si>
  <si>
    <t>NS-202606-0812</t>
  </si>
  <si>
    <t>INV-404779</t>
  </si>
  <si>
    <t>NS-202606-0813</t>
  </si>
  <si>
    <t>INV-958038</t>
  </si>
  <si>
    <t>PO-87288</t>
  </si>
  <si>
    <t>NS-202606-0814</t>
  </si>
  <si>
    <t>INV-322964</t>
  </si>
  <si>
    <t>NS-202606-0815</t>
  </si>
  <si>
    <t>INV-730275</t>
  </si>
  <si>
    <t>PO-40206</t>
  </si>
  <si>
    <t>NS-202606-0816</t>
  </si>
  <si>
    <t>INV-816881</t>
  </si>
  <si>
    <t>PO-61025</t>
  </si>
  <si>
    <t>NS-202606-0817</t>
  </si>
  <si>
    <t>INV-650269</t>
  </si>
  <si>
    <t>PO-47950</t>
  </si>
  <si>
    <t>NS-202606-0818</t>
  </si>
  <si>
    <t>INV-605020</t>
  </si>
  <si>
    <t>PO-88651</t>
  </si>
  <si>
    <t>NS-202606-0819</t>
  </si>
  <si>
    <t>INV-251642</t>
  </si>
  <si>
    <t>NS-202606-0820</t>
  </si>
  <si>
    <t>INV-219125</t>
  </si>
  <si>
    <t>NS-202606-0821</t>
  </si>
  <si>
    <t>INV-540586</t>
  </si>
  <si>
    <t>NS-202606-0822</t>
  </si>
  <si>
    <t>INV-626474</t>
  </si>
  <si>
    <t>PO-43747</t>
  </si>
  <si>
    <t>NS-202606-0823</t>
  </si>
  <si>
    <t>INV-581111</t>
  </si>
  <si>
    <t>PO-53050</t>
  </si>
  <si>
    <t>NS-202606-0824</t>
  </si>
  <si>
    <t>INV-193992</t>
  </si>
  <si>
    <t>PO-55006</t>
  </si>
  <si>
    <t>NS-202606-0825</t>
  </si>
  <si>
    <t>INV-993077</t>
  </si>
  <si>
    <t>PO-79265</t>
  </si>
  <si>
    <t>NS-202606-0826</t>
  </si>
  <si>
    <t>INV-960270</t>
  </si>
  <si>
    <t>PO-42816</t>
  </si>
  <si>
    <t>NS-202606-0827</t>
  </si>
  <si>
    <t>INV-534694</t>
  </si>
  <si>
    <t>NS-202606-0828</t>
  </si>
  <si>
    <t>INV-510373</t>
  </si>
  <si>
    <t>NS-202606-0829</t>
  </si>
  <si>
    <t>INV-642404</t>
  </si>
  <si>
    <t>NS-202606-0830</t>
  </si>
  <si>
    <t>INV-438065</t>
  </si>
  <si>
    <t>PO-37757</t>
  </si>
  <si>
    <t>NS-202606-0831</t>
  </si>
  <si>
    <t>INV-236889</t>
  </si>
  <si>
    <t>NS-202606-0832</t>
  </si>
  <si>
    <t>INV-924231</t>
  </si>
  <si>
    <t>PO-88845</t>
  </si>
  <si>
    <t>NS-202606-0833</t>
  </si>
  <si>
    <t>INV-724840</t>
  </si>
  <si>
    <t>NS-202606-0834</t>
  </si>
  <si>
    <t>INV-123023</t>
  </si>
  <si>
    <t>PO-35071</t>
  </si>
  <si>
    <t>NS-202606-0835</t>
  </si>
  <si>
    <t>INV-288540</t>
  </si>
  <si>
    <t>PO-57519</t>
  </si>
  <si>
    <t>NS-202606-0836</t>
  </si>
  <si>
    <t>INV-266082</t>
  </si>
  <si>
    <t>NS-202606-0837</t>
  </si>
  <si>
    <t>INV-130930</t>
  </si>
  <si>
    <t>NS-202606-0838</t>
  </si>
  <si>
    <t>INV-619885</t>
  </si>
  <si>
    <t>NS-202606-0839</t>
  </si>
  <si>
    <t>INV-716121</t>
  </si>
  <si>
    <t>PO-42968</t>
  </si>
  <si>
    <t>NS-202606-0840</t>
  </si>
  <si>
    <t>INV-753169</t>
  </si>
  <si>
    <t>PO-87858</t>
  </si>
  <si>
    <t>NS-202606-0841</t>
  </si>
  <si>
    <t>INV-365356</t>
  </si>
  <si>
    <t>PO-88844</t>
  </si>
  <si>
    <t>NS-202606-0842</t>
  </si>
  <si>
    <t>INV-788866</t>
  </si>
  <si>
    <t>NS-202606-0843</t>
  </si>
  <si>
    <t>INV-688922</t>
  </si>
  <si>
    <t>PO-75107</t>
  </si>
  <si>
    <t>NS-202606-0844</t>
  </si>
  <si>
    <t>INV-433219</t>
  </si>
  <si>
    <t>PO-66762</t>
  </si>
  <si>
    <t>NS-202606-0845</t>
  </si>
  <si>
    <t>INV-719887</t>
  </si>
  <si>
    <t>PO-47984</t>
  </si>
  <si>
    <t>NS-202606-0846</t>
  </si>
  <si>
    <t>INV-138805</t>
  </si>
  <si>
    <t>NS-202606-0847</t>
  </si>
  <si>
    <t>INV-683480</t>
  </si>
  <si>
    <t>PO-36233</t>
  </si>
  <si>
    <t>NS-202606-0848</t>
  </si>
  <si>
    <t>INV-150157</t>
  </si>
  <si>
    <t>NS-202606-0849</t>
  </si>
  <si>
    <t>INV-155040</t>
  </si>
  <si>
    <t>NS-202606-0850</t>
  </si>
  <si>
    <t>INV-711795</t>
  </si>
  <si>
    <t>PO-51582</t>
  </si>
  <si>
    <t>NS-202606-0851</t>
  </si>
  <si>
    <t>INV-394169</t>
  </si>
  <si>
    <t>NS-202606-0852</t>
  </si>
  <si>
    <t>INV-178794</t>
  </si>
  <si>
    <t>NS-202606-0853</t>
  </si>
  <si>
    <t>INV-898598</t>
  </si>
  <si>
    <t>PO-55235</t>
  </si>
  <si>
    <t>NS-202606-0854</t>
  </si>
  <si>
    <t>INV-481308</t>
  </si>
  <si>
    <t>PO-59754</t>
  </si>
  <si>
    <t>NS-202606-0855</t>
  </si>
  <si>
    <t>INV-881216</t>
  </si>
  <si>
    <t>NS-202606-0856</t>
  </si>
  <si>
    <t>INV-188150</t>
  </si>
  <si>
    <t>PO-61210</t>
  </si>
  <si>
    <t>NS-202606-0857</t>
  </si>
  <si>
    <t>INV-867559</t>
  </si>
  <si>
    <t>PO-51871</t>
  </si>
  <si>
    <t>NS-202606-0858</t>
  </si>
  <si>
    <t>INV-777741</t>
  </si>
  <si>
    <t>PO-64705</t>
  </si>
  <si>
    <t>NS-202606-0859</t>
  </si>
  <si>
    <t>INV-833491</t>
  </si>
  <si>
    <t>PO-47444</t>
  </si>
  <si>
    <t>NS-202606-0860</t>
  </si>
  <si>
    <t>INV-869531</t>
  </si>
  <si>
    <t>NS-202606-0861</t>
  </si>
  <si>
    <t>INV-248723</t>
  </si>
  <si>
    <t>NS-202606-0862</t>
  </si>
  <si>
    <t>INV-711486</t>
  </si>
  <si>
    <t>PO-47290</t>
  </si>
  <si>
    <t>NS-202606-0863</t>
  </si>
  <si>
    <t>INV-204849</t>
  </si>
  <si>
    <t>PO-31139</t>
  </si>
  <si>
    <t>NS-202606-0864</t>
  </si>
  <si>
    <t>INV-415761</t>
  </si>
  <si>
    <t>PO-65763</t>
  </si>
  <si>
    <t>NS-202606-0865</t>
  </si>
  <si>
    <t>INV-791396</t>
  </si>
  <si>
    <t>NS-202606-0866</t>
  </si>
  <si>
    <t>INV-571093</t>
  </si>
  <si>
    <t>NS-202606-0867</t>
  </si>
  <si>
    <t>INV-835928</t>
  </si>
  <si>
    <t>NS-202606-0868</t>
  </si>
  <si>
    <t>INV-254278</t>
  </si>
  <si>
    <t>PO-81938</t>
  </si>
  <si>
    <t>NS-202606-0869</t>
  </si>
  <si>
    <t>INV-327882</t>
  </si>
  <si>
    <t>NS-202606-0870</t>
  </si>
  <si>
    <t>INV-397025</t>
  </si>
  <si>
    <t>PO-53085</t>
  </si>
  <si>
    <t>NS-202606-0871</t>
  </si>
  <si>
    <t>INV-133697</t>
  </si>
  <si>
    <t>NS-202606-0872</t>
  </si>
  <si>
    <t>INV-438144</t>
  </si>
  <si>
    <t>PO-56156</t>
  </si>
  <si>
    <t>NS-202606-0873</t>
  </si>
  <si>
    <t>INV-583555</t>
  </si>
  <si>
    <t>PO-66325</t>
  </si>
  <si>
    <t>NS-202606-0874</t>
  </si>
  <si>
    <t>INV-548443</t>
  </si>
  <si>
    <t>PO-39083</t>
  </si>
  <si>
    <t>NS-202606-0875</t>
  </si>
  <si>
    <t>INV-407592</t>
  </si>
  <si>
    <t>NS-202606-0876</t>
  </si>
  <si>
    <t>INV-212248</t>
  </si>
  <si>
    <t>PO-80003</t>
  </si>
  <si>
    <t>NS-202606-0877</t>
  </si>
  <si>
    <t>INV-251154</t>
  </si>
  <si>
    <t>PO-51712</t>
  </si>
  <si>
    <t>NS-202606-0878</t>
  </si>
  <si>
    <t>INV-310449</t>
  </si>
  <si>
    <t>NS-202606-0879</t>
  </si>
  <si>
    <t>INV-565374</t>
  </si>
  <si>
    <t>PO-36348</t>
  </si>
  <si>
    <t>NS-202606-0880</t>
  </si>
  <si>
    <t>INV-553355</t>
  </si>
  <si>
    <t>PO-42061</t>
  </si>
  <si>
    <t>NS-202606-0881</t>
  </si>
  <si>
    <t>INV-799961</t>
  </si>
  <si>
    <t>NS-202606-0882</t>
  </si>
  <si>
    <t>INV-579285</t>
  </si>
  <si>
    <t>PO-75721</t>
  </si>
  <si>
    <t>NS-202606-0883</t>
  </si>
  <si>
    <t>INV-590636</t>
  </si>
  <si>
    <t>PO-72626</t>
  </si>
  <si>
    <t>NS-202606-0884</t>
  </si>
  <si>
    <t>INV-282973</t>
  </si>
  <si>
    <t>PO-86088</t>
  </si>
  <si>
    <t>NS-202606-0885</t>
  </si>
  <si>
    <t>INV-776472</t>
  </si>
  <si>
    <t>PO-76870</t>
  </si>
  <si>
    <t>NS-202606-0886</t>
  </si>
  <si>
    <t>INV-708934</t>
  </si>
  <si>
    <t>PO-76432</t>
  </si>
  <si>
    <t>NS-202606-0887</t>
  </si>
  <si>
    <t>INV-599555</t>
  </si>
  <si>
    <t>PO-85838</t>
  </si>
  <si>
    <t>NS-202606-0888</t>
  </si>
  <si>
    <t>INV-167496</t>
  </si>
  <si>
    <t>NS-202606-0889</t>
  </si>
  <si>
    <t>INV-495972</t>
  </si>
  <si>
    <t>NS-202606-0890</t>
  </si>
  <si>
    <t>INV-654203</t>
  </si>
  <si>
    <t>NS-202606-0891</t>
  </si>
  <si>
    <t>INV-175460</t>
  </si>
  <si>
    <t>NS-202606-0892</t>
  </si>
  <si>
    <t>INV-685836</t>
  </si>
  <si>
    <t>NS-202606-0893</t>
  </si>
  <si>
    <t>INV-153979</t>
  </si>
  <si>
    <t>NS-202606-0894</t>
  </si>
  <si>
    <t>INV-642910</t>
  </si>
  <si>
    <t>NS-202606-0895</t>
  </si>
  <si>
    <t>INV-541875</t>
  </si>
  <si>
    <t>PO-88445</t>
  </si>
  <si>
    <t>NS-202606-0896</t>
  </si>
  <si>
    <t>INV-691246</t>
  </si>
  <si>
    <t>PO-65853</t>
  </si>
  <si>
    <t>NS-202606-0897</t>
  </si>
  <si>
    <t>INV-209116</t>
  </si>
  <si>
    <t>PO-34637</t>
  </si>
  <si>
    <t>NS-202606-0898</t>
  </si>
  <si>
    <t>INV-305703</t>
  </si>
  <si>
    <t>PO-49884</t>
  </si>
  <si>
    <t>NS-202606-0899</t>
  </si>
  <si>
    <t>INV-676239</t>
  </si>
  <si>
    <t>NS-202606-0900</t>
  </si>
  <si>
    <t>INV-110537</t>
  </si>
  <si>
    <t>NS-202606-0901</t>
  </si>
  <si>
    <t>INV-232871</t>
  </si>
  <si>
    <t>NS-202606-0902</t>
  </si>
  <si>
    <t>INV-315860</t>
  </si>
  <si>
    <t>NS-202606-0903</t>
  </si>
  <si>
    <t>INV-434347</t>
  </si>
  <si>
    <t>NS-202606-0904</t>
  </si>
  <si>
    <t>INV-679826</t>
  </si>
  <si>
    <t>NS-202606-0905</t>
  </si>
  <si>
    <t>INV-122323</t>
  </si>
  <si>
    <t>PO-45407</t>
  </si>
  <si>
    <t>NS-202606-0906</t>
  </si>
  <si>
    <t>INV-503348</t>
  </si>
  <si>
    <t>PO-35537</t>
  </si>
  <si>
    <t>NS-202606-0907</t>
  </si>
  <si>
    <t>INV-949602</t>
  </si>
  <si>
    <t>NS-202606-0908</t>
  </si>
  <si>
    <t>INV-856334</t>
  </si>
  <si>
    <t>NS-202606-0909</t>
  </si>
  <si>
    <t>INV-349799</t>
  </si>
  <si>
    <t>PO-67526</t>
  </si>
  <si>
    <t>NS-202606-0910</t>
  </si>
  <si>
    <t>INV-479264</t>
  </si>
  <si>
    <t>PO-46379</t>
  </si>
  <si>
    <t>NS-202606-0911</t>
  </si>
  <si>
    <t>INV-561278</t>
  </si>
  <si>
    <t>NS-202606-0912</t>
  </si>
  <si>
    <t>INV-678235</t>
  </si>
  <si>
    <t>NS-202606-0913</t>
  </si>
  <si>
    <t>INV-140372</t>
  </si>
  <si>
    <t>NS-202606-0914</t>
  </si>
  <si>
    <t>INV-116901</t>
  </si>
  <si>
    <t>PO-66268</t>
  </si>
  <si>
    <t>NS-202606-0915</t>
  </si>
  <si>
    <t>INV-698071</t>
  </si>
  <si>
    <t>PO-37154</t>
  </si>
  <si>
    <t>NS-202606-0916</t>
  </si>
  <si>
    <t>INV-492917</t>
  </si>
  <si>
    <t>NS-202606-0917</t>
  </si>
  <si>
    <t>INV-635608</t>
  </si>
  <si>
    <t>PO-39834</t>
  </si>
  <si>
    <t>NS-202606-0918</t>
  </si>
  <si>
    <t>INV-182255</t>
  </si>
  <si>
    <t>PO-44081</t>
  </si>
  <si>
    <t>NS-202606-0919</t>
  </si>
  <si>
    <t>INV-562440</t>
  </si>
  <si>
    <t>NS-202606-0920</t>
  </si>
  <si>
    <t>INV-826739</t>
  </si>
  <si>
    <t>NS-202606-0921</t>
  </si>
  <si>
    <t>INV-539196</t>
  </si>
  <si>
    <t>PO-53067</t>
  </si>
  <si>
    <t>NS-202606-0922</t>
  </si>
  <si>
    <t>INV-185465</t>
  </si>
  <si>
    <t>NS-202606-0923</t>
  </si>
  <si>
    <t>INV-902694</t>
  </si>
  <si>
    <t>PO-87766</t>
  </si>
  <si>
    <t>NS-202606-0924</t>
  </si>
  <si>
    <t>INV-655021</t>
  </si>
  <si>
    <t>PO-32233</t>
  </si>
  <si>
    <t>NS-202606-0925</t>
  </si>
  <si>
    <t>INV-213006</t>
  </si>
  <si>
    <t>PO-76660</t>
  </si>
  <si>
    <t>NS-202606-0926</t>
  </si>
  <si>
    <t>INV-858862</t>
  </si>
  <si>
    <t>NS-202606-0927</t>
  </si>
  <si>
    <t>INV-857630</t>
  </si>
  <si>
    <t>PO-54240</t>
  </si>
  <si>
    <t>NS-202606-0928</t>
  </si>
  <si>
    <t>INV-250152</t>
  </si>
  <si>
    <t>PO-52355</t>
  </si>
  <si>
    <t>NS-202606-0929</t>
  </si>
  <si>
    <t>INV-387150</t>
  </si>
  <si>
    <t>PO-48235</t>
  </si>
  <si>
    <t>NS-202606-0930</t>
  </si>
  <si>
    <t>INV-633408</t>
  </si>
  <si>
    <t>NS-202606-0931</t>
  </si>
  <si>
    <t>INV-547220</t>
  </si>
  <si>
    <t>NS-202606-0932</t>
  </si>
  <si>
    <t>INV-191083</t>
  </si>
  <si>
    <t>PO-37183</t>
  </si>
  <si>
    <t>NS-202606-0933</t>
  </si>
  <si>
    <t>INV-871250</t>
  </si>
  <si>
    <t>PO-35181</t>
  </si>
  <si>
    <t>NS-202606-0934</t>
  </si>
  <si>
    <t>INV-793245</t>
  </si>
  <si>
    <t>PO-32513</t>
  </si>
  <si>
    <t>NS-202606-0935</t>
  </si>
  <si>
    <t>INV-953403</t>
  </si>
  <si>
    <t>PO-68426</t>
  </si>
  <si>
    <t>NS-202606-0936</t>
  </si>
  <si>
    <t>INV-743173</t>
  </si>
  <si>
    <t>NS-202606-0937</t>
  </si>
  <si>
    <t>INV-760631</t>
  </si>
  <si>
    <t>PO-73053</t>
  </si>
  <si>
    <t>NS-202606-0938</t>
  </si>
  <si>
    <t>INV-284753</t>
  </si>
  <si>
    <t>PO-37364</t>
  </si>
  <si>
    <t>NS-202606-0939</t>
  </si>
  <si>
    <t>INV-632139</t>
  </si>
  <si>
    <t>PO-38392</t>
  </si>
  <si>
    <t>NS-202606-0940</t>
  </si>
  <si>
    <t>INV-381351</t>
  </si>
  <si>
    <t>PO-50815</t>
  </si>
  <si>
    <t>NS-202606-0941</t>
  </si>
  <si>
    <t>INV-917419</t>
  </si>
  <si>
    <t>PO-59336</t>
  </si>
  <si>
    <t>NS-202606-0942</t>
  </si>
  <si>
    <t>INV-918343</t>
  </si>
  <si>
    <t>PO-69646</t>
  </si>
  <si>
    <t>NS-202606-0943</t>
  </si>
  <si>
    <t>INV-514739</t>
  </si>
  <si>
    <t>PO-72921</t>
  </si>
  <si>
    <t>NS-202606-0944</t>
  </si>
  <si>
    <t>INV-207500</t>
  </si>
  <si>
    <t>PO-57092</t>
  </si>
  <si>
    <t>NS-202606-0945</t>
  </si>
  <si>
    <t>INV-496211</t>
  </si>
  <si>
    <t>PO-31588</t>
  </si>
  <si>
    <t>NS-202606-0946</t>
  </si>
  <si>
    <t>INV-970581</t>
  </si>
  <si>
    <t>PO-35565</t>
  </si>
  <si>
    <t>NS-202606-0947</t>
  </si>
  <si>
    <t>INV-312511</t>
  </si>
  <si>
    <t>PO-55632</t>
  </si>
  <si>
    <t>NS-202606-0948</t>
  </si>
  <si>
    <t>INV-659104</t>
  </si>
  <si>
    <t>PO-58149</t>
  </si>
  <si>
    <t>NS-202606-0949</t>
  </si>
  <si>
    <t>INV-487786</t>
  </si>
  <si>
    <t>NS-202606-0950</t>
  </si>
  <si>
    <t>INV-613604</t>
  </si>
  <si>
    <t>PO-71282</t>
  </si>
  <si>
    <t>NS-202606-0951</t>
  </si>
  <si>
    <t>INV-974851</t>
  </si>
  <si>
    <t>NS-202606-0952</t>
  </si>
  <si>
    <t>INV-347190</t>
  </si>
  <si>
    <t>PO-30365</t>
  </si>
  <si>
    <t>NS-202606-0953</t>
  </si>
  <si>
    <t>INV-306954</t>
  </si>
  <si>
    <t>NS-202606-0954</t>
  </si>
  <si>
    <t>INV-411166</t>
  </si>
  <si>
    <t>PO-82635</t>
  </si>
  <si>
    <t>NS-202606-0955</t>
  </si>
  <si>
    <t>INV-314393</t>
  </si>
  <si>
    <t>NS-202606-0956</t>
  </si>
  <si>
    <t>INV-287931</t>
  </si>
  <si>
    <t>PO-43803</t>
  </si>
  <si>
    <t>NS-202606-0957</t>
  </si>
  <si>
    <t>INV-591461</t>
  </si>
  <si>
    <t>PO-42299</t>
  </si>
  <si>
    <t>NS-202606-0958</t>
  </si>
  <si>
    <t>INV-546867</t>
  </si>
  <si>
    <t>NS-202606-0959</t>
  </si>
  <si>
    <t>INV-393586</t>
  </si>
  <si>
    <t>PO-46695</t>
  </si>
  <si>
    <t>NS-202606-0960</t>
  </si>
  <si>
    <t>INV-873078</t>
  </si>
  <si>
    <t>PO-72259</t>
  </si>
  <si>
    <t>NS-202606-0961</t>
  </si>
  <si>
    <t>INV-100258</t>
  </si>
  <si>
    <t>PO-45193</t>
  </si>
  <si>
    <t>NS-202606-0962</t>
  </si>
  <si>
    <t>INV-495637</t>
  </si>
  <si>
    <t>PO-58815</t>
  </si>
  <si>
    <t>NS-202606-0963</t>
  </si>
  <si>
    <t>INV-687712</t>
  </si>
  <si>
    <t>PO-64779</t>
  </si>
  <si>
    <t>NS-202606-0964</t>
  </si>
  <si>
    <t>INV-908184</t>
  </si>
  <si>
    <t>PO-88966</t>
  </si>
  <si>
    <t>NS-202606-0965</t>
  </si>
  <si>
    <t>INV-651553</t>
  </si>
  <si>
    <t>PO-42516</t>
  </si>
  <si>
    <t>NS-202606-0966</t>
  </si>
  <si>
    <t>INV-387492</t>
  </si>
  <si>
    <t>NS-202606-0967</t>
  </si>
  <si>
    <t>INV-742693</t>
  </si>
  <si>
    <t>NS-202606-0968</t>
  </si>
  <si>
    <t>INV-429500</t>
  </si>
  <si>
    <t>NS-202606-0969</t>
  </si>
  <si>
    <t>INV-641422</t>
  </si>
  <si>
    <t>NS-202606-0970</t>
  </si>
  <si>
    <t>INV-388909</t>
  </si>
  <si>
    <t>NS-202606-0971</t>
  </si>
  <si>
    <t>INV-190277</t>
  </si>
  <si>
    <t>NS-202606-0972</t>
  </si>
  <si>
    <t>INV-110945</t>
  </si>
  <si>
    <t>PO-35663</t>
  </si>
  <si>
    <t>NS-202606-0973</t>
  </si>
  <si>
    <t>INV-401021</t>
  </si>
  <si>
    <t>NS-202606-0974</t>
  </si>
  <si>
    <t>INV-377395</t>
  </si>
  <si>
    <t>PO-42336</t>
  </si>
  <si>
    <t>NS-202606-0975</t>
  </si>
  <si>
    <t>INV-263267</t>
  </si>
  <si>
    <t>NS-202606-0976</t>
  </si>
  <si>
    <t>INV-910978</t>
  </si>
  <si>
    <t>PO-83143</t>
  </si>
  <si>
    <t>NS-202606-0977</t>
  </si>
  <si>
    <t>INV-790282</t>
  </si>
  <si>
    <t>NS-202606-0978</t>
  </si>
  <si>
    <t>INV-296200</t>
  </si>
  <si>
    <t>PO-89049</t>
  </si>
  <si>
    <t>NS-202606-0979</t>
  </si>
  <si>
    <t>INV-364843</t>
  </si>
  <si>
    <t>NS-202606-0980</t>
  </si>
  <si>
    <t>INV-520216</t>
  </si>
  <si>
    <t>PO-32629</t>
  </si>
  <si>
    <t>NS-202606-0981</t>
  </si>
  <si>
    <t>INV-926874</t>
  </si>
  <si>
    <t>PO-69115</t>
  </si>
  <si>
    <t>NS-202606-0982</t>
  </si>
  <si>
    <t>INV-347656</t>
  </si>
  <si>
    <t>NS-202606-0983</t>
  </si>
  <si>
    <t>INV-800906</t>
  </si>
  <si>
    <t>NS-202606-0984</t>
  </si>
  <si>
    <t>INV-959613</t>
  </si>
  <si>
    <t>PO-38421</t>
  </si>
  <si>
    <t>NS-202606-0985</t>
  </si>
  <si>
    <t>INV-487063</t>
  </si>
  <si>
    <t>PO-52732</t>
  </si>
  <si>
    <t>NS-202606-0986</t>
  </si>
  <si>
    <t>INV-556550</t>
  </si>
  <si>
    <t>PO-56095</t>
  </si>
  <si>
    <t>NS-202606-0987</t>
  </si>
  <si>
    <t>INV-815485</t>
  </si>
  <si>
    <t>PO-50387</t>
  </si>
  <si>
    <t>NS-202606-0988</t>
  </si>
  <si>
    <t>INV-502642</t>
  </si>
  <si>
    <t>NS-202606-0989</t>
  </si>
  <si>
    <t>INV-918941</t>
  </si>
  <si>
    <t>NS-202606-0990</t>
  </si>
  <si>
    <t>INV-183895</t>
  </si>
  <si>
    <t>PO-81478</t>
  </si>
  <si>
    <t>NS-202606-0991</t>
  </si>
  <si>
    <t>INV-613405</t>
  </si>
  <si>
    <t>PO-42950</t>
  </si>
  <si>
    <t>NS-202606-0992</t>
  </si>
  <si>
    <t>INV-537319</t>
  </si>
  <si>
    <t>NS-202606-0993</t>
  </si>
  <si>
    <t>INV-862091</t>
  </si>
  <si>
    <t>PO-53412</t>
  </si>
  <si>
    <t>NS-202606-0994</t>
  </si>
  <si>
    <t>INV-490904</t>
  </si>
  <si>
    <t>PO-60017</t>
  </si>
  <si>
    <t>NS-202606-0995</t>
  </si>
  <si>
    <t>INV-292864</t>
  </si>
  <si>
    <t>NS-202606-0996</t>
  </si>
  <si>
    <t>INV-665347</t>
  </si>
  <si>
    <t>PO-89791</t>
  </si>
  <si>
    <t>NS-202606-0997</t>
  </si>
  <si>
    <t>INV-147964</t>
  </si>
  <si>
    <t>PO-79854</t>
  </si>
  <si>
    <t>NS-202606-0998</t>
  </si>
  <si>
    <t>INV-765695</t>
  </si>
  <si>
    <t>PO-56685</t>
  </si>
  <si>
    <t>NS-202606-0999</t>
  </si>
  <si>
    <t>INV-765607</t>
  </si>
  <si>
    <t>PO-34176</t>
  </si>
  <si>
    <t>NS-202606-1000</t>
  </si>
  <si>
    <t>INV-878642</t>
  </si>
  <si>
    <t>PO-52475</t>
  </si>
  <si>
    <t>NS-202606-1001</t>
  </si>
  <si>
    <t>INV-655317</t>
  </si>
  <si>
    <t>PO-56406</t>
  </si>
  <si>
    <t>NS-202606-1002</t>
  </si>
  <si>
    <t>INV-683469</t>
  </si>
  <si>
    <t>NS-202606-1003</t>
  </si>
  <si>
    <t>INV-698469</t>
  </si>
  <si>
    <t>PO-54800</t>
  </si>
  <si>
    <t>NS-202606-1004</t>
  </si>
  <si>
    <t>INV-210770</t>
  </si>
  <si>
    <t>NS-202606-1005</t>
  </si>
  <si>
    <t>INV-586449</t>
  </si>
  <si>
    <t>PO-65102</t>
  </si>
  <si>
    <t>NS-202606-1006</t>
  </si>
  <si>
    <t>INV-538409</t>
  </si>
  <si>
    <t>PO-30218</t>
  </si>
  <si>
    <t>NS-202606-1007</t>
  </si>
  <si>
    <t>INV-440808</t>
  </si>
  <si>
    <t>PO-69957</t>
  </si>
  <si>
    <t>NS-202606-1008</t>
  </si>
  <si>
    <t>INV-269218</t>
  </si>
  <si>
    <t>NS-202606-1009</t>
  </si>
  <si>
    <t>INV-317062</t>
  </si>
  <si>
    <t>PO-76713</t>
  </si>
  <si>
    <t>NS-202606-1010</t>
  </si>
  <si>
    <t>INV-978576</t>
  </si>
  <si>
    <t>PO-45852</t>
  </si>
  <si>
    <t>NS-202606-1011</t>
  </si>
  <si>
    <t>INV-537350</t>
  </si>
  <si>
    <t>PO-79060</t>
  </si>
  <si>
    <t>NS-202606-1012</t>
  </si>
  <si>
    <t>INV-968543</t>
  </si>
  <si>
    <t>NS-202606-1013</t>
  </si>
  <si>
    <t>INV-707976</t>
  </si>
  <si>
    <t>PO-72574</t>
  </si>
  <si>
    <t>NS-202606-1014</t>
  </si>
  <si>
    <t>INV-177667</t>
  </si>
  <si>
    <t>PO-89832</t>
  </si>
  <si>
    <t>NS-202606-1015</t>
  </si>
  <si>
    <t>INV-695833</t>
  </si>
  <si>
    <t>PO-49352</t>
  </si>
  <si>
    <t>NS-202606-1016</t>
  </si>
  <si>
    <t>INV-265992</t>
  </si>
  <si>
    <t>PO-31700</t>
  </si>
  <si>
    <t>NS-202606-1017</t>
  </si>
  <si>
    <t>INV-992253</t>
  </si>
  <si>
    <t>NS-202606-1018</t>
  </si>
  <si>
    <t>INV-715656</t>
  </si>
  <si>
    <t>PO-77260</t>
  </si>
  <si>
    <t>NS-202606-1019</t>
  </si>
  <si>
    <t>INV-114923</t>
  </si>
  <si>
    <t>NS-202606-1020</t>
  </si>
  <si>
    <t>INV-697067</t>
  </si>
  <si>
    <t>PO-48239</t>
  </si>
  <si>
    <t>NS-202606-1021</t>
  </si>
  <si>
    <t>INV-445521</t>
  </si>
  <si>
    <t>NS-202606-1022</t>
  </si>
  <si>
    <t>INV-356578</t>
  </si>
  <si>
    <t>NS-202606-1023</t>
  </si>
  <si>
    <t>INV-868959</t>
  </si>
  <si>
    <t>NS-202606-1024</t>
  </si>
  <si>
    <t>INV-176603</t>
  </si>
  <si>
    <t>PO-68382</t>
  </si>
  <si>
    <t>NS-202606-1025</t>
  </si>
  <si>
    <t>INV-709970</t>
  </si>
  <si>
    <t>PO-65544</t>
  </si>
  <si>
    <t>NS-202606-1026</t>
  </si>
  <si>
    <t>INV-285107</t>
  </si>
  <si>
    <t>NS-202606-1027</t>
  </si>
  <si>
    <t>INV-291029</t>
  </si>
  <si>
    <t>NS-202606-1028</t>
  </si>
  <si>
    <t>INV-820328</t>
  </si>
  <si>
    <t>PO-40690</t>
  </si>
  <si>
    <t>NS-202606-1029</t>
  </si>
  <si>
    <t>INV-739135</t>
  </si>
  <si>
    <t>PO-50132</t>
  </si>
  <si>
    <t>NS-202606-1030</t>
  </si>
  <si>
    <t>INV-596789</t>
  </si>
  <si>
    <t>PO-55967</t>
  </si>
  <si>
    <t>NS-202606-1031</t>
  </si>
  <si>
    <t>INV-969512</t>
  </si>
  <si>
    <t>PO-47226</t>
  </si>
  <si>
    <t>NS-202606-1032</t>
  </si>
  <si>
    <t>INV-246727</t>
  </si>
  <si>
    <t>PO-57336</t>
  </si>
  <si>
    <t>NS-202606-1033</t>
  </si>
  <si>
    <t>INV-441505</t>
  </si>
  <si>
    <t>PO-76967</t>
  </si>
  <si>
    <t>NS-202606-1034</t>
  </si>
  <si>
    <t>INV-721742</t>
  </si>
  <si>
    <t>NS-202606-1035</t>
  </si>
  <si>
    <t>INV-770699</t>
  </si>
  <si>
    <t>NS-202606-1036</t>
  </si>
  <si>
    <t>INV-257726</t>
  </si>
  <si>
    <t>PO-60922</t>
  </si>
  <si>
    <t>NS-202606-1037</t>
  </si>
  <si>
    <t>INV-247290</t>
  </si>
  <si>
    <t>PO-51485</t>
  </si>
  <si>
    <t>NS-202606-1038</t>
  </si>
  <si>
    <t>INV-838260</t>
  </si>
  <si>
    <t>NS-202606-1039</t>
  </si>
  <si>
    <t>INV-972073</t>
  </si>
  <si>
    <t>PO-72089</t>
  </si>
  <si>
    <t>NS-202606-1040</t>
  </si>
  <si>
    <t>INV-179222</t>
  </si>
  <si>
    <t>PO-58652</t>
  </si>
  <si>
    <t>NS-202606-1041</t>
  </si>
  <si>
    <t>INV-300160</t>
  </si>
  <si>
    <t>PO-82336</t>
  </si>
  <si>
    <t>NS-202606-1042</t>
  </si>
  <si>
    <t>INV-826229</t>
  </si>
  <si>
    <t>PO-87707</t>
  </si>
  <si>
    <t>NS-202606-1043</t>
  </si>
  <si>
    <t>INV-997135</t>
  </si>
  <si>
    <t>PO-70874</t>
  </si>
  <si>
    <t>NS-202606-1044</t>
  </si>
  <si>
    <t>INV-423466</t>
  </si>
  <si>
    <t>PO-73607</t>
  </si>
  <si>
    <t>NS-202606-1045</t>
  </si>
  <si>
    <t>INV-417644</t>
  </si>
  <si>
    <t>NS-202606-1046</t>
  </si>
  <si>
    <t>INV-493335</t>
  </si>
  <si>
    <t>NS-202606-1047</t>
  </si>
  <si>
    <t>INV-718887</t>
  </si>
  <si>
    <t>PO-33225</t>
  </si>
  <si>
    <t>NS-202606-1048</t>
  </si>
  <si>
    <t>INV-886099</t>
  </si>
  <si>
    <t>PO-63849</t>
  </si>
  <si>
    <t>NS-202606-1049</t>
  </si>
  <si>
    <t>INV-519753</t>
  </si>
  <si>
    <t>NS-202606-1050</t>
  </si>
  <si>
    <t>INV-949524</t>
  </si>
  <si>
    <t>PO-85561</t>
  </si>
  <si>
    <t>NS-202606-1051</t>
  </si>
  <si>
    <t>INV-828833</t>
  </si>
  <si>
    <t>NS-202606-1052</t>
  </si>
  <si>
    <t>INV-643791</t>
  </si>
  <si>
    <t>NS-202606-1053</t>
  </si>
  <si>
    <t>INV-982298</t>
  </si>
  <si>
    <t>PO-37169</t>
  </si>
  <si>
    <t>NS-202606-1054</t>
  </si>
  <si>
    <t>INV-148758</t>
  </si>
  <si>
    <t>PO-88249</t>
  </si>
  <si>
    <t>NS-202606-1055</t>
  </si>
  <si>
    <t>INV-598796</t>
  </si>
  <si>
    <t>PO-36561</t>
  </si>
  <si>
    <t>NS-202606-1056</t>
  </si>
  <si>
    <t>INV-369338</t>
  </si>
  <si>
    <t>PO-69535</t>
  </si>
  <si>
    <t>NS-202606-1057</t>
  </si>
  <si>
    <t>INV-236113</t>
  </si>
  <si>
    <t>NS-202606-1058</t>
  </si>
  <si>
    <t>INV-800822</t>
  </si>
  <si>
    <t>NS-202606-1059</t>
  </si>
  <si>
    <t>INV-135887</t>
  </si>
  <si>
    <t>PO-88951</t>
  </si>
  <si>
    <t>NS-202606-1060</t>
  </si>
  <si>
    <t>INV-699876</t>
  </si>
  <si>
    <t>NS-202606-1061</t>
  </si>
  <si>
    <t>INV-787300</t>
  </si>
  <si>
    <t>NS-202606-1062</t>
  </si>
  <si>
    <t>INV-375632</t>
  </si>
  <si>
    <t>PO-82886</t>
  </si>
  <si>
    <t>NS-202606-1063</t>
  </si>
  <si>
    <t>INV-464510</t>
  </si>
  <si>
    <t>PO-36198</t>
  </si>
  <si>
    <t>NS-202606-1064</t>
  </si>
  <si>
    <t>INV-332634</t>
  </si>
  <si>
    <t>PO-86817</t>
  </si>
  <si>
    <t>NS-202606-1065</t>
  </si>
  <si>
    <t>INV-656657</t>
  </si>
  <si>
    <t>NS-202606-1066</t>
  </si>
  <si>
    <t>INV-151288</t>
  </si>
  <si>
    <t>NS-202606-1067</t>
  </si>
  <si>
    <t>INV-842749</t>
  </si>
  <si>
    <t>PO-61230</t>
  </si>
  <si>
    <t>NS-202606-1068</t>
  </si>
  <si>
    <t>INV-901733</t>
  </si>
  <si>
    <t>NS-202606-1069</t>
  </si>
  <si>
    <t>INV-229469</t>
  </si>
  <si>
    <t>PO-42672</t>
  </si>
  <si>
    <t>NS-202606-1070</t>
  </si>
  <si>
    <t>INV-649706</t>
  </si>
  <si>
    <t>PO-39332</t>
  </si>
  <si>
    <t>NS-202606-1071</t>
  </si>
  <si>
    <t>INV-142961</t>
  </si>
  <si>
    <t>PO-83886</t>
  </si>
  <si>
    <t>NS-202606-1072</t>
  </si>
  <si>
    <t>INV-867305</t>
  </si>
  <si>
    <t>PO-87425</t>
  </si>
  <si>
    <t>NS-202606-1073</t>
  </si>
  <si>
    <t>INV-771366</t>
  </si>
  <si>
    <t>NS-202606-1074</t>
  </si>
  <si>
    <t>INV-797962</t>
  </si>
  <si>
    <t>NS-202606-1075</t>
  </si>
  <si>
    <t>INV-719019</t>
  </si>
  <si>
    <t>PO-69756</t>
  </si>
  <si>
    <t>NS-202606-1076</t>
  </si>
  <si>
    <t>INV-993631</t>
  </si>
  <si>
    <t>NS-202606-1077</t>
  </si>
  <si>
    <t>INV-289517</t>
  </si>
  <si>
    <t>PO-82770</t>
  </si>
  <si>
    <t>NS-202606-1078</t>
  </si>
  <si>
    <t>INV-360781</t>
  </si>
  <si>
    <t>NS-202606-1079</t>
  </si>
  <si>
    <t>INV-673862</t>
  </si>
  <si>
    <t>NS-202606-1080</t>
  </si>
  <si>
    <t>INV-976856</t>
  </si>
  <si>
    <t>NS-202606-1081</t>
  </si>
  <si>
    <t>INV-997555</t>
  </si>
  <si>
    <t>NS-202606-1082</t>
  </si>
  <si>
    <t>INV-517303</t>
  </si>
  <si>
    <t>NS-202606-1083</t>
  </si>
  <si>
    <t>INV-239494</t>
  </si>
  <si>
    <t>NS-202606-1084</t>
  </si>
  <si>
    <t>INV-387087</t>
  </si>
  <si>
    <t>NS-202606-1085</t>
  </si>
  <si>
    <t>INV-355517</t>
  </si>
  <si>
    <t>PO-87352</t>
  </si>
  <si>
    <t>NS-202606-1086</t>
  </si>
  <si>
    <t>INV-883068</t>
  </si>
  <si>
    <t>PO-67230</t>
  </si>
  <si>
    <t>NS-202606-1087</t>
  </si>
  <si>
    <t>INV-180782</t>
  </si>
  <si>
    <t>NS-202606-1088</t>
  </si>
  <si>
    <t>INV-733435</t>
  </si>
  <si>
    <t>NS-202606-1089</t>
  </si>
  <si>
    <t>INV-167798</t>
  </si>
  <si>
    <t>NS-202606-1090</t>
  </si>
  <si>
    <t>INV-389501</t>
  </si>
  <si>
    <t>PO-52780</t>
  </si>
  <si>
    <t>NS-202606-1091</t>
  </si>
  <si>
    <t>INV-424875</t>
  </si>
  <si>
    <t>NS-202606-1092</t>
  </si>
  <si>
    <t>INV-739206</t>
  </si>
  <si>
    <t>PO-87407</t>
  </si>
  <si>
    <t>NS-202606-1093</t>
  </si>
  <si>
    <t>INV-911319</t>
  </si>
  <si>
    <t>NS-202606-1094</t>
  </si>
  <si>
    <t>INV-245237</t>
  </si>
  <si>
    <t>NS-202606-1095</t>
  </si>
  <si>
    <t>INV-763756</t>
  </si>
  <si>
    <t>NS-202606-1096</t>
  </si>
  <si>
    <t>INV-276698</t>
  </si>
  <si>
    <t>PO-87625</t>
  </si>
  <si>
    <t>NS-202606-1097</t>
  </si>
  <si>
    <t>INV-622401</t>
  </si>
  <si>
    <t>PO-82431</t>
  </si>
  <si>
    <t>NS-202606-1098</t>
  </si>
  <si>
    <t>INV-566727</t>
  </si>
  <si>
    <t>NS-202606-1099</t>
  </si>
  <si>
    <t>INV-275516</t>
  </si>
  <si>
    <t>NS-202606-1100</t>
  </si>
  <si>
    <t>INV-454779</t>
  </si>
  <si>
    <t>NS-202606-1101</t>
  </si>
  <si>
    <t>INV-791703</t>
  </si>
  <si>
    <t>PO-82039</t>
  </si>
  <si>
    <t>NS-202606-1102</t>
  </si>
  <si>
    <t>INV-307661</t>
  </si>
  <si>
    <t>NS-202606-1103</t>
  </si>
  <si>
    <t>INV-420756</t>
  </si>
  <si>
    <t>PO-31561</t>
  </si>
  <si>
    <t>NS-202606-1104</t>
  </si>
  <si>
    <t>INV-150285</t>
  </si>
  <si>
    <t>PO-32728</t>
  </si>
  <si>
    <t>NS-202606-1105</t>
  </si>
  <si>
    <t>INV-833146</t>
  </si>
  <si>
    <t>PO-65242</t>
  </si>
  <si>
    <t>NS-202606-1106</t>
  </si>
  <si>
    <t>INV-500019</t>
  </si>
  <si>
    <t>NS-202606-1107</t>
  </si>
  <si>
    <t>INV-521484</t>
  </si>
  <si>
    <t>NS-202606-1108</t>
  </si>
  <si>
    <t>INV-536089</t>
  </si>
  <si>
    <t>NS-202606-1109</t>
  </si>
  <si>
    <t>INV-570945</t>
  </si>
  <si>
    <t>NS-202606-1110</t>
  </si>
  <si>
    <t>INV-368958</t>
  </si>
  <si>
    <t>PO-40415</t>
  </si>
  <si>
    <t>NS-202606-1111</t>
  </si>
  <si>
    <t>INV-311944</t>
  </si>
  <si>
    <t>PO-48658</t>
  </si>
  <si>
    <t>NS-202606-1112</t>
  </si>
  <si>
    <t>INV-293439</t>
  </si>
  <si>
    <t>PO-32339</t>
  </si>
  <si>
    <t>NS-202606-1113</t>
  </si>
  <si>
    <t>INV-145883</t>
  </si>
  <si>
    <t>NS-202606-1114</t>
  </si>
  <si>
    <t>INV-630154</t>
  </si>
  <si>
    <t>NS-202606-1115</t>
  </si>
  <si>
    <t>INV-683902</t>
  </si>
  <si>
    <t>NS-202606-1116</t>
  </si>
  <si>
    <t>INV-437281</t>
  </si>
  <si>
    <t>PO-34268</t>
  </si>
  <si>
    <t>NS-202606-1117</t>
  </si>
  <si>
    <t>INV-136904</t>
  </si>
  <si>
    <t>PO-54983</t>
  </si>
  <si>
    <t>NS-202606-1118</t>
  </si>
  <si>
    <t>INV-742366</t>
  </si>
  <si>
    <t>NS-202606-1119</t>
  </si>
  <si>
    <t>INV-768040</t>
  </si>
  <si>
    <t>PO-88889</t>
  </si>
  <si>
    <t>NS-202606-1120</t>
  </si>
  <si>
    <t>INV-530305</t>
  </si>
  <si>
    <t>PO-40506</t>
  </si>
  <si>
    <t>NS-202606-1121</t>
  </si>
  <si>
    <t>INV-565455</t>
  </si>
  <si>
    <t>PO-71058</t>
  </si>
  <si>
    <t>NS-202606-1122</t>
  </si>
  <si>
    <t>INV-864733</t>
  </si>
  <si>
    <t>PO-77402</t>
  </si>
  <si>
    <t>NS-202606-1123</t>
  </si>
  <si>
    <t>INV-574291</t>
  </si>
  <si>
    <t>NS-202606-1124</t>
  </si>
  <si>
    <t>INV-124993</t>
  </si>
  <si>
    <t>PO-88322</t>
  </si>
  <si>
    <t>NS-202606-1125</t>
  </si>
  <si>
    <t>INV-431864</t>
  </si>
  <si>
    <t>PO-78888</t>
  </si>
  <si>
    <t>NS-202606-1126</t>
  </si>
  <si>
    <t>INV-155315</t>
  </si>
  <si>
    <t>NS-202606-1127</t>
  </si>
  <si>
    <t>INV-711790</t>
  </si>
  <si>
    <t>PO-39869</t>
  </si>
  <si>
    <t>NS-202606-1128</t>
  </si>
  <si>
    <t>INV-658162</t>
  </si>
  <si>
    <t>PO-82581</t>
  </si>
  <si>
    <t>NS-202606-1129</t>
  </si>
  <si>
    <t>INV-141291</t>
  </si>
  <si>
    <t>PO-48430</t>
  </si>
  <si>
    <t>NS-202606-1130</t>
  </si>
  <si>
    <t>INV-456281</t>
  </si>
  <si>
    <t>NS-202606-1131</t>
  </si>
  <si>
    <t>INV-931292</t>
  </si>
  <si>
    <t>PO-55796</t>
  </si>
  <si>
    <t>NS-202606-1132</t>
  </si>
  <si>
    <t>INV-393859</t>
  </si>
  <si>
    <t>PO-88395</t>
  </si>
  <si>
    <t>NS-202606-1133</t>
  </si>
  <si>
    <t>INV-386089</t>
  </si>
  <si>
    <t>PO-45650</t>
  </si>
  <si>
    <t>NS-202606-1134</t>
  </si>
  <si>
    <t>INV-309340</t>
  </si>
  <si>
    <t>PO-38562</t>
  </si>
  <si>
    <t>NS-202606-1135</t>
  </si>
  <si>
    <t>INV-463058</t>
  </si>
  <si>
    <t>PO-54585</t>
  </si>
  <si>
    <t>NS-202606-1136</t>
  </si>
  <si>
    <t>INV-945389</t>
  </si>
  <si>
    <t>PO-89857</t>
  </si>
  <si>
    <t>NS-202606-1137</t>
  </si>
  <si>
    <t>INV-457705</t>
  </si>
  <si>
    <t>PO-82524</t>
  </si>
  <si>
    <t>NS-202606-1138</t>
  </si>
  <si>
    <t>INV-309213</t>
  </si>
  <si>
    <t>NS-202606-1139</t>
  </si>
  <si>
    <t>INV-755833</t>
  </si>
  <si>
    <t>PO-58375</t>
  </si>
  <si>
    <t>NS-202606-1140</t>
  </si>
  <si>
    <t>INV-183422</t>
  </si>
  <si>
    <t>NS-202606-1141</t>
  </si>
  <si>
    <t>INV-989838</t>
  </si>
  <si>
    <t>PO-42408</t>
  </si>
  <si>
    <t>NS-202606-1142</t>
  </si>
  <si>
    <t>INV-871168</t>
  </si>
  <si>
    <t>PO-69423</t>
  </si>
  <si>
    <t>NS-202606-1143</t>
  </si>
  <si>
    <t>INV-567593</t>
  </si>
  <si>
    <t>NS-202606-1144</t>
  </si>
  <si>
    <t>INV-603787</t>
  </si>
  <si>
    <t>NS-202606-1145</t>
  </si>
  <si>
    <t>INV-587529</t>
  </si>
  <si>
    <t>PO-78822</t>
  </si>
  <si>
    <t>NS-202606-1146</t>
  </si>
  <si>
    <t>INV-499987</t>
  </si>
  <si>
    <t>NS-202606-1147</t>
  </si>
  <si>
    <t>INV-595230</t>
  </si>
  <si>
    <t>NS-202606-1148</t>
  </si>
  <si>
    <t>INV-623382</t>
  </si>
  <si>
    <t>PO-49891</t>
  </si>
  <si>
    <t>NS-202606-1149</t>
  </si>
  <si>
    <t>INV-248350</t>
  </si>
  <si>
    <t>NS-202606-1150</t>
  </si>
  <si>
    <t>INV-741337</t>
  </si>
  <si>
    <t>PO-30849</t>
  </si>
  <si>
    <t>NS-202606-1151</t>
  </si>
  <si>
    <t>INV-537256</t>
  </si>
  <si>
    <t>NS-202606-1152</t>
  </si>
  <si>
    <t>INV-437466</t>
  </si>
  <si>
    <t>NS-202606-1153</t>
  </si>
  <si>
    <t>INV-502803</t>
  </si>
  <si>
    <t>PO-45533</t>
  </si>
  <si>
    <t>NS-202606-1154</t>
  </si>
  <si>
    <t>INV-389627</t>
  </si>
  <si>
    <t>PO-89010</t>
  </si>
  <si>
    <t>NS-202606-1155</t>
  </si>
  <si>
    <t>INV-921752</t>
  </si>
  <si>
    <t>PO-44636</t>
  </si>
  <si>
    <t>NS-202606-1156</t>
  </si>
  <si>
    <t>INV-648931</t>
  </si>
  <si>
    <t>NS-202606-1157</t>
  </si>
  <si>
    <t>INV-254785</t>
  </si>
  <si>
    <t>NS-202606-1158</t>
  </si>
  <si>
    <t>INV-398595</t>
  </si>
  <si>
    <t>PO-50584</t>
  </si>
  <si>
    <t>NS-202606-1159</t>
  </si>
  <si>
    <t>INV-493246</t>
  </si>
  <si>
    <t>PO-86868</t>
  </si>
  <si>
    <t>NS-202606-1160</t>
  </si>
  <si>
    <t>INV-696146</t>
  </si>
  <si>
    <t>PO-51404</t>
  </si>
  <si>
    <t>NS-202606-1161</t>
  </si>
  <si>
    <t>INV-346429</t>
  </si>
  <si>
    <t>PO-34186</t>
  </si>
  <si>
    <t>NS-202606-1162</t>
  </si>
  <si>
    <t>INV-928090</t>
  </si>
  <si>
    <t>PO-79207</t>
  </si>
  <si>
    <t>NS-202606-1163</t>
  </si>
  <si>
    <t>INV-816724</t>
  </si>
  <si>
    <t>NS-202606-1164</t>
  </si>
  <si>
    <t>INV-892684</t>
  </si>
  <si>
    <t>PO-32778</t>
  </si>
  <si>
    <t>NS-202606-1165</t>
  </si>
  <si>
    <t>INV-137754</t>
  </si>
  <si>
    <t>PO-31540</t>
  </si>
  <si>
    <t>NS-202606-1166</t>
  </si>
  <si>
    <t>INV-758169</t>
  </si>
  <si>
    <t>NS-202606-1167</t>
  </si>
  <si>
    <t>INV-511704</t>
  </si>
  <si>
    <t>PO-40476</t>
  </si>
  <si>
    <t>NS-202606-1168</t>
  </si>
  <si>
    <t>INV-871440</t>
  </si>
  <si>
    <t>NS-202606-1169</t>
  </si>
  <si>
    <t>INV-424955</t>
  </si>
  <si>
    <t>NS-202606-1170</t>
  </si>
  <si>
    <t>INV-615566</t>
  </si>
  <si>
    <t>PO-77182</t>
  </si>
  <si>
    <t>NS-202606-1171</t>
  </si>
  <si>
    <t>INV-387552</t>
  </si>
  <si>
    <t>NS-202606-1172</t>
  </si>
  <si>
    <t>INV-785376</t>
  </si>
  <si>
    <t>NS-202606-1173</t>
  </si>
  <si>
    <t>INV-599651</t>
  </si>
  <si>
    <t>PO-47217</t>
  </si>
  <si>
    <t>NS-202606-1174</t>
  </si>
  <si>
    <t>INV-260741</t>
  </si>
  <si>
    <t>PO-88093</t>
  </si>
  <si>
    <t>NS-202606-1175</t>
  </si>
  <si>
    <t>INV-146172</t>
  </si>
  <si>
    <t>PO-58343</t>
  </si>
  <si>
    <t>NS-202606-1176</t>
  </si>
  <si>
    <t>INV-569750</t>
  </si>
  <si>
    <t>NS-202606-1177</t>
  </si>
  <si>
    <t>INV-578420</t>
  </si>
  <si>
    <t>NS-202606-1178</t>
  </si>
  <si>
    <t>INV-708396</t>
  </si>
  <si>
    <t>PO-66111</t>
  </si>
  <si>
    <t>NS-202606-1179</t>
  </si>
  <si>
    <t>INV-552682</t>
  </si>
  <si>
    <t>PO-83361</t>
  </si>
  <si>
    <t>NS-202606-1180</t>
  </si>
  <si>
    <t>INV-755425</t>
  </si>
  <si>
    <t>NS-202606-1181</t>
  </si>
  <si>
    <t>INV-217314</t>
  </si>
  <si>
    <t>NS-202606-1182</t>
  </si>
  <si>
    <t>INV-441298</t>
  </si>
  <si>
    <t>PO-66074</t>
  </si>
  <si>
    <t>NS-202606-1183</t>
  </si>
  <si>
    <t>INV-263264</t>
  </si>
  <si>
    <t>NS-202606-1184</t>
  </si>
  <si>
    <t>INV-668293</t>
  </si>
  <si>
    <t>NS-202606-1185</t>
  </si>
  <si>
    <t>INV-224731</t>
  </si>
  <si>
    <t>PO-49384</t>
  </si>
  <si>
    <t>NS-202606-1186</t>
  </si>
  <si>
    <t>INV-766076</t>
  </si>
  <si>
    <t>PO-52489</t>
  </si>
  <si>
    <t>NS-202606-1187</t>
  </si>
  <si>
    <t>INV-502396</t>
  </si>
  <si>
    <t>PO-50947</t>
  </si>
  <si>
    <t>NS-202606-1188</t>
  </si>
  <si>
    <t>INV-191046</t>
  </si>
  <si>
    <t>NS-202606-1189</t>
  </si>
  <si>
    <t>INV-424863</t>
  </si>
  <si>
    <t>NS-202606-1190</t>
  </si>
  <si>
    <t>INV-566018</t>
  </si>
  <si>
    <t>PO-30674</t>
  </si>
  <si>
    <t>NS-202606-1191</t>
  </si>
  <si>
    <t>INV-614954</t>
  </si>
  <si>
    <t>PO-82514</t>
  </si>
  <si>
    <t>NS-202606-1192</t>
  </si>
  <si>
    <t>INV-361140</t>
  </si>
  <si>
    <t>PO-51719</t>
  </si>
  <si>
    <t>NS-202606-1193</t>
  </si>
  <si>
    <t>INV-834821</t>
  </si>
  <si>
    <t>NS-202606-1194</t>
  </si>
  <si>
    <t>INV-827514</t>
  </si>
  <si>
    <t>NS-202606-1195</t>
  </si>
  <si>
    <t>INV-475015</t>
  </si>
  <si>
    <t>PO-58592</t>
  </si>
  <si>
    <t>NS-202606-1196</t>
  </si>
  <si>
    <t>INV-684443</t>
  </si>
  <si>
    <t>NS-202606-1197</t>
  </si>
  <si>
    <t>INV-835548</t>
  </si>
  <si>
    <t>PO-57083</t>
  </si>
  <si>
    <t>NS-202606-1198</t>
  </si>
  <si>
    <t>INV-950879</t>
  </si>
  <si>
    <t>PO-64377</t>
  </si>
  <si>
    <t>NS-202606-1199</t>
  </si>
  <si>
    <t>INV-667702</t>
  </si>
  <si>
    <t>NS-202606-1200</t>
  </si>
  <si>
    <t>INV-757395</t>
  </si>
  <si>
    <t>PO-79841</t>
  </si>
  <si>
    <t>NorthStar Manufacturing — Invoice Approval KPI Dashboard</t>
  </si>
  <si>
    <t>Dataset regenerated to align with case story: 1,200 invoices/month, ~60% PO, ~40% Non-PO, approval delays, late payment risk, and exception-driven rework.</t>
  </si>
  <si>
    <t>Metric</t>
  </si>
  <si>
    <t>Value</t>
  </si>
  <si>
    <t>Interpretation</t>
  </si>
  <si>
    <t>Open Invoices</t>
  </si>
  <si>
    <t>Overdue Approvals</t>
  </si>
  <si>
    <t>Approved Count</t>
  </si>
  <si>
    <t>Avg Cycle Days</t>
  </si>
  <si>
    <t>Non-PO Count</t>
  </si>
  <si>
    <t>Count</t>
  </si>
  <si>
    <t>Total Invoices</t>
  </si>
  <si>
    <t>Monthly invoice volume</t>
  </si>
  <si>
    <t>PO-Backed %</t>
  </si>
  <si>
    <t>Target story alignment: about 60%</t>
  </si>
  <si>
    <t>Non-PO %</t>
  </si>
  <si>
    <t>Manual review exposure</t>
  </si>
  <si>
    <t>Current AP/approval backlog</t>
  </si>
  <si>
    <t>Approval SLA risk</t>
  </si>
  <si>
    <t>Invoices near/past due and unpaid</t>
  </si>
  <si>
    <t>Late Paid Invoices</t>
  </si>
  <si>
    <t>Confirmed late payments</t>
  </si>
  <si>
    <t>Exception Rate</t>
  </si>
  <si>
    <t>Rework/control risk</t>
  </si>
  <si>
    <t>Avg Approval Cycle Days</t>
  </si>
  <si>
    <t>Receipt to approval</t>
  </si>
  <si>
    <t>&lt; $5,000</t>
  </si>
  <si>
    <t>$5,000-$25,000</t>
  </si>
  <si>
    <t>&gt; $25,000</t>
  </si>
  <si>
    <t>Backup Approver</t>
  </si>
  <si>
    <t>Last Reviewed</t>
  </si>
  <si>
    <t>Delegated Backup Required</t>
  </si>
  <si>
    <t>Invoice Count</t>
  </si>
  <si>
    <t>% of Total</t>
  </si>
  <si>
    <t>Primary Risk</t>
  </si>
  <si>
    <t>Recommended Action</t>
  </si>
  <si>
    <t>Routing delay risk</t>
  </si>
  <si>
    <t>Update department ownership in approval matrix.</t>
  </si>
  <si>
    <t>Audit evidence risk</t>
  </si>
  <si>
    <t>Require supporting docs before approval task is issued.</t>
  </si>
  <si>
    <t>Control / validation risk</t>
  </si>
  <si>
    <t>Require PO before routing or document approved non-PO exception.</t>
  </si>
  <si>
    <t>Payment accuracy risk</t>
  </si>
  <si>
    <t>Validate vendor master data before approval.</t>
  </si>
  <si>
    <t>Duplicate payment risk</t>
  </si>
  <si>
    <t>Apply vendor + invoice number duplicate check.</t>
  </si>
  <si>
    <t>ID</t>
  </si>
  <si>
    <t>Type</t>
  </si>
  <si>
    <t>Requirement</t>
  </si>
  <si>
    <t>Priority</t>
  </si>
  <si>
    <t>Release</t>
  </si>
  <si>
    <t>BR-1</t>
  </si>
  <si>
    <t>Business</t>
  </si>
  <si>
    <t>Reduce manual AP coordination effort</t>
  </si>
  <si>
    <t>High</t>
  </si>
  <si>
    <t>MVP</t>
  </si>
  <si>
    <t>BR-2</t>
  </si>
  <si>
    <t>Improve visibility into invoice status and approval aging</t>
  </si>
  <si>
    <t>BR-3</t>
  </si>
  <si>
    <t>Reduce approval delays and late payment risk</t>
  </si>
  <si>
    <t>BR-4</t>
  </si>
  <si>
    <t>Support approval rules based on department ownership and invoice amount</t>
  </si>
  <si>
    <t>BR-5</t>
  </si>
  <si>
    <t>Support additional review for non-PO invoices</t>
  </si>
  <si>
    <t>BR-6</t>
  </si>
  <si>
    <t>Improve audit readiness and evidence retrieval</t>
  </si>
  <si>
    <t>Phase 2</t>
  </si>
  <si>
    <t>BR-7</t>
  </si>
  <si>
    <t>Functional</t>
  </si>
  <si>
    <t>Capture vendor, invoice number, amount, department, approver, dates, status, exception, and comments</t>
  </si>
  <si>
    <t>BR-8</t>
  </si>
  <si>
    <t>Route invoices under $5,000 to Department Manager</t>
  </si>
  <si>
    <t>BR-9</t>
  </si>
  <si>
    <t>Route invoices from $5,000 to $25,000 to Director</t>
  </si>
  <si>
    <t>BR-10</t>
  </si>
  <si>
    <t>Route invoices over $25,000 to Finance Director</t>
  </si>
  <si>
    <t>BR-11</t>
  </si>
  <si>
    <t>Send automated reminders and escalations for overdue approvals</t>
  </si>
  <si>
    <t>BR-12</t>
  </si>
  <si>
    <t>Non-Functional</t>
  </si>
  <si>
    <t>Use role-based access and maintain auditable approval history</t>
  </si>
  <si>
    <t>User Role</t>
  </si>
  <si>
    <t>Capability</t>
  </si>
  <si>
    <t>Business Value</t>
  </si>
  <si>
    <t>Acceptance Criteria</t>
  </si>
  <si>
    <t>US-1</t>
  </si>
  <si>
    <t>AP Analyst</t>
  </si>
  <si>
    <t>Standardized invoice tracker</t>
  </si>
  <si>
    <t>Track invoice status, aging, and ownership consistently</t>
  </si>
  <si>
    <t>Tracker includes required fields; status values standardized; overdue invoices flagged; exception reason captured</t>
  </si>
  <si>
    <t>US-2</t>
  </si>
  <si>
    <t>Updated approval matrix</t>
  </si>
  <si>
    <t>Route invoices without repeated clarification</t>
  </si>
  <si>
    <t>Matrix includes department, manager, director, backup approver, thresholds, owner, and review date</t>
  </si>
  <si>
    <t>US-3</t>
  </si>
  <si>
    <t>Finance Manager</t>
  </si>
  <si>
    <t>Approval SLA</t>
  </si>
  <si>
    <t>Identify overdue approvals and create accountability</t>
  </si>
  <si>
    <t>SLA start point documented; overdue logic defined; escalation timing documented</t>
  </si>
  <si>
    <t>US-4</t>
  </si>
  <si>
    <t>Weekly aging report</t>
  </si>
  <si>
    <t>See pending invoices, overdue approvals, and late payment risk</t>
  </si>
  <si>
    <t>Report shows pending invoices by approver, department, age, amount, and due date</t>
  </si>
  <si>
    <t>US-5</t>
  </si>
  <si>
    <t>Automated routing</t>
  </si>
  <si>
    <t>Reduce time spent determining approvers</t>
  </si>
  <si>
    <t>Invoices route by department and amount; non-PO invoices flagged</t>
  </si>
  <si>
    <t>US-6</t>
  </si>
  <si>
    <t>Automated reminders</t>
  </si>
  <si>
    <t>Reduce manual follow-up effort</t>
  </si>
  <si>
    <t>Reminders sent by SLA; reminder history visible</t>
  </si>
  <si>
    <t>US-7</t>
  </si>
  <si>
    <t>Escalation workflow</t>
  </si>
  <si>
    <t>Prevent approvals from remaining stuck</t>
  </si>
  <si>
    <t>Escalations occur after overdue thresholds and are visible in reporting</t>
  </si>
  <si>
    <t>US-8</t>
  </si>
  <si>
    <t>Auditor</t>
  </si>
  <si>
    <t>Approval audit trail</t>
  </si>
  <si>
    <t>Retrieve approval evidence efficiently</t>
  </si>
  <si>
    <t>Approval includes approver, date, decision, comments, supporting docs, and retention</t>
  </si>
  <si>
    <t>US-9</t>
  </si>
  <si>
    <t>Future</t>
  </si>
  <si>
    <t>Finance Leadership</t>
  </si>
  <si>
    <t>Dynamics 365 workflow assessment</t>
  </si>
  <si>
    <t>Determine if ERP can support future-state workflow</t>
  </si>
  <si>
    <t>Workflow options, integration points, support needs, cost, and effort documented</t>
  </si>
  <si>
    <t>Phase</t>
  </si>
  <si>
    <t>Timeline</t>
  </si>
  <si>
    <t>Focus</t>
  </si>
  <si>
    <t>Key Activities</t>
  </si>
  <si>
    <t>Deliverables</t>
  </si>
  <si>
    <t>Phase 1</t>
  </si>
  <si>
    <t>Days 1-30</t>
  </si>
  <si>
    <t>Standardize and Stabilize</t>
  </si>
  <si>
    <t>Update approval policy; validate approval matrix; standardize tracker; define exceptions</t>
  </si>
  <si>
    <t>Updated policy, approval matrix, tracker, exception code list</t>
  </si>
  <si>
    <t>Days 31-60</t>
  </si>
  <si>
    <t>Visibility and Accountability</t>
  </si>
  <si>
    <t>Define SLA; build aging report; establish KPI baseline; communicate manager expectations</t>
  </si>
  <si>
    <t>Approval SLA, weekly aging report, KPI baseline</t>
  </si>
  <si>
    <t>Days 61-90</t>
  </si>
  <si>
    <t>Automation Preparation</t>
  </si>
  <si>
    <t>Document workflow requirements; define reminder/escalation rules; test pilot design</t>
  </si>
  <si>
    <t>Workflow requirements, test scenarios, pilot plan</t>
  </si>
  <si>
    <t>Days 91-150</t>
  </si>
  <si>
    <t>Workflow Automation</t>
  </si>
  <si>
    <t>Configure routing, approval queue, reminders, escalations, audit trail, dashboard</t>
  </si>
  <si>
    <t>Automated workflow and dashboard</t>
  </si>
  <si>
    <t>Phase 3</t>
  </si>
  <si>
    <t>Days 151+</t>
  </si>
  <si>
    <t>Long-Term Platform Decision</t>
  </si>
  <si>
    <t>Assess Dynamics 365 workflow vs AP automation software</t>
  </si>
  <si>
    <t>Feasibility assessment, solution recommendation, implementation roadmap</t>
  </si>
  <si>
    <t>Field</t>
  </si>
  <si>
    <t>Definition</t>
  </si>
  <si>
    <t>Unique invoice tracking ID for the simulated NorthStar monthly dataset</t>
  </si>
  <si>
    <t>Vendor invoice dollar value</t>
  </si>
  <si>
    <t>PO or Non-PO; target story alignment is approximately 60% PO and 40% Non-PO</t>
  </si>
  <si>
    <t>Approver authority based on amount threshold</t>
  </si>
  <si>
    <t>Formula: TODAY() - Date Received</t>
  </si>
  <si>
    <t>Formula: Approval Date - Date Received when approved</t>
  </si>
  <si>
    <t>Formula: Payment Due Date - TODAY()</t>
  </si>
  <si>
    <t>Formula-based flag when invoice is pending approval and older than SLA threshold</t>
  </si>
  <si>
    <t>Formula-based flag for unpaid invoices due within five days or past due</t>
  </si>
  <si>
    <t>Common rework/control issue: Missing PO, Missing Documentation, Incorrect Vendor Information, Duplicate Invoice, Unclear Department Ownership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</si>
</sst>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5" formatCode="yyyy\-mm\-dd"/>
    <numFmt numFmtId="166" formatCode="0.0%"/>
    <numFmt numFmtId="167" formatCode="0.0"/>
  </numFmts>
  <fonts count="7">
    <font>
      <sz val="11"/>
      <name val="Carlito"/>
    </font>
    <font>
      <b/>
      <sz val="9"/>
      <color rgb="FFFFFFFF"/>
      <name val="Carlito"/>
    </font>
    <font>
      <b/>
      <sz val="10"/>
      <color rgb="FFFFFFFF"/>
      <name val="Carlito"/>
    </font>
    <font>
      <sz val="10"/>
      <name val="Carlito"/>
    </font>
    <font>
      <i/>
      <sz val="10"/>
      <color rgb="FF374151"/>
      <name val="Carlito"/>
    </font>
    <font>
      <b/>
      <sz val="10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1182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0" fontId="3" fillId="0" borderId="0" xfId="0" applyFont="1"/>
    <xf numFmtId="0" fontId="2" fillId="2" borderId="0" xfId="0" applyFont="1" applyFill="1" applyAlignment="1">
      <alignment horizontal="center" vertical="center" wrapText="1"/>
    </xf>
    <xf numFmtId="0" fontId="5" fillId="0" borderId="0" xfId="0" applyFont="1"/>
    <xf numFmtId="166" fontId="3" fillId="0" borderId="0" xfId="0" applyNumberFormat="1" applyFont="1"/>
    <xf numFmtId="167" fontId="3" fillId="0" borderId="0" xfId="0" applyNumberFormat="1" applyFont="1"/>
    <xf numFmtId="0" fontId="2" fillId="3" borderId="0" xfId="0" applyFont="1" applyFill="1" applyAlignment="1">
      <alignment horizontal="left"/>
    </xf>
    <xf numFmtId="0" fontId="3" fillId="0" borderId="0" xfId="0" applyFont="1"/>
    <xf numFmtId="0" fontId="4" fillId="0" borderId="0" xfId="0" applyFont="1" applyAlignment="1">
      <alignment wrapText="1"/>
    </xf>
    <xf numFmtId="14" fontId="2" fillId="2" borderId="0" xfId="0" applyNumberFormat="1" applyFont="1" applyFill="1" applyAlignment="1">
      <alignment horizontal="center" vertical="center" wrapText="1"/>
    </xf>
    <xf numFmtId="14" fontId="3" fillId="0" borderId="0" xfId="0" applyNumberFormat="1" applyFont="1"/>
    <xf numFmtId="14" fontId="0" fillId="0" borderId="0" xfId="0" applyNumberFormat="1"/>
    <xf numFmtId="14" fontId="1" fillId="2" borderId="0" xfId="0" applyNumberFormat="1" applyFont="1" applyFill="1" applyAlignment="1">
      <alignment horizontal="center" vertical="center" wrapText="1"/>
    </xf>
    <xf numFmtId="44" fontId="1" fillId="2" borderId="0" xfId="1" applyFont="1" applyFill="1" applyAlignment="1">
      <alignment horizontal="center" vertical="center" wrapText="1"/>
    </xf>
    <xf numFmtId="44" fontId="0" fillId="0" borderId="0" xfId="1" applyFont="1"/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9"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CACA"/>
        </patternFill>
      </fill>
    </dxf>
    <dxf>
      <font>
        <color rgb="FF075985"/>
      </font>
      <fill>
        <patternFill patternType="solid">
          <bgColor rgb="FFE0F2FE"/>
        </patternFill>
      </fill>
    </dxf>
    <dxf>
      <alignment horizontal="center" textRotation="0" indent="0" justifyLastLine="0" shrinkToFit="0" readingOrder="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Open Invoices</c:v>
          </c:tx>
          <c:invertIfNegative val="1"/>
          <c:cat>
            <c:strRef>
              <c:f>'KPI Dashboard'!$E$5:$E$14</c:f>
              <c:strCache>
                <c:ptCount val="10"/>
                <c:pt idx="0">
                  <c:v>Lena Ortiz</c:v>
                </c:pt>
                <c:pt idx="1">
                  <c:v>Marcus Lee</c:v>
                </c:pt>
                <c:pt idx="2">
                  <c:v>Grace Morgan</c:v>
                </c:pt>
                <c:pt idx="3">
                  <c:v>Jordan Blake</c:v>
                </c:pt>
                <c:pt idx="4">
                  <c:v>Ethan Brooks</c:v>
                </c:pt>
                <c:pt idx="5">
                  <c:v>Noah Bennett</c:v>
                </c:pt>
                <c:pt idx="6">
                  <c:v>Tyler Chen</c:v>
                </c:pt>
                <c:pt idx="7">
                  <c:v>Olivia Grant</c:v>
                </c:pt>
                <c:pt idx="8">
                  <c:v>Ava Johnson</c:v>
                </c:pt>
                <c:pt idx="9">
                  <c:v>Evelyn Carter</c:v>
                </c:pt>
              </c:strCache>
            </c:strRef>
          </c:cat>
          <c:val>
            <c:numRef>
              <c:f>'KPI Dashboard'!$F$5:$F$14</c:f>
              <c:numCache>
                <c:formatCode>General</c:formatCode>
                <c:ptCount val="10"/>
                <c:pt idx="0">
                  <c:v>45</c:v>
                </c:pt>
                <c:pt idx="1">
                  <c:v>45</c:v>
                </c:pt>
                <c:pt idx="2">
                  <c:v>44</c:v>
                </c:pt>
                <c:pt idx="3">
                  <c:v>42</c:v>
                </c:pt>
                <c:pt idx="4">
                  <c:v>41</c:v>
                </c:pt>
                <c:pt idx="5">
                  <c:v>41</c:v>
                </c:pt>
                <c:pt idx="6">
                  <c:v>41</c:v>
                </c:pt>
                <c:pt idx="7">
                  <c:v>41</c:v>
                </c:pt>
                <c:pt idx="8">
                  <c:v>37</c:v>
                </c:pt>
                <c:pt idx="9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28-444A-878C-CE4107CC224A}"/>
            </c:ext>
          </c:extLst>
        </c:ser>
        <c:ser>
          <c:idx val="1"/>
          <c:order val="1"/>
          <c:tx>
            <c:v>Late Payment Risk</c:v>
          </c:tx>
          <c:invertIfNegative val="1"/>
          <c:cat>
            <c:strRef>
              <c:f>'KPI Dashboard'!$E$5:$E$14</c:f>
              <c:strCache>
                <c:ptCount val="10"/>
                <c:pt idx="0">
                  <c:v>Lena Ortiz</c:v>
                </c:pt>
                <c:pt idx="1">
                  <c:v>Marcus Lee</c:v>
                </c:pt>
                <c:pt idx="2">
                  <c:v>Grace Morgan</c:v>
                </c:pt>
                <c:pt idx="3">
                  <c:v>Jordan Blake</c:v>
                </c:pt>
                <c:pt idx="4">
                  <c:v>Ethan Brooks</c:v>
                </c:pt>
                <c:pt idx="5">
                  <c:v>Noah Bennett</c:v>
                </c:pt>
                <c:pt idx="6">
                  <c:v>Tyler Chen</c:v>
                </c:pt>
                <c:pt idx="7">
                  <c:v>Olivia Grant</c:v>
                </c:pt>
                <c:pt idx="8">
                  <c:v>Ava Johnson</c:v>
                </c:pt>
                <c:pt idx="9">
                  <c:v>Evelyn Carter</c:v>
                </c:pt>
              </c:strCache>
            </c:strRef>
          </c:cat>
          <c:val>
            <c:numRef>
              <c:f>'KPI Dashboard'!$H$5:$H$14</c:f>
              <c:numCache>
                <c:formatCode>General</c:formatCode>
                <c:ptCount val="10"/>
                <c:pt idx="0">
                  <c:v>10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10</c:v>
                </c:pt>
                <c:pt idx="6">
                  <c:v>10</c:v>
                </c:pt>
                <c:pt idx="7">
                  <c:v>6</c:v>
                </c:pt>
                <c:pt idx="8">
                  <c:v>13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28-444A-878C-CE4107CC2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Avg Cycle Days</c:v>
          </c:tx>
          <c:invertIfNegative val="1"/>
          <c:cat>
            <c:strRef>
              <c:f>'KPI Dashboard'!$J$5:$J$16</c:f>
              <c:strCache>
                <c:ptCount val="12"/>
                <c:pt idx="0">
                  <c:v>Maintenance</c:v>
                </c:pt>
                <c:pt idx="1">
                  <c:v>Production</c:v>
                </c:pt>
                <c:pt idx="2">
                  <c:v>Facilities</c:v>
                </c:pt>
                <c:pt idx="3">
                  <c:v>Operations</c:v>
                </c:pt>
                <c:pt idx="4">
                  <c:v>IT</c:v>
                </c:pt>
                <c:pt idx="5">
                  <c:v>Engineering</c:v>
                </c:pt>
                <c:pt idx="6">
                  <c:v>Finance</c:v>
                </c:pt>
                <c:pt idx="7">
                  <c:v>Sales</c:v>
                </c:pt>
                <c:pt idx="8">
                  <c:v>Logistics</c:v>
                </c:pt>
                <c:pt idx="9">
                  <c:v>Procurement</c:v>
                </c:pt>
                <c:pt idx="10">
                  <c:v>Quality</c:v>
                </c:pt>
                <c:pt idx="11">
                  <c:v>HR</c:v>
                </c:pt>
              </c:strCache>
            </c:strRef>
          </c:cat>
          <c:val>
            <c:numRef>
              <c:f>'KPI Dashboard'!$L$5:$L$16</c:f>
              <c:numCache>
                <c:formatCode>General</c:formatCode>
                <c:ptCount val="12"/>
                <c:pt idx="0">
                  <c:v>10.105882352941176</c:v>
                </c:pt>
                <c:pt idx="1">
                  <c:v>9.875</c:v>
                </c:pt>
                <c:pt idx="2">
                  <c:v>8.4177215189873422</c:v>
                </c:pt>
                <c:pt idx="3">
                  <c:v>8.40625</c:v>
                </c:pt>
                <c:pt idx="4">
                  <c:v>7.9846153846153847</c:v>
                </c:pt>
                <c:pt idx="5">
                  <c:v>7.7866666666666671</c:v>
                </c:pt>
                <c:pt idx="6">
                  <c:v>7.6229508196721314</c:v>
                </c:pt>
                <c:pt idx="7">
                  <c:v>7.2592592592592595</c:v>
                </c:pt>
                <c:pt idx="8">
                  <c:v>7.0869565217391308</c:v>
                </c:pt>
                <c:pt idx="9">
                  <c:v>7.0289855072463769</c:v>
                </c:pt>
                <c:pt idx="10">
                  <c:v>6.9701492537313436</c:v>
                </c:pt>
                <c:pt idx="11">
                  <c:v>6.53125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01-490D-B310-6D190C06B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Exception Count</c:v>
          </c:tx>
          <c:invertIfNegative val="1"/>
          <c:cat>
            <c:strRef>
              <c:f>'KPI Dashboard'!$O$5:$O$9</c:f>
              <c:strCache>
                <c:ptCount val="5"/>
                <c:pt idx="0">
                  <c:v>Unclear Department Ownership</c:v>
                </c:pt>
                <c:pt idx="1">
                  <c:v>Missing Documentation</c:v>
                </c:pt>
                <c:pt idx="2">
                  <c:v>Missing PO</c:v>
                </c:pt>
                <c:pt idx="3">
                  <c:v>Incorrect Vendor Information</c:v>
                </c:pt>
                <c:pt idx="4">
                  <c:v>Duplicate Invoice</c:v>
                </c:pt>
              </c:strCache>
            </c:strRef>
          </c:cat>
          <c:val>
            <c:numRef>
              <c:f>'KPI Dashboard'!$P$5:$P$9</c:f>
              <c:numCache>
                <c:formatCode>General</c:formatCode>
                <c:ptCount val="5"/>
                <c:pt idx="0">
                  <c:v>124</c:v>
                </c:pt>
                <c:pt idx="1">
                  <c:v>114</c:v>
                </c:pt>
                <c:pt idx="2">
                  <c:v>59</c:v>
                </c:pt>
                <c:pt idx="3">
                  <c:v>37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21-491D-B538-777BEB79E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16</xdr:col>
      <xdr:colOff>0</xdr:colOff>
      <xdr:row>32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8</xdr:col>
      <xdr:colOff>0</xdr:colOff>
      <xdr:row>50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Tracker" displayName="InvoiceTracker" ref="A1:V1201">
  <tableColumns count="22">
    <tableColumn id="1" xr3:uid="{00000000-0010-0000-0000-000001000000}" name="Invoice ID"/>
    <tableColumn id="2" xr3:uid="{00000000-0010-0000-0000-000002000000}" name="Vendor Name"/>
    <tableColumn id="3" xr3:uid="{00000000-0010-0000-0000-000003000000}" name="Invoice Number"/>
    <tableColumn id="4" xr3:uid="{00000000-0010-0000-0000-000004000000}" name="Invoice Amount" dataCellStyle="Currency"/>
    <tableColumn id="5" xr3:uid="{00000000-0010-0000-0000-000005000000}" name="Department"/>
    <tableColumn id="6" xr3:uid="{00000000-0010-0000-0000-000006000000}" name="Invoice Type"/>
    <tableColumn id="7" xr3:uid="{00000000-0010-0000-0000-000007000000}" name="PO Number"/>
    <tableColumn id="8" xr3:uid="{00000000-0010-0000-0000-000008000000}" name="Approver"/>
    <tableColumn id="9" xr3:uid="{00000000-0010-0000-0000-000009000000}" name="Approval Level"/>
    <tableColumn id="10" xr3:uid="{00000000-0010-0000-0000-00000A000000}" name="Date Received" dataDxfId="5"/>
    <tableColumn id="11" xr3:uid="{00000000-0010-0000-0000-00000B000000}" name="Payment Terms" dataDxfId="3"/>
    <tableColumn id="12" xr3:uid="{00000000-0010-0000-0000-00000C000000}" name="Payment Due Date" dataDxfId="4"/>
    <tableColumn id="13" xr3:uid="{00000000-0010-0000-0000-00000D000000}" name="Status"/>
    <tableColumn id="14" xr3:uid="{00000000-0010-0000-0000-00000E000000}" name="Exception Type"/>
    <tableColumn id="15" xr3:uid="{00000000-0010-0000-0000-00000F000000}" name="Approval Date" dataDxfId="7"/>
    <tableColumn id="16" xr3:uid="{00000000-0010-0000-0000-000010000000}" name="Payment Date" dataDxfId="6"/>
    <tableColumn id="17" xr3:uid="{00000000-0010-0000-0000-000011000000}" name="Invoice Age Days"/>
    <tableColumn id="18" xr3:uid="{00000000-0010-0000-0000-000012000000}" name="Approval Cycle Days"/>
    <tableColumn id="19" xr3:uid="{00000000-0010-0000-0000-000013000000}" name="Days Until Due"/>
    <tableColumn id="20" xr3:uid="{00000000-0010-0000-0000-000014000000}" name="Overdue Approval Flag"/>
    <tableColumn id="21" xr3:uid="{00000000-0010-0000-0000-000015000000}" name="Late Payment Risk"/>
    <tableColumn id="22" xr3:uid="{00000000-0010-0000-0000-000016000000}" name="Comme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pprovalMatrix" displayName="ApprovalMatrix" ref="A1:H13">
  <tableColumns count="8">
    <tableColumn id="1" xr3:uid="{00000000-0010-0000-0100-000001000000}" name="Department"/>
    <tableColumn id="2" xr3:uid="{00000000-0010-0000-0100-000002000000}" name="Department Manager"/>
    <tableColumn id="3" xr3:uid="{00000000-0010-0000-0100-000003000000}" name="Director"/>
    <tableColumn id="4" xr3:uid="{00000000-0010-0000-0100-000004000000}" name="&lt; $5,000"/>
    <tableColumn id="5" xr3:uid="{00000000-0010-0000-0100-000005000000}" name="$5,000-$25,000"/>
    <tableColumn id="6" xr3:uid="{00000000-0010-0000-0100-000006000000}" name="&gt; $25,000"/>
    <tableColumn id="7" xr3:uid="{00000000-0010-0000-0100-000007000000}" name="Backup Approver"/>
    <tableColumn id="8" xr3:uid="{00000000-0010-0000-0100-000008000000}" name="Last Reviewed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xceptionSummary" displayName="ExceptionSummary" ref="A1:E6">
  <tableColumns count="5">
    <tableColumn id="1" xr3:uid="{00000000-0010-0000-0200-000001000000}" name="Exception Type"/>
    <tableColumn id="2" xr3:uid="{00000000-0010-0000-0200-000002000000}" name="Invoice Count"/>
    <tableColumn id="3" xr3:uid="{00000000-0010-0000-0200-000003000000}" name="% of Total"/>
    <tableColumn id="4" xr3:uid="{00000000-0010-0000-0200-000004000000}" name="Primary Risk"/>
    <tableColumn id="5" xr3:uid="{00000000-0010-0000-0200-000005000000}" name="Recommended Ac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usinessRequirements" displayName="BusinessRequirements" ref="A1:E13">
  <tableColumns count="5">
    <tableColumn id="1" xr3:uid="{00000000-0010-0000-0300-000001000000}" name="ID"/>
    <tableColumn id="2" xr3:uid="{00000000-0010-0000-0300-000002000000}" name="Type"/>
    <tableColumn id="3" xr3:uid="{00000000-0010-0000-0300-000003000000}" name="Requirement"/>
    <tableColumn id="4" xr3:uid="{00000000-0010-0000-0300-000004000000}" name="Priority"/>
    <tableColumn id="5" xr3:uid="{00000000-0010-0000-0300-000005000000}" name="Releas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UserStories" displayName="UserStories" ref="A1:F10">
  <tableColumns count="6">
    <tableColumn id="1" xr3:uid="{00000000-0010-0000-0400-000001000000}" name="ID"/>
    <tableColumn id="2" xr3:uid="{00000000-0010-0000-0400-000002000000}" name="Release"/>
    <tableColumn id="3" xr3:uid="{00000000-0010-0000-0400-000003000000}" name="User Role"/>
    <tableColumn id="4" xr3:uid="{00000000-0010-0000-0400-000004000000}" name="Capability"/>
    <tableColumn id="5" xr3:uid="{00000000-0010-0000-0400-000005000000}" name="Business Value"/>
    <tableColumn id="6" xr3:uid="{00000000-0010-0000-0400-000006000000}" name="Acceptance Criteri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oadmap" displayName="Roadmap" ref="A1:E6">
  <tableColumns count="5">
    <tableColumn id="1" xr3:uid="{00000000-0010-0000-0500-000001000000}" name="Phase"/>
    <tableColumn id="2" xr3:uid="{00000000-0010-0000-0500-000002000000}" name="Timeline"/>
    <tableColumn id="3" xr3:uid="{00000000-0010-0000-0500-000003000000}" name="Focus"/>
    <tableColumn id="4" xr3:uid="{00000000-0010-0000-0500-000004000000}" name="Key Activities"/>
    <tableColumn id="5" xr3:uid="{00000000-0010-0000-0500-000005000000}" name="Deliverabl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ataDictionary" displayName="DataDictionary" ref="A1:B11">
  <tableColumns count="2">
    <tableColumn id="1" xr3:uid="{00000000-0010-0000-0600-000001000000}" name="Field"/>
    <tableColumn id="2" xr3:uid="{00000000-0010-0000-0600-000002000000}" name="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01"/>
  <sheetViews>
    <sheetView tabSelected="1" workbookViewId="0">
      <selection activeCell="X9" sqref="X9"/>
    </sheetView>
  </sheetViews>
  <sheetFormatPr defaultRowHeight="14"/>
  <cols>
    <col min="1" max="1" width="14.58203125" bestFit="1" customWidth="1"/>
    <col min="2" max="2" width="21" bestFit="1" customWidth="1"/>
    <col min="3" max="3" width="12.33203125" bestFit="1" customWidth="1"/>
    <col min="4" max="4" width="12.25" style="16" bestFit="1" customWidth="1"/>
    <col min="5" max="5" width="11" bestFit="1" customWidth="1"/>
    <col min="6" max="6" width="10.1640625" bestFit="1" customWidth="1"/>
    <col min="7" max="7" width="9.1640625" bestFit="1" customWidth="1"/>
    <col min="8" max="8" width="14" bestFit="1" customWidth="1"/>
    <col min="9" max="9" width="17.83203125" bestFit="1" customWidth="1"/>
    <col min="10" max="10" width="11.4140625" style="13" bestFit="1" customWidth="1"/>
    <col min="11" max="11" width="12.33203125" style="17" bestFit="1" customWidth="1"/>
    <col min="12" max="12" width="14.4140625" style="13" bestFit="1" customWidth="1"/>
    <col min="13" max="13" width="15.9140625" bestFit="1" customWidth="1"/>
    <col min="14" max="14" width="25.9140625" bestFit="1" customWidth="1"/>
    <col min="15" max="15" width="11.08203125" style="13" bestFit="1" customWidth="1"/>
    <col min="16" max="16" width="11" style="13" bestFit="1" customWidth="1"/>
    <col min="17" max="17" width="13.58203125" bestFit="1" customWidth="1"/>
    <col min="18" max="18" width="16.08203125" bestFit="1" customWidth="1"/>
    <col min="19" max="19" width="11.5" bestFit="1" customWidth="1"/>
    <col min="20" max="20" width="17.75" bestFit="1" customWidth="1"/>
    <col min="21" max="21" width="14.5" bestFit="1" customWidth="1"/>
    <col min="22" max="22" width="47.9140625" bestFit="1" customWidth="1"/>
  </cols>
  <sheetData>
    <row r="1" spans="1:22" ht="22.65" customHeight="1">
      <c r="A1" s="1" t="s">
        <v>0</v>
      </c>
      <c r="B1" s="1" t="s">
        <v>1</v>
      </c>
      <c r="C1" s="1" t="s">
        <v>2</v>
      </c>
      <c r="D1" s="1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4" t="s">
        <v>9</v>
      </c>
      <c r="K1" s="2" t="s">
        <v>10</v>
      </c>
      <c r="L1" s="14" t="s">
        <v>11</v>
      </c>
      <c r="M1" s="1" t="s">
        <v>12</v>
      </c>
      <c r="N1" s="1" t="s">
        <v>13</v>
      </c>
      <c r="O1" s="14" t="s">
        <v>14</v>
      </c>
      <c r="P1" s="14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 s="16">
        <v>1501.38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s="13">
        <v>46150</v>
      </c>
      <c r="K2" s="17" t="s">
        <v>30</v>
      </c>
      <c r="L2" s="13">
        <v>46165</v>
      </c>
      <c r="M2" t="s">
        <v>31</v>
      </c>
      <c r="N2" t="s">
        <v>32</v>
      </c>
      <c r="O2" s="13">
        <v>46152</v>
      </c>
      <c r="P2" s="13">
        <v>46154</v>
      </c>
      <c r="Q2">
        <f t="shared" ref="Q2:Q65" ca="1" si="0">IF(J2="","",TODAY()-J2)</f>
        <v>39</v>
      </c>
      <c r="R2">
        <f t="shared" ref="R2:R65" si="1">IF(O2="","",O2-J2)</f>
        <v>2</v>
      </c>
      <c r="S2">
        <f t="shared" ref="S2:S65" ca="1" si="2">IF(L2="","",L2-TODAY())</f>
        <v>-24</v>
      </c>
      <c r="T2" t="str">
        <f t="shared" ref="T2:T65" ca="1" si="3">IF(AND(M2="Pending Approval",Q2&gt;5),"Overdue","On Track")</f>
        <v>On Track</v>
      </c>
      <c r="U2" t="str">
        <f t="shared" ref="U2:U65" ca="1" si="4">IF(AND(M2&lt;&gt;"Paid",S2&lt;=5),"At Risk","Normal")</f>
        <v>Normal</v>
      </c>
      <c r="V2" t="s">
        <v>33</v>
      </c>
    </row>
    <row r="3" spans="1:22">
      <c r="A3" t="s">
        <v>34</v>
      </c>
      <c r="B3" t="s">
        <v>35</v>
      </c>
      <c r="C3" t="s">
        <v>36</v>
      </c>
      <c r="D3" s="16">
        <v>1154.71</v>
      </c>
      <c r="E3" t="s">
        <v>37</v>
      </c>
      <c r="F3" t="s">
        <v>38</v>
      </c>
      <c r="H3" t="s">
        <v>39</v>
      </c>
      <c r="I3" t="s">
        <v>29</v>
      </c>
      <c r="J3" s="13">
        <v>46178</v>
      </c>
      <c r="K3" s="17" t="s">
        <v>40</v>
      </c>
      <c r="L3" s="13">
        <v>46208</v>
      </c>
      <c r="M3" t="s">
        <v>41</v>
      </c>
      <c r="N3" t="s">
        <v>32</v>
      </c>
      <c r="Q3">
        <f t="shared" ca="1" si="0"/>
        <v>11</v>
      </c>
      <c r="R3" t="str">
        <f t="shared" si="1"/>
        <v/>
      </c>
      <c r="S3">
        <f t="shared" ca="1" si="2"/>
        <v>19</v>
      </c>
      <c r="T3" t="str">
        <f t="shared" ca="1" si="3"/>
        <v>Overdue</v>
      </c>
      <c r="U3" t="str">
        <f t="shared" ca="1" si="4"/>
        <v>Normal</v>
      </c>
      <c r="V3" t="s">
        <v>42</v>
      </c>
    </row>
    <row r="4" spans="1:22">
      <c r="A4" t="s">
        <v>43</v>
      </c>
      <c r="B4" t="s">
        <v>44</v>
      </c>
      <c r="C4" t="s">
        <v>45</v>
      </c>
      <c r="D4" s="16">
        <v>3723.9</v>
      </c>
      <c r="E4" t="s">
        <v>46</v>
      </c>
      <c r="F4" t="s">
        <v>26</v>
      </c>
      <c r="G4" t="s">
        <v>47</v>
      </c>
      <c r="H4" t="s">
        <v>48</v>
      </c>
      <c r="I4" t="s">
        <v>29</v>
      </c>
      <c r="J4" s="13">
        <v>46150</v>
      </c>
      <c r="K4" s="17" t="s">
        <v>49</v>
      </c>
      <c r="L4" s="13">
        <v>46195</v>
      </c>
      <c r="M4" t="s">
        <v>31</v>
      </c>
      <c r="N4" t="s">
        <v>50</v>
      </c>
      <c r="O4" s="13">
        <v>46164</v>
      </c>
      <c r="P4" s="13">
        <v>46168</v>
      </c>
      <c r="Q4">
        <f t="shared" ca="1" si="0"/>
        <v>39</v>
      </c>
      <c r="R4">
        <f t="shared" si="1"/>
        <v>14</v>
      </c>
      <c r="S4">
        <f t="shared" ca="1" si="2"/>
        <v>6</v>
      </c>
      <c r="T4" t="str">
        <f t="shared" ca="1" si="3"/>
        <v>On Track</v>
      </c>
      <c r="U4" t="str">
        <f t="shared" ca="1" si="4"/>
        <v>Normal</v>
      </c>
      <c r="V4" t="s">
        <v>51</v>
      </c>
    </row>
    <row r="5" spans="1:22">
      <c r="A5" t="s">
        <v>52</v>
      </c>
      <c r="B5" t="s">
        <v>53</v>
      </c>
      <c r="C5" t="s">
        <v>54</v>
      </c>
      <c r="D5" s="16">
        <v>1583.96</v>
      </c>
      <c r="E5" t="s">
        <v>55</v>
      </c>
      <c r="F5" t="s">
        <v>38</v>
      </c>
      <c r="H5" t="s">
        <v>56</v>
      </c>
      <c r="I5" t="s">
        <v>29</v>
      </c>
      <c r="J5" s="13">
        <v>46167</v>
      </c>
      <c r="K5" s="17" t="s">
        <v>57</v>
      </c>
      <c r="L5" s="13">
        <v>46197</v>
      </c>
      <c r="M5" t="s">
        <v>31</v>
      </c>
      <c r="N5" t="s">
        <v>58</v>
      </c>
      <c r="O5" s="13">
        <v>46182</v>
      </c>
      <c r="P5" s="13">
        <v>46183</v>
      </c>
      <c r="Q5">
        <f t="shared" ca="1" si="0"/>
        <v>22</v>
      </c>
      <c r="R5">
        <f t="shared" si="1"/>
        <v>15</v>
      </c>
      <c r="S5">
        <f t="shared" ca="1" si="2"/>
        <v>8</v>
      </c>
      <c r="T5" t="str">
        <f t="shared" ca="1" si="3"/>
        <v>On Track</v>
      </c>
      <c r="U5" t="str">
        <f t="shared" ca="1" si="4"/>
        <v>Normal</v>
      </c>
      <c r="V5" t="s">
        <v>59</v>
      </c>
    </row>
    <row r="6" spans="1:22">
      <c r="A6" t="s">
        <v>60</v>
      </c>
      <c r="B6" t="s">
        <v>44</v>
      </c>
      <c r="C6" t="s">
        <v>61</v>
      </c>
      <c r="D6" s="16">
        <v>1909.99</v>
      </c>
      <c r="E6" t="s">
        <v>62</v>
      </c>
      <c r="F6" t="s">
        <v>26</v>
      </c>
      <c r="G6" t="s">
        <v>63</v>
      </c>
      <c r="H6" t="s">
        <v>64</v>
      </c>
      <c r="I6" t="s">
        <v>29</v>
      </c>
      <c r="J6" s="13">
        <v>46186</v>
      </c>
      <c r="K6" s="17" t="s">
        <v>49</v>
      </c>
      <c r="L6" s="13">
        <v>46231</v>
      </c>
      <c r="M6" t="s">
        <v>65</v>
      </c>
      <c r="N6" t="s">
        <v>32</v>
      </c>
      <c r="Q6">
        <f t="shared" ca="1" si="0"/>
        <v>3</v>
      </c>
      <c r="R6" t="str">
        <f t="shared" si="1"/>
        <v/>
      </c>
      <c r="S6">
        <f t="shared" ca="1" si="2"/>
        <v>42</v>
      </c>
      <c r="T6" t="str">
        <f t="shared" ca="1" si="3"/>
        <v>On Track</v>
      </c>
      <c r="U6" t="str">
        <f t="shared" ca="1" si="4"/>
        <v>Normal</v>
      </c>
    </row>
    <row r="7" spans="1:22">
      <c r="A7" t="s">
        <v>66</v>
      </c>
      <c r="B7" t="s">
        <v>67</v>
      </c>
      <c r="C7" t="s">
        <v>68</v>
      </c>
      <c r="D7" s="16">
        <v>2353.2800000000002</v>
      </c>
      <c r="E7" t="s">
        <v>69</v>
      </c>
      <c r="F7" t="s">
        <v>26</v>
      </c>
      <c r="G7" t="s">
        <v>70</v>
      </c>
      <c r="H7" t="s">
        <v>71</v>
      </c>
      <c r="I7" t="s">
        <v>29</v>
      </c>
      <c r="J7" s="13">
        <v>46188</v>
      </c>
      <c r="K7" s="17" t="s">
        <v>57</v>
      </c>
      <c r="L7" s="13">
        <v>46218</v>
      </c>
      <c r="M7" t="s">
        <v>41</v>
      </c>
      <c r="N7" t="s">
        <v>32</v>
      </c>
      <c r="Q7">
        <f t="shared" ca="1" si="0"/>
        <v>1</v>
      </c>
      <c r="R7" t="str">
        <f t="shared" si="1"/>
        <v/>
      </c>
      <c r="S7">
        <f t="shared" ca="1" si="2"/>
        <v>29</v>
      </c>
      <c r="T7" t="str">
        <f t="shared" ca="1" si="3"/>
        <v>On Track</v>
      </c>
      <c r="U7" t="str">
        <f t="shared" ca="1" si="4"/>
        <v>Normal</v>
      </c>
      <c r="V7" t="s">
        <v>42</v>
      </c>
    </row>
    <row r="8" spans="1:22">
      <c r="A8" t="s">
        <v>72</v>
      </c>
      <c r="B8" t="s">
        <v>73</v>
      </c>
      <c r="C8" t="s">
        <v>74</v>
      </c>
      <c r="D8" s="16">
        <v>1209.97</v>
      </c>
      <c r="E8" t="s">
        <v>55</v>
      </c>
      <c r="F8" t="s">
        <v>38</v>
      </c>
      <c r="H8" t="s">
        <v>56</v>
      </c>
      <c r="I8" t="s">
        <v>29</v>
      </c>
      <c r="J8" s="13">
        <v>46189</v>
      </c>
      <c r="K8" s="17" t="s">
        <v>49</v>
      </c>
      <c r="L8" s="13">
        <v>46234</v>
      </c>
      <c r="M8" t="s">
        <v>41</v>
      </c>
      <c r="N8" t="s">
        <v>32</v>
      </c>
      <c r="Q8">
        <f t="shared" ca="1" si="0"/>
        <v>0</v>
      </c>
      <c r="R8" t="str">
        <f t="shared" si="1"/>
        <v/>
      </c>
      <c r="S8">
        <f t="shared" ca="1" si="2"/>
        <v>45</v>
      </c>
      <c r="T8" t="str">
        <f t="shared" ca="1" si="3"/>
        <v>On Track</v>
      </c>
      <c r="U8" t="str">
        <f t="shared" ca="1" si="4"/>
        <v>Normal</v>
      </c>
      <c r="V8" t="s">
        <v>42</v>
      </c>
    </row>
    <row r="9" spans="1:22">
      <c r="A9" t="s">
        <v>75</v>
      </c>
      <c r="B9" t="s">
        <v>76</v>
      </c>
      <c r="C9" t="s">
        <v>77</v>
      </c>
      <c r="D9" s="16">
        <v>3648.91</v>
      </c>
      <c r="E9" t="s">
        <v>78</v>
      </c>
      <c r="F9" t="s">
        <v>26</v>
      </c>
      <c r="G9" t="s">
        <v>79</v>
      </c>
      <c r="H9" t="s">
        <v>80</v>
      </c>
      <c r="I9" t="s">
        <v>29</v>
      </c>
      <c r="J9" s="13">
        <v>46169</v>
      </c>
      <c r="K9" s="17" t="s">
        <v>49</v>
      </c>
      <c r="L9" s="13">
        <v>46214</v>
      </c>
      <c r="M9" t="s">
        <v>31</v>
      </c>
      <c r="N9" t="s">
        <v>32</v>
      </c>
      <c r="O9" s="13">
        <v>46172</v>
      </c>
      <c r="P9" s="13">
        <v>46173</v>
      </c>
      <c r="Q9">
        <f t="shared" ca="1" si="0"/>
        <v>20</v>
      </c>
      <c r="R9">
        <f t="shared" si="1"/>
        <v>3</v>
      </c>
      <c r="S9">
        <f t="shared" ca="1" si="2"/>
        <v>25</v>
      </c>
      <c r="T9" t="str">
        <f t="shared" ca="1" si="3"/>
        <v>On Track</v>
      </c>
      <c r="U9" t="str">
        <f t="shared" ca="1" si="4"/>
        <v>Normal</v>
      </c>
      <c r="V9" t="s">
        <v>33</v>
      </c>
    </row>
    <row r="10" spans="1:22">
      <c r="A10" t="s">
        <v>81</v>
      </c>
      <c r="B10" t="s">
        <v>82</v>
      </c>
      <c r="C10" t="s">
        <v>83</v>
      </c>
      <c r="D10" s="16">
        <v>977.92</v>
      </c>
      <c r="E10" t="s">
        <v>25</v>
      </c>
      <c r="F10" t="s">
        <v>38</v>
      </c>
      <c r="H10" t="s">
        <v>28</v>
      </c>
      <c r="I10" t="s">
        <v>29</v>
      </c>
      <c r="J10" s="13">
        <v>46182</v>
      </c>
      <c r="K10" s="17" t="s">
        <v>30</v>
      </c>
      <c r="L10" s="13">
        <v>46197</v>
      </c>
      <c r="M10" t="s">
        <v>84</v>
      </c>
      <c r="N10" t="s">
        <v>32</v>
      </c>
      <c r="O10" s="13">
        <v>46184</v>
      </c>
      <c r="Q10">
        <f t="shared" ca="1" si="0"/>
        <v>7</v>
      </c>
      <c r="R10">
        <f t="shared" si="1"/>
        <v>2</v>
      </c>
      <c r="S10">
        <f t="shared" ca="1" si="2"/>
        <v>8</v>
      </c>
      <c r="T10" t="str">
        <f t="shared" ca="1" si="3"/>
        <v>On Track</v>
      </c>
      <c r="U10" t="str">
        <f t="shared" ca="1" si="4"/>
        <v>Normal</v>
      </c>
    </row>
    <row r="11" spans="1:22">
      <c r="A11" t="s">
        <v>85</v>
      </c>
      <c r="B11" t="s">
        <v>76</v>
      </c>
      <c r="C11" t="s">
        <v>86</v>
      </c>
      <c r="D11" s="16">
        <v>2693.22</v>
      </c>
      <c r="E11" t="s">
        <v>25</v>
      </c>
      <c r="F11" t="s">
        <v>26</v>
      </c>
      <c r="G11" t="s">
        <v>87</v>
      </c>
      <c r="H11" t="s">
        <v>28</v>
      </c>
      <c r="I11" t="s">
        <v>29</v>
      </c>
      <c r="J11" s="13">
        <v>46165</v>
      </c>
      <c r="K11" s="17" t="s">
        <v>30</v>
      </c>
      <c r="L11" s="13">
        <v>46180</v>
      </c>
      <c r="M11" t="s">
        <v>31</v>
      </c>
      <c r="N11" t="s">
        <v>32</v>
      </c>
      <c r="O11" s="13">
        <v>46170</v>
      </c>
      <c r="P11" s="13">
        <v>46176</v>
      </c>
      <c r="Q11">
        <f t="shared" ca="1" si="0"/>
        <v>24</v>
      </c>
      <c r="R11">
        <f t="shared" si="1"/>
        <v>5</v>
      </c>
      <c r="S11">
        <f t="shared" ca="1" si="2"/>
        <v>-9</v>
      </c>
      <c r="T11" t="str">
        <f t="shared" ca="1" si="3"/>
        <v>On Track</v>
      </c>
      <c r="U11" t="str">
        <f t="shared" ca="1" si="4"/>
        <v>Normal</v>
      </c>
      <c r="V11" t="s">
        <v>33</v>
      </c>
    </row>
    <row r="12" spans="1:22">
      <c r="A12" t="s">
        <v>88</v>
      </c>
      <c r="B12" t="s">
        <v>44</v>
      </c>
      <c r="C12" t="s">
        <v>89</v>
      </c>
      <c r="D12" s="16">
        <v>14899.79</v>
      </c>
      <c r="E12" t="s">
        <v>78</v>
      </c>
      <c r="F12" t="s">
        <v>26</v>
      </c>
      <c r="G12" t="s">
        <v>90</v>
      </c>
      <c r="H12" t="s">
        <v>91</v>
      </c>
      <c r="I12" t="s">
        <v>92</v>
      </c>
      <c r="J12" s="13">
        <v>46163</v>
      </c>
      <c r="K12" s="17" t="s">
        <v>57</v>
      </c>
      <c r="L12" s="13">
        <v>46193</v>
      </c>
      <c r="M12" t="s">
        <v>31</v>
      </c>
      <c r="N12" t="s">
        <v>32</v>
      </c>
      <c r="O12" s="13">
        <v>46166</v>
      </c>
      <c r="P12" s="13">
        <v>46173</v>
      </c>
      <c r="Q12">
        <f t="shared" ca="1" si="0"/>
        <v>26</v>
      </c>
      <c r="R12">
        <f t="shared" si="1"/>
        <v>3</v>
      </c>
      <c r="S12">
        <f t="shared" ca="1" si="2"/>
        <v>4</v>
      </c>
      <c r="T12" t="str">
        <f t="shared" ca="1" si="3"/>
        <v>On Track</v>
      </c>
      <c r="U12" t="str">
        <f t="shared" ca="1" si="4"/>
        <v>Normal</v>
      </c>
      <c r="V12" t="s">
        <v>33</v>
      </c>
    </row>
    <row r="13" spans="1:22">
      <c r="A13" t="s">
        <v>93</v>
      </c>
      <c r="B13" t="s">
        <v>94</v>
      </c>
      <c r="C13" t="s">
        <v>95</v>
      </c>
      <c r="D13" s="16">
        <v>338.62</v>
      </c>
      <c r="E13" t="s">
        <v>37</v>
      </c>
      <c r="F13" t="s">
        <v>38</v>
      </c>
      <c r="H13" t="s">
        <v>39</v>
      </c>
      <c r="I13" t="s">
        <v>29</v>
      </c>
      <c r="J13" s="13">
        <v>46163</v>
      </c>
      <c r="K13" s="17" t="s">
        <v>57</v>
      </c>
      <c r="L13" s="13">
        <v>46193</v>
      </c>
      <c r="M13" t="s">
        <v>31</v>
      </c>
      <c r="N13" t="s">
        <v>32</v>
      </c>
      <c r="O13" s="13">
        <v>46166</v>
      </c>
      <c r="P13" s="13">
        <v>46173</v>
      </c>
      <c r="Q13">
        <f t="shared" ca="1" si="0"/>
        <v>26</v>
      </c>
      <c r="R13">
        <f t="shared" si="1"/>
        <v>3</v>
      </c>
      <c r="S13">
        <f t="shared" ca="1" si="2"/>
        <v>4</v>
      </c>
      <c r="T13" t="str">
        <f t="shared" ca="1" si="3"/>
        <v>On Track</v>
      </c>
      <c r="U13" t="str">
        <f t="shared" ca="1" si="4"/>
        <v>Normal</v>
      </c>
      <c r="V13" t="s">
        <v>33</v>
      </c>
    </row>
    <row r="14" spans="1:22">
      <c r="A14" t="s">
        <v>96</v>
      </c>
      <c r="B14" t="s">
        <v>67</v>
      </c>
      <c r="C14" t="s">
        <v>97</v>
      </c>
      <c r="D14" s="16">
        <v>2412.5300000000002</v>
      </c>
      <c r="E14" t="s">
        <v>46</v>
      </c>
      <c r="F14" t="s">
        <v>26</v>
      </c>
      <c r="G14" t="s">
        <v>98</v>
      </c>
      <c r="H14" t="s">
        <v>48</v>
      </c>
      <c r="I14" t="s">
        <v>29</v>
      </c>
      <c r="J14" s="13">
        <v>46177</v>
      </c>
      <c r="K14" s="17" t="s">
        <v>40</v>
      </c>
      <c r="L14" s="13">
        <v>46207</v>
      </c>
      <c r="M14" t="s">
        <v>99</v>
      </c>
      <c r="N14" t="s">
        <v>100</v>
      </c>
      <c r="O14" s="13">
        <v>46189</v>
      </c>
      <c r="Q14">
        <f t="shared" ca="1" si="0"/>
        <v>12</v>
      </c>
      <c r="R14">
        <f t="shared" si="1"/>
        <v>12</v>
      </c>
      <c r="S14">
        <f t="shared" ca="1" si="2"/>
        <v>18</v>
      </c>
      <c r="T14" t="str">
        <f t="shared" ca="1" si="3"/>
        <v>On Track</v>
      </c>
      <c r="U14" t="str">
        <f t="shared" ca="1" si="4"/>
        <v>Normal</v>
      </c>
      <c r="V14" t="s">
        <v>101</v>
      </c>
    </row>
    <row r="15" spans="1:22">
      <c r="A15" t="s">
        <v>102</v>
      </c>
      <c r="B15" t="s">
        <v>103</v>
      </c>
      <c r="C15" t="s">
        <v>104</v>
      </c>
      <c r="D15" s="16">
        <v>13803.98</v>
      </c>
      <c r="E15" t="s">
        <v>62</v>
      </c>
      <c r="F15" t="s">
        <v>26</v>
      </c>
      <c r="G15" t="s">
        <v>105</v>
      </c>
      <c r="H15" t="s">
        <v>106</v>
      </c>
      <c r="I15" t="s">
        <v>92</v>
      </c>
      <c r="J15" s="13">
        <v>46165</v>
      </c>
      <c r="K15" s="17" t="s">
        <v>30</v>
      </c>
      <c r="L15" s="13">
        <v>46180</v>
      </c>
      <c r="M15" t="s">
        <v>31</v>
      </c>
      <c r="N15" t="s">
        <v>32</v>
      </c>
      <c r="O15" s="13">
        <v>46172</v>
      </c>
      <c r="P15" s="13">
        <v>46187</v>
      </c>
      <c r="Q15">
        <f t="shared" ca="1" si="0"/>
        <v>24</v>
      </c>
      <c r="R15">
        <f t="shared" si="1"/>
        <v>7</v>
      </c>
      <c r="S15">
        <f t="shared" ca="1" si="2"/>
        <v>-9</v>
      </c>
      <c r="T15" t="str">
        <f t="shared" ca="1" si="3"/>
        <v>On Track</v>
      </c>
      <c r="U15" t="str">
        <f t="shared" ca="1" si="4"/>
        <v>Normal</v>
      </c>
      <c r="V15" t="s">
        <v>107</v>
      </c>
    </row>
    <row r="16" spans="1:22">
      <c r="A16" t="s">
        <v>108</v>
      </c>
      <c r="B16" t="s">
        <v>109</v>
      </c>
      <c r="C16" t="s">
        <v>110</v>
      </c>
      <c r="D16" s="16">
        <v>556.66999999999996</v>
      </c>
      <c r="E16" t="s">
        <v>111</v>
      </c>
      <c r="F16" t="s">
        <v>26</v>
      </c>
      <c r="G16" t="s">
        <v>112</v>
      </c>
      <c r="H16" t="s">
        <v>113</v>
      </c>
      <c r="I16" t="s">
        <v>29</v>
      </c>
      <c r="J16" s="13">
        <v>46148</v>
      </c>
      <c r="K16" s="17" t="s">
        <v>57</v>
      </c>
      <c r="L16" s="13">
        <v>46178</v>
      </c>
      <c r="M16" t="s">
        <v>31</v>
      </c>
      <c r="N16" t="s">
        <v>32</v>
      </c>
      <c r="O16" s="13">
        <v>46156</v>
      </c>
      <c r="P16" s="13">
        <v>46158</v>
      </c>
      <c r="Q16">
        <f t="shared" ca="1" si="0"/>
        <v>41</v>
      </c>
      <c r="R16">
        <f t="shared" si="1"/>
        <v>8</v>
      </c>
      <c r="S16">
        <f t="shared" ca="1" si="2"/>
        <v>-11</v>
      </c>
      <c r="T16" t="str">
        <f t="shared" ca="1" si="3"/>
        <v>On Track</v>
      </c>
      <c r="U16" t="str">
        <f t="shared" ca="1" si="4"/>
        <v>Normal</v>
      </c>
      <c r="V16" t="s">
        <v>33</v>
      </c>
    </row>
    <row r="17" spans="1:22">
      <c r="A17" t="s">
        <v>114</v>
      </c>
      <c r="B17" t="s">
        <v>115</v>
      </c>
      <c r="C17" t="s">
        <v>116</v>
      </c>
      <c r="D17" s="16">
        <v>3820.02</v>
      </c>
      <c r="E17" t="s">
        <v>37</v>
      </c>
      <c r="F17" t="s">
        <v>38</v>
      </c>
      <c r="H17" t="s">
        <v>39</v>
      </c>
      <c r="I17" t="s">
        <v>29</v>
      </c>
      <c r="J17" s="13">
        <v>46156</v>
      </c>
      <c r="K17" s="17" t="s">
        <v>30</v>
      </c>
      <c r="L17" s="13">
        <v>46171</v>
      </c>
      <c r="M17" t="s">
        <v>31</v>
      </c>
      <c r="N17" t="s">
        <v>32</v>
      </c>
      <c r="O17" s="13">
        <v>46167</v>
      </c>
      <c r="P17" s="13">
        <v>46173</v>
      </c>
      <c r="Q17">
        <f t="shared" ca="1" si="0"/>
        <v>33</v>
      </c>
      <c r="R17">
        <f t="shared" si="1"/>
        <v>11</v>
      </c>
      <c r="S17">
        <f t="shared" ca="1" si="2"/>
        <v>-18</v>
      </c>
      <c r="T17" t="str">
        <f t="shared" ca="1" si="3"/>
        <v>On Track</v>
      </c>
      <c r="U17" t="str">
        <f t="shared" ca="1" si="4"/>
        <v>Normal</v>
      </c>
      <c r="V17" t="s">
        <v>33</v>
      </c>
    </row>
    <row r="18" spans="1:22">
      <c r="A18" t="s">
        <v>117</v>
      </c>
      <c r="B18" t="s">
        <v>118</v>
      </c>
      <c r="C18" t="s">
        <v>119</v>
      </c>
      <c r="D18" s="16">
        <v>32340.04</v>
      </c>
      <c r="E18" t="s">
        <v>111</v>
      </c>
      <c r="F18" t="s">
        <v>26</v>
      </c>
      <c r="G18" t="s">
        <v>120</v>
      </c>
      <c r="H18" t="s">
        <v>121</v>
      </c>
      <c r="I18" t="s">
        <v>122</v>
      </c>
      <c r="J18" s="13">
        <v>46150</v>
      </c>
      <c r="K18" s="17" t="s">
        <v>57</v>
      </c>
      <c r="L18" s="13">
        <v>46180</v>
      </c>
      <c r="M18" t="s">
        <v>31</v>
      </c>
      <c r="N18" t="s">
        <v>32</v>
      </c>
      <c r="O18" s="13">
        <v>46162</v>
      </c>
      <c r="P18" s="13">
        <v>46164</v>
      </c>
      <c r="Q18">
        <f t="shared" ca="1" si="0"/>
        <v>39</v>
      </c>
      <c r="R18">
        <f t="shared" si="1"/>
        <v>12</v>
      </c>
      <c r="S18">
        <f t="shared" ca="1" si="2"/>
        <v>-9</v>
      </c>
      <c r="T18" t="str">
        <f t="shared" ca="1" si="3"/>
        <v>On Track</v>
      </c>
      <c r="U18" t="str">
        <f t="shared" ca="1" si="4"/>
        <v>Normal</v>
      </c>
      <c r="V18" t="s">
        <v>33</v>
      </c>
    </row>
    <row r="19" spans="1:22">
      <c r="A19" t="s">
        <v>123</v>
      </c>
      <c r="B19" t="s">
        <v>124</v>
      </c>
      <c r="C19" t="s">
        <v>125</v>
      </c>
      <c r="D19" s="16">
        <v>6470.01</v>
      </c>
      <c r="E19" t="s">
        <v>126</v>
      </c>
      <c r="F19" t="s">
        <v>38</v>
      </c>
      <c r="H19" t="s">
        <v>127</v>
      </c>
      <c r="I19" t="s">
        <v>92</v>
      </c>
      <c r="J19" s="13">
        <v>46179</v>
      </c>
      <c r="K19" s="17" t="s">
        <v>30</v>
      </c>
      <c r="L19" s="13">
        <v>46194</v>
      </c>
      <c r="M19" t="s">
        <v>65</v>
      </c>
      <c r="N19" t="s">
        <v>32</v>
      </c>
      <c r="Q19">
        <f t="shared" ca="1" si="0"/>
        <v>10</v>
      </c>
      <c r="R19" t="str">
        <f t="shared" si="1"/>
        <v/>
      </c>
      <c r="S19">
        <f t="shared" ca="1" si="2"/>
        <v>5</v>
      </c>
      <c r="T19" t="str">
        <f t="shared" ca="1" si="3"/>
        <v>On Track</v>
      </c>
      <c r="U19" t="str">
        <f t="shared" ca="1" si="4"/>
        <v>At Risk</v>
      </c>
    </row>
    <row r="20" spans="1:22">
      <c r="A20" t="s">
        <v>128</v>
      </c>
      <c r="B20" t="s">
        <v>129</v>
      </c>
      <c r="C20" t="s">
        <v>130</v>
      </c>
      <c r="D20" s="16">
        <v>2440.1799999999998</v>
      </c>
      <c r="E20" t="s">
        <v>46</v>
      </c>
      <c r="F20" t="s">
        <v>38</v>
      </c>
      <c r="H20" t="s">
        <v>48</v>
      </c>
      <c r="I20" t="s">
        <v>29</v>
      </c>
      <c r="J20" s="13">
        <v>46147</v>
      </c>
      <c r="K20" s="17" t="s">
        <v>57</v>
      </c>
      <c r="L20" s="13">
        <v>46177</v>
      </c>
      <c r="M20" t="s">
        <v>31</v>
      </c>
      <c r="N20" t="s">
        <v>32</v>
      </c>
      <c r="O20" s="13">
        <v>46156</v>
      </c>
      <c r="P20" s="13">
        <v>46162</v>
      </c>
      <c r="Q20">
        <f t="shared" ca="1" si="0"/>
        <v>42</v>
      </c>
      <c r="R20">
        <f t="shared" si="1"/>
        <v>9</v>
      </c>
      <c r="S20">
        <f t="shared" ca="1" si="2"/>
        <v>-12</v>
      </c>
      <c r="T20" t="str">
        <f t="shared" ca="1" si="3"/>
        <v>On Track</v>
      </c>
      <c r="U20" t="str">
        <f t="shared" ca="1" si="4"/>
        <v>Normal</v>
      </c>
      <c r="V20" t="s">
        <v>33</v>
      </c>
    </row>
    <row r="21" spans="1:22">
      <c r="A21" t="s">
        <v>131</v>
      </c>
      <c r="B21" t="s">
        <v>67</v>
      </c>
      <c r="C21" t="s">
        <v>132</v>
      </c>
      <c r="D21" s="16">
        <v>954.33</v>
      </c>
      <c r="E21" t="s">
        <v>111</v>
      </c>
      <c r="F21" t="s">
        <v>26</v>
      </c>
      <c r="G21" t="s">
        <v>133</v>
      </c>
      <c r="H21" t="s">
        <v>113</v>
      </c>
      <c r="I21" t="s">
        <v>29</v>
      </c>
      <c r="J21" s="13">
        <v>46181</v>
      </c>
      <c r="K21" s="17" t="s">
        <v>30</v>
      </c>
      <c r="L21" s="13">
        <v>46196</v>
      </c>
      <c r="M21" t="s">
        <v>31</v>
      </c>
      <c r="N21" t="s">
        <v>32</v>
      </c>
      <c r="O21" s="13">
        <v>46182</v>
      </c>
      <c r="P21" s="13">
        <v>46186</v>
      </c>
      <c r="Q21">
        <f t="shared" ca="1" si="0"/>
        <v>8</v>
      </c>
      <c r="R21">
        <f t="shared" si="1"/>
        <v>1</v>
      </c>
      <c r="S21">
        <f t="shared" ca="1" si="2"/>
        <v>7</v>
      </c>
      <c r="T21" t="str">
        <f t="shared" ca="1" si="3"/>
        <v>On Track</v>
      </c>
      <c r="U21" t="str">
        <f t="shared" ca="1" si="4"/>
        <v>Normal</v>
      </c>
      <c r="V21" t="s">
        <v>33</v>
      </c>
    </row>
    <row r="22" spans="1:22">
      <c r="A22" t="s">
        <v>134</v>
      </c>
      <c r="B22" t="s">
        <v>35</v>
      </c>
      <c r="C22" t="s">
        <v>135</v>
      </c>
      <c r="D22" s="16">
        <v>2560.62</v>
      </c>
      <c r="E22" t="s">
        <v>46</v>
      </c>
      <c r="F22" t="s">
        <v>38</v>
      </c>
      <c r="H22" t="s">
        <v>48</v>
      </c>
      <c r="I22" t="s">
        <v>29</v>
      </c>
      <c r="J22" s="13">
        <v>46148</v>
      </c>
      <c r="K22" s="17" t="s">
        <v>30</v>
      </c>
      <c r="L22" s="13">
        <v>46163</v>
      </c>
      <c r="M22" t="s">
        <v>31</v>
      </c>
      <c r="N22" t="s">
        <v>32</v>
      </c>
      <c r="O22" s="13">
        <v>46152</v>
      </c>
      <c r="P22" s="13">
        <v>46153</v>
      </c>
      <c r="Q22">
        <f t="shared" ca="1" si="0"/>
        <v>41</v>
      </c>
      <c r="R22">
        <f t="shared" si="1"/>
        <v>4</v>
      </c>
      <c r="S22">
        <f t="shared" ca="1" si="2"/>
        <v>-26</v>
      </c>
      <c r="T22" t="str">
        <f t="shared" ca="1" si="3"/>
        <v>On Track</v>
      </c>
      <c r="U22" t="str">
        <f t="shared" ca="1" si="4"/>
        <v>Normal</v>
      </c>
      <c r="V22" t="s">
        <v>33</v>
      </c>
    </row>
    <row r="23" spans="1:22">
      <c r="A23" t="s">
        <v>136</v>
      </c>
      <c r="B23" t="s">
        <v>137</v>
      </c>
      <c r="C23" t="s">
        <v>138</v>
      </c>
      <c r="D23" s="16">
        <v>2821.78</v>
      </c>
      <c r="E23" t="s">
        <v>55</v>
      </c>
      <c r="F23" t="s">
        <v>26</v>
      </c>
      <c r="G23" t="s">
        <v>139</v>
      </c>
      <c r="H23" t="s">
        <v>56</v>
      </c>
      <c r="I23" t="s">
        <v>29</v>
      </c>
      <c r="J23" s="13">
        <v>46157</v>
      </c>
      <c r="K23" s="17" t="s">
        <v>49</v>
      </c>
      <c r="L23" s="13">
        <v>46202</v>
      </c>
      <c r="M23" t="s">
        <v>31</v>
      </c>
      <c r="N23" t="s">
        <v>32</v>
      </c>
      <c r="O23" s="13">
        <v>46164</v>
      </c>
      <c r="P23" s="13">
        <v>46170</v>
      </c>
      <c r="Q23">
        <f t="shared" ca="1" si="0"/>
        <v>32</v>
      </c>
      <c r="R23">
        <f t="shared" si="1"/>
        <v>7</v>
      </c>
      <c r="S23">
        <f t="shared" ca="1" si="2"/>
        <v>13</v>
      </c>
      <c r="T23" t="str">
        <f t="shared" ca="1" si="3"/>
        <v>On Track</v>
      </c>
      <c r="U23" t="str">
        <f t="shared" ca="1" si="4"/>
        <v>Normal</v>
      </c>
      <c r="V23" t="s">
        <v>33</v>
      </c>
    </row>
    <row r="24" spans="1:22">
      <c r="A24" t="s">
        <v>140</v>
      </c>
      <c r="B24" t="s">
        <v>124</v>
      </c>
      <c r="C24" t="s">
        <v>141</v>
      </c>
      <c r="D24" s="16">
        <v>23246.82</v>
      </c>
      <c r="E24" t="s">
        <v>142</v>
      </c>
      <c r="F24" t="s">
        <v>26</v>
      </c>
      <c r="G24" t="s">
        <v>143</v>
      </c>
      <c r="H24" t="s">
        <v>144</v>
      </c>
      <c r="I24" t="s">
        <v>92</v>
      </c>
      <c r="J24" s="13">
        <v>46180</v>
      </c>
      <c r="K24" s="17" t="s">
        <v>30</v>
      </c>
      <c r="L24" s="13">
        <v>46195</v>
      </c>
      <c r="M24" t="s">
        <v>145</v>
      </c>
      <c r="N24" t="s">
        <v>32</v>
      </c>
      <c r="O24" s="13">
        <v>46184</v>
      </c>
      <c r="Q24">
        <f t="shared" ca="1" si="0"/>
        <v>9</v>
      </c>
      <c r="R24">
        <f t="shared" si="1"/>
        <v>4</v>
      </c>
      <c r="S24">
        <f t="shared" ca="1" si="2"/>
        <v>6</v>
      </c>
      <c r="T24" t="str">
        <f t="shared" ca="1" si="3"/>
        <v>On Track</v>
      </c>
      <c r="U24" t="str">
        <f t="shared" ca="1" si="4"/>
        <v>Normal</v>
      </c>
    </row>
    <row r="25" spans="1:22">
      <c r="A25" t="s">
        <v>146</v>
      </c>
      <c r="B25" t="s">
        <v>103</v>
      </c>
      <c r="C25" t="s">
        <v>147</v>
      </c>
      <c r="D25" s="16">
        <v>12205.78</v>
      </c>
      <c r="E25" t="s">
        <v>25</v>
      </c>
      <c r="F25" t="s">
        <v>26</v>
      </c>
      <c r="G25" t="s">
        <v>148</v>
      </c>
      <c r="H25" t="s">
        <v>149</v>
      </c>
      <c r="I25" t="s">
        <v>92</v>
      </c>
      <c r="J25" s="13">
        <v>46178</v>
      </c>
      <c r="K25" s="17" t="s">
        <v>49</v>
      </c>
      <c r="L25" s="13">
        <v>46223</v>
      </c>
      <c r="M25" t="s">
        <v>41</v>
      </c>
      <c r="N25" t="s">
        <v>32</v>
      </c>
      <c r="Q25">
        <f t="shared" ca="1" si="0"/>
        <v>11</v>
      </c>
      <c r="R25" t="str">
        <f t="shared" si="1"/>
        <v/>
      </c>
      <c r="S25">
        <f t="shared" ca="1" si="2"/>
        <v>34</v>
      </c>
      <c r="T25" t="str">
        <f t="shared" ca="1" si="3"/>
        <v>Overdue</v>
      </c>
      <c r="U25" t="str">
        <f t="shared" ca="1" si="4"/>
        <v>Normal</v>
      </c>
      <c r="V25" t="s">
        <v>42</v>
      </c>
    </row>
    <row r="26" spans="1:22">
      <c r="A26" t="s">
        <v>150</v>
      </c>
      <c r="B26" t="s">
        <v>151</v>
      </c>
      <c r="C26" t="s">
        <v>152</v>
      </c>
      <c r="D26" s="16">
        <v>4245.4799999999996</v>
      </c>
      <c r="E26" t="s">
        <v>111</v>
      </c>
      <c r="F26" t="s">
        <v>26</v>
      </c>
      <c r="G26" t="s">
        <v>153</v>
      </c>
      <c r="H26" t="s">
        <v>113</v>
      </c>
      <c r="I26" t="s">
        <v>29</v>
      </c>
      <c r="J26" s="13">
        <v>46150</v>
      </c>
      <c r="K26" s="17" t="s">
        <v>57</v>
      </c>
      <c r="L26" s="13">
        <v>46180</v>
      </c>
      <c r="M26" t="s">
        <v>31</v>
      </c>
      <c r="N26" t="s">
        <v>32</v>
      </c>
      <c r="O26" s="13">
        <v>46154</v>
      </c>
      <c r="P26" s="13">
        <v>46182</v>
      </c>
      <c r="Q26">
        <f t="shared" ca="1" si="0"/>
        <v>39</v>
      </c>
      <c r="R26">
        <f t="shared" si="1"/>
        <v>4</v>
      </c>
      <c r="S26">
        <f t="shared" ca="1" si="2"/>
        <v>-9</v>
      </c>
      <c r="T26" t="str">
        <f t="shared" ca="1" si="3"/>
        <v>On Track</v>
      </c>
      <c r="U26" t="str">
        <f t="shared" ca="1" si="4"/>
        <v>Normal</v>
      </c>
      <c r="V26" t="s">
        <v>107</v>
      </c>
    </row>
    <row r="27" spans="1:22">
      <c r="A27" t="s">
        <v>154</v>
      </c>
      <c r="B27" t="s">
        <v>23</v>
      </c>
      <c r="C27" t="s">
        <v>155</v>
      </c>
      <c r="D27" s="16">
        <v>1392.6</v>
      </c>
      <c r="E27" t="s">
        <v>156</v>
      </c>
      <c r="F27" t="s">
        <v>38</v>
      </c>
      <c r="H27" t="s">
        <v>157</v>
      </c>
      <c r="I27" t="s">
        <v>29</v>
      </c>
      <c r="J27" s="13">
        <v>46147</v>
      </c>
      <c r="K27" s="17" t="s">
        <v>30</v>
      </c>
      <c r="L27" s="13">
        <v>46162</v>
      </c>
      <c r="M27" t="s">
        <v>31</v>
      </c>
      <c r="N27" t="s">
        <v>32</v>
      </c>
      <c r="O27" s="13">
        <v>46149</v>
      </c>
      <c r="P27" s="13">
        <v>46151</v>
      </c>
      <c r="Q27">
        <f t="shared" ca="1" si="0"/>
        <v>42</v>
      </c>
      <c r="R27">
        <f t="shared" si="1"/>
        <v>2</v>
      </c>
      <c r="S27">
        <f t="shared" ca="1" si="2"/>
        <v>-27</v>
      </c>
      <c r="T27" t="str">
        <f t="shared" ca="1" si="3"/>
        <v>On Track</v>
      </c>
      <c r="U27" t="str">
        <f t="shared" ca="1" si="4"/>
        <v>Normal</v>
      </c>
      <c r="V27" t="s">
        <v>33</v>
      </c>
    </row>
    <row r="28" spans="1:22">
      <c r="A28" t="s">
        <v>158</v>
      </c>
      <c r="B28" t="s">
        <v>44</v>
      </c>
      <c r="C28" t="s">
        <v>159</v>
      </c>
      <c r="D28" s="16">
        <v>15757.77</v>
      </c>
      <c r="E28" t="s">
        <v>46</v>
      </c>
      <c r="F28" t="s">
        <v>26</v>
      </c>
      <c r="G28" t="s">
        <v>160</v>
      </c>
      <c r="H28" t="s">
        <v>161</v>
      </c>
      <c r="I28" t="s">
        <v>92</v>
      </c>
      <c r="J28" s="13">
        <v>46151</v>
      </c>
      <c r="K28" s="17" t="s">
        <v>30</v>
      </c>
      <c r="L28" s="13">
        <v>46166</v>
      </c>
      <c r="M28" t="s">
        <v>31</v>
      </c>
      <c r="N28" t="s">
        <v>100</v>
      </c>
      <c r="O28" s="13">
        <v>46161</v>
      </c>
      <c r="P28" s="13">
        <v>46164</v>
      </c>
      <c r="Q28">
        <f t="shared" ca="1" si="0"/>
        <v>38</v>
      </c>
      <c r="R28">
        <f t="shared" si="1"/>
        <v>10</v>
      </c>
      <c r="S28">
        <f t="shared" ca="1" si="2"/>
        <v>-23</v>
      </c>
      <c r="T28" t="str">
        <f t="shared" ca="1" si="3"/>
        <v>On Track</v>
      </c>
      <c r="U28" t="str">
        <f t="shared" ca="1" si="4"/>
        <v>Normal</v>
      </c>
      <c r="V28" t="s">
        <v>101</v>
      </c>
    </row>
    <row r="29" spans="1:22">
      <c r="A29" t="s">
        <v>162</v>
      </c>
      <c r="B29" t="s">
        <v>67</v>
      </c>
      <c r="C29" t="s">
        <v>163</v>
      </c>
      <c r="D29" s="16">
        <v>440.32</v>
      </c>
      <c r="E29" t="s">
        <v>46</v>
      </c>
      <c r="F29" t="s">
        <v>26</v>
      </c>
      <c r="G29" t="s">
        <v>164</v>
      </c>
      <c r="H29" t="s">
        <v>48</v>
      </c>
      <c r="I29" t="s">
        <v>29</v>
      </c>
      <c r="J29" s="13">
        <v>46146</v>
      </c>
      <c r="K29" s="17" t="s">
        <v>49</v>
      </c>
      <c r="L29" s="13">
        <v>46191</v>
      </c>
      <c r="M29" t="s">
        <v>31</v>
      </c>
      <c r="N29" t="s">
        <v>32</v>
      </c>
      <c r="O29" s="13">
        <v>46150</v>
      </c>
      <c r="P29" s="13">
        <v>46153</v>
      </c>
      <c r="Q29">
        <f t="shared" ca="1" si="0"/>
        <v>43</v>
      </c>
      <c r="R29">
        <f t="shared" si="1"/>
        <v>4</v>
      </c>
      <c r="S29">
        <f t="shared" ca="1" si="2"/>
        <v>2</v>
      </c>
      <c r="T29" t="str">
        <f t="shared" ca="1" si="3"/>
        <v>On Track</v>
      </c>
      <c r="U29" t="str">
        <f t="shared" ca="1" si="4"/>
        <v>Normal</v>
      </c>
      <c r="V29" t="s">
        <v>33</v>
      </c>
    </row>
    <row r="30" spans="1:22">
      <c r="A30" t="s">
        <v>165</v>
      </c>
      <c r="B30" t="s">
        <v>67</v>
      </c>
      <c r="C30" t="s">
        <v>166</v>
      </c>
      <c r="D30" s="16">
        <v>77588.69</v>
      </c>
      <c r="E30" t="s">
        <v>55</v>
      </c>
      <c r="F30" t="s">
        <v>38</v>
      </c>
      <c r="H30" t="s">
        <v>121</v>
      </c>
      <c r="I30" t="s">
        <v>122</v>
      </c>
      <c r="J30" s="13">
        <v>46159</v>
      </c>
      <c r="K30" s="17" t="s">
        <v>57</v>
      </c>
      <c r="L30" s="13">
        <v>46189</v>
      </c>
      <c r="M30" t="s">
        <v>31</v>
      </c>
      <c r="N30" t="s">
        <v>100</v>
      </c>
      <c r="O30" s="13">
        <v>46173</v>
      </c>
      <c r="P30" s="13">
        <v>46176</v>
      </c>
      <c r="Q30">
        <f t="shared" ca="1" si="0"/>
        <v>30</v>
      </c>
      <c r="R30">
        <f t="shared" si="1"/>
        <v>14</v>
      </c>
      <c r="S30">
        <f t="shared" ca="1" si="2"/>
        <v>0</v>
      </c>
      <c r="T30" t="str">
        <f t="shared" ca="1" si="3"/>
        <v>On Track</v>
      </c>
      <c r="U30" t="str">
        <f t="shared" ca="1" si="4"/>
        <v>Normal</v>
      </c>
      <c r="V30" t="s">
        <v>101</v>
      </c>
    </row>
    <row r="31" spans="1:22">
      <c r="A31" t="s">
        <v>167</v>
      </c>
      <c r="B31" t="s">
        <v>168</v>
      </c>
      <c r="C31" t="s">
        <v>169</v>
      </c>
      <c r="D31" s="16">
        <v>20809.61</v>
      </c>
      <c r="E31" t="s">
        <v>111</v>
      </c>
      <c r="F31" t="s">
        <v>26</v>
      </c>
      <c r="G31" t="s">
        <v>170</v>
      </c>
      <c r="H31" t="s">
        <v>122</v>
      </c>
      <c r="I31" t="s">
        <v>92</v>
      </c>
      <c r="J31" s="13">
        <v>46188</v>
      </c>
      <c r="K31" s="17" t="s">
        <v>30</v>
      </c>
      <c r="L31" s="13">
        <v>46203</v>
      </c>
      <c r="M31" t="s">
        <v>145</v>
      </c>
      <c r="N31" t="s">
        <v>32</v>
      </c>
      <c r="O31" s="13">
        <v>46189</v>
      </c>
      <c r="Q31">
        <f t="shared" ca="1" si="0"/>
        <v>1</v>
      </c>
      <c r="R31">
        <f t="shared" si="1"/>
        <v>1</v>
      </c>
      <c r="S31">
        <f t="shared" ca="1" si="2"/>
        <v>14</v>
      </c>
      <c r="T31" t="str">
        <f t="shared" ca="1" si="3"/>
        <v>On Track</v>
      </c>
      <c r="U31" t="str">
        <f t="shared" ca="1" si="4"/>
        <v>Normal</v>
      </c>
    </row>
    <row r="32" spans="1:22">
      <c r="A32" t="s">
        <v>171</v>
      </c>
      <c r="B32" t="s">
        <v>172</v>
      </c>
      <c r="C32" t="s">
        <v>173</v>
      </c>
      <c r="D32" s="16">
        <v>3983.44</v>
      </c>
      <c r="E32" t="s">
        <v>62</v>
      </c>
      <c r="F32" t="s">
        <v>38</v>
      </c>
      <c r="H32" t="s">
        <v>64</v>
      </c>
      <c r="I32" t="s">
        <v>29</v>
      </c>
      <c r="J32" s="13">
        <v>46158</v>
      </c>
      <c r="K32" s="17" t="s">
        <v>30</v>
      </c>
      <c r="L32" s="13">
        <v>46173</v>
      </c>
      <c r="M32" t="s">
        <v>65</v>
      </c>
      <c r="N32" t="s">
        <v>32</v>
      </c>
      <c r="Q32">
        <f t="shared" ca="1" si="0"/>
        <v>31</v>
      </c>
      <c r="R32" t="str">
        <f t="shared" si="1"/>
        <v/>
      </c>
      <c r="S32">
        <f t="shared" ca="1" si="2"/>
        <v>-16</v>
      </c>
      <c r="T32" t="str">
        <f t="shared" ca="1" si="3"/>
        <v>On Track</v>
      </c>
      <c r="U32" t="str">
        <f t="shared" ca="1" si="4"/>
        <v>At Risk</v>
      </c>
    </row>
    <row r="33" spans="1:22">
      <c r="A33" t="s">
        <v>174</v>
      </c>
      <c r="B33" t="s">
        <v>103</v>
      </c>
      <c r="C33" t="s">
        <v>175</v>
      </c>
      <c r="D33" s="16">
        <v>3341.81</v>
      </c>
      <c r="E33" t="s">
        <v>111</v>
      </c>
      <c r="F33" t="s">
        <v>38</v>
      </c>
      <c r="H33" t="s">
        <v>113</v>
      </c>
      <c r="I33" t="s">
        <v>29</v>
      </c>
      <c r="J33" s="13">
        <v>46165</v>
      </c>
      <c r="K33" s="17" t="s">
        <v>30</v>
      </c>
      <c r="L33" s="13">
        <v>46180</v>
      </c>
      <c r="M33" t="s">
        <v>31</v>
      </c>
      <c r="N33" t="s">
        <v>32</v>
      </c>
      <c r="O33" s="13">
        <v>46171</v>
      </c>
      <c r="P33" s="13">
        <v>46176</v>
      </c>
      <c r="Q33">
        <f t="shared" ca="1" si="0"/>
        <v>24</v>
      </c>
      <c r="R33">
        <f t="shared" si="1"/>
        <v>6</v>
      </c>
      <c r="S33">
        <f t="shared" ca="1" si="2"/>
        <v>-9</v>
      </c>
      <c r="T33" t="str">
        <f t="shared" ca="1" si="3"/>
        <v>On Track</v>
      </c>
      <c r="U33" t="str">
        <f t="shared" ca="1" si="4"/>
        <v>Normal</v>
      </c>
      <c r="V33" t="s">
        <v>33</v>
      </c>
    </row>
    <row r="34" spans="1:22">
      <c r="A34" t="s">
        <v>176</v>
      </c>
      <c r="B34" t="s">
        <v>103</v>
      </c>
      <c r="C34" t="s">
        <v>177</v>
      </c>
      <c r="D34" s="16">
        <v>13509.68</v>
      </c>
      <c r="E34" t="s">
        <v>69</v>
      </c>
      <c r="F34" t="s">
        <v>38</v>
      </c>
      <c r="H34" t="s">
        <v>178</v>
      </c>
      <c r="I34" t="s">
        <v>92</v>
      </c>
      <c r="J34" s="13">
        <v>46151</v>
      </c>
      <c r="K34" s="17" t="s">
        <v>40</v>
      </c>
      <c r="L34" s="13">
        <v>46181</v>
      </c>
      <c r="M34" t="s">
        <v>31</v>
      </c>
      <c r="N34" t="s">
        <v>179</v>
      </c>
      <c r="O34" s="13">
        <v>46161</v>
      </c>
      <c r="P34" s="13">
        <v>46162</v>
      </c>
      <c r="Q34">
        <f t="shared" ca="1" si="0"/>
        <v>38</v>
      </c>
      <c r="R34">
        <f t="shared" si="1"/>
        <v>10</v>
      </c>
      <c r="S34">
        <f t="shared" ca="1" si="2"/>
        <v>-8</v>
      </c>
      <c r="T34" t="str">
        <f t="shared" ca="1" si="3"/>
        <v>On Track</v>
      </c>
      <c r="U34" t="str">
        <f t="shared" ca="1" si="4"/>
        <v>Normal</v>
      </c>
      <c r="V34" t="s">
        <v>180</v>
      </c>
    </row>
    <row r="35" spans="1:22">
      <c r="A35" t="s">
        <v>181</v>
      </c>
      <c r="B35" t="s">
        <v>67</v>
      </c>
      <c r="C35" t="s">
        <v>182</v>
      </c>
      <c r="D35" s="16">
        <v>3625.87</v>
      </c>
      <c r="E35" t="s">
        <v>111</v>
      </c>
      <c r="F35" t="s">
        <v>38</v>
      </c>
      <c r="H35" t="s">
        <v>113</v>
      </c>
      <c r="I35" t="s">
        <v>29</v>
      </c>
      <c r="J35" s="13">
        <v>46167</v>
      </c>
      <c r="K35" s="17" t="s">
        <v>40</v>
      </c>
      <c r="L35" s="13">
        <v>46197</v>
      </c>
      <c r="M35" t="s">
        <v>31</v>
      </c>
      <c r="N35" t="s">
        <v>32</v>
      </c>
      <c r="O35" s="13">
        <v>46176</v>
      </c>
      <c r="P35" s="13">
        <v>46177</v>
      </c>
      <c r="Q35">
        <f t="shared" ca="1" si="0"/>
        <v>22</v>
      </c>
      <c r="R35">
        <f t="shared" si="1"/>
        <v>9</v>
      </c>
      <c r="S35">
        <f t="shared" ca="1" si="2"/>
        <v>8</v>
      </c>
      <c r="T35" t="str">
        <f t="shared" ca="1" si="3"/>
        <v>On Track</v>
      </c>
      <c r="U35" t="str">
        <f t="shared" ca="1" si="4"/>
        <v>Normal</v>
      </c>
      <c r="V35" t="s">
        <v>33</v>
      </c>
    </row>
    <row r="36" spans="1:22">
      <c r="A36" t="s">
        <v>183</v>
      </c>
      <c r="B36" t="s">
        <v>151</v>
      </c>
      <c r="C36" t="s">
        <v>184</v>
      </c>
      <c r="D36" s="16">
        <v>2108.19</v>
      </c>
      <c r="E36" t="s">
        <v>78</v>
      </c>
      <c r="F36" t="s">
        <v>26</v>
      </c>
      <c r="G36" t="s">
        <v>185</v>
      </c>
      <c r="H36" t="s">
        <v>80</v>
      </c>
      <c r="I36" t="s">
        <v>29</v>
      </c>
      <c r="J36" s="13">
        <v>46179</v>
      </c>
      <c r="K36" s="17" t="s">
        <v>57</v>
      </c>
      <c r="L36" s="13">
        <v>46209</v>
      </c>
      <c r="M36" t="s">
        <v>41</v>
      </c>
      <c r="N36" t="s">
        <v>32</v>
      </c>
      <c r="Q36">
        <f t="shared" ca="1" si="0"/>
        <v>10</v>
      </c>
      <c r="R36" t="str">
        <f t="shared" si="1"/>
        <v/>
      </c>
      <c r="S36">
        <f t="shared" ca="1" si="2"/>
        <v>20</v>
      </c>
      <c r="T36" t="str">
        <f t="shared" ca="1" si="3"/>
        <v>Overdue</v>
      </c>
      <c r="U36" t="str">
        <f t="shared" ca="1" si="4"/>
        <v>Normal</v>
      </c>
      <c r="V36" t="s">
        <v>42</v>
      </c>
    </row>
    <row r="37" spans="1:22">
      <c r="A37" t="s">
        <v>186</v>
      </c>
      <c r="B37" t="s">
        <v>187</v>
      </c>
      <c r="C37" t="s">
        <v>188</v>
      </c>
      <c r="D37" s="16">
        <v>2743.11</v>
      </c>
      <c r="E37" t="s">
        <v>37</v>
      </c>
      <c r="F37" t="s">
        <v>26</v>
      </c>
      <c r="G37" t="s">
        <v>189</v>
      </c>
      <c r="H37" t="s">
        <v>39</v>
      </c>
      <c r="I37" t="s">
        <v>29</v>
      </c>
      <c r="J37" s="13">
        <v>46157</v>
      </c>
      <c r="K37" s="17" t="s">
        <v>40</v>
      </c>
      <c r="L37" s="13">
        <v>46187</v>
      </c>
      <c r="M37" t="s">
        <v>31</v>
      </c>
      <c r="N37" t="s">
        <v>32</v>
      </c>
      <c r="O37" s="13">
        <v>46163</v>
      </c>
      <c r="P37" s="13">
        <v>46167</v>
      </c>
      <c r="Q37">
        <f t="shared" ca="1" si="0"/>
        <v>32</v>
      </c>
      <c r="R37">
        <f t="shared" si="1"/>
        <v>6</v>
      </c>
      <c r="S37">
        <f t="shared" ca="1" si="2"/>
        <v>-2</v>
      </c>
      <c r="T37" t="str">
        <f t="shared" ca="1" si="3"/>
        <v>On Track</v>
      </c>
      <c r="U37" t="str">
        <f t="shared" ca="1" si="4"/>
        <v>Normal</v>
      </c>
      <c r="V37" t="s">
        <v>33</v>
      </c>
    </row>
    <row r="38" spans="1:22">
      <c r="A38" t="s">
        <v>190</v>
      </c>
      <c r="B38" t="s">
        <v>172</v>
      </c>
      <c r="C38" t="s">
        <v>191</v>
      </c>
      <c r="D38" s="16">
        <v>4350.37</v>
      </c>
      <c r="E38" t="s">
        <v>78</v>
      </c>
      <c r="F38" t="s">
        <v>38</v>
      </c>
      <c r="H38" t="s">
        <v>80</v>
      </c>
      <c r="I38" t="s">
        <v>29</v>
      </c>
      <c r="J38" s="13">
        <v>46154</v>
      </c>
      <c r="K38" s="17" t="s">
        <v>30</v>
      </c>
      <c r="L38" s="13">
        <v>46169</v>
      </c>
      <c r="M38" t="s">
        <v>99</v>
      </c>
      <c r="N38" t="s">
        <v>32</v>
      </c>
      <c r="O38" s="13">
        <v>46161</v>
      </c>
      <c r="Q38">
        <f t="shared" ca="1" si="0"/>
        <v>35</v>
      </c>
      <c r="R38">
        <f t="shared" si="1"/>
        <v>7</v>
      </c>
      <c r="S38">
        <f t="shared" ca="1" si="2"/>
        <v>-20</v>
      </c>
      <c r="T38" t="str">
        <f t="shared" ca="1" si="3"/>
        <v>On Track</v>
      </c>
      <c r="U38" t="str">
        <f t="shared" ca="1" si="4"/>
        <v>At Risk</v>
      </c>
    </row>
    <row r="39" spans="1:22">
      <c r="A39" t="s">
        <v>192</v>
      </c>
      <c r="B39" t="s">
        <v>129</v>
      </c>
      <c r="C39" t="s">
        <v>193</v>
      </c>
      <c r="D39" s="16">
        <v>3919.86</v>
      </c>
      <c r="E39" t="s">
        <v>111</v>
      </c>
      <c r="F39" t="s">
        <v>26</v>
      </c>
      <c r="G39" t="s">
        <v>194</v>
      </c>
      <c r="H39" t="s">
        <v>113</v>
      </c>
      <c r="I39" t="s">
        <v>29</v>
      </c>
      <c r="J39" s="13">
        <v>46159</v>
      </c>
      <c r="K39" s="17" t="s">
        <v>40</v>
      </c>
      <c r="L39" s="13">
        <v>46189</v>
      </c>
      <c r="M39" t="s">
        <v>31</v>
      </c>
      <c r="N39" t="s">
        <v>32</v>
      </c>
      <c r="O39" s="13">
        <v>46161</v>
      </c>
      <c r="P39" s="13">
        <v>46194</v>
      </c>
      <c r="Q39">
        <f t="shared" ca="1" si="0"/>
        <v>30</v>
      </c>
      <c r="R39">
        <f t="shared" si="1"/>
        <v>2</v>
      </c>
      <c r="S39">
        <f t="shared" ca="1" si="2"/>
        <v>0</v>
      </c>
      <c r="T39" t="str">
        <f t="shared" ca="1" si="3"/>
        <v>On Track</v>
      </c>
      <c r="U39" t="str">
        <f t="shared" ca="1" si="4"/>
        <v>Normal</v>
      </c>
      <c r="V39" t="s">
        <v>107</v>
      </c>
    </row>
    <row r="40" spans="1:22">
      <c r="A40" t="s">
        <v>195</v>
      </c>
      <c r="B40" t="s">
        <v>172</v>
      </c>
      <c r="C40" t="s">
        <v>196</v>
      </c>
      <c r="D40" s="16">
        <v>2499.42</v>
      </c>
      <c r="E40" t="s">
        <v>69</v>
      </c>
      <c r="F40" t="s">
        <v>26</v>
      </c>
      <c r="G40" t="s">
        <v>197</v>
      </c>
      <c r="H40" t="s">
        <v>71</v>
      </c>
      <c r="I40" t="s">
        <v>29</v>
      </c>
      <c r="J40" s="13">
        <v>46188</v>
      </c>
      <c r="K40" s="17" t="s">
        <v>30</v>
      </c>
      <c r="L40" s="13">
        <v>46203</v>
      </c>
      <c r="M40" t="s">
        <v>41</v>
      </c>
      <c r="N40" t="s">
        <v>179</v>
      </c>
      <c r="Q40">
        <f t="shared" ca="1" si="0"/>
        <v>1</v>
      </c>
      <c r="R40" t="str">
        <f t="shared" si="1"/>
        <v/>
      </c>
      <c r="S40">
        <f t="shared" ca="1" si="2"/>
        <v>14</v>
      </c>
      <c r="T40" t="str">
        <f t="shared" ca="1" si="3"/>
        <v>On Track</v>
      </c>
      <c r="U40" t="str">
        <f t="shared" ca="1" si="4"/>
        <v>Normal</v>
      </c>
      <c r="V40" t="s">
        <v>180</v>
      </c>
    </row>
    <row r="41" spans="1:22">
      <c r="A41" t="s">
        <v>198</v>
      </c>
      <c r="B41" t="s">
        <v>109</v>
      </c>
      <c r="C41" t="s">
        <v>199</v>
      </c>
      <c r="D41" s="16">
        <v>2786.2</v>
      </c>
      <c r="E41" t="s">
        <v>78</v>
      </c>
      <c r="F41" t="s">
        <v>38</v>
      </c>
      <c r="H41" t="s">
        <v>80</v>
      </c>
      <c r="I41" t="s">
        <v>29</v>
      </c>
      <c r="J41" s="13">
        <v>46151</v>
      </c>
      <c r="K41" s="17" t="s">
        <v>40</v>
      </c>
      <c r="L41" s="13">
        <v>46181</v>
      </c>
      <c r="M41" t="s">
        <v>31</v>
      </c>
      <c r="N41" t="s">
        <v>32</v>
      </c>
      <c r="O41" s="13">
        <v>46161</v>
      </c>
      <c r="P41" s="13">
        <v>46167</v>
      </c>
      <c r="Q41">
        <f t="shared" ca="1" si="0"/>
        <v>38</v>
      </c>
      <c r="R41">
        <f t="shared" si="1"/>
        <v>10</v>
      </c>
      <c r="S41">
        <f t="shared" ca="1" si="2"/>
        <v>-8</v>
      </c>
      <c r="T41" t="str">
        <f t="shared" ca="1" si="3"/>
        <v>On Track</v>
      </c>
      <c r="U41" t="str">
        <f t="shared" ca="1" si="4"/>
        <v>Normal</v>
      </c>
      <c r="V41" t="s">
        <v>33</v>
      </c>
    </row>
    <row r="42" spans="1:22">
      <c r="A42" t="s">
        <v>200</v>
      </c>
      <c r="B42" t="s">
        <v>168</v>
      </c>
      <c r="C42" t="s">
        <v>201</v>
      </c>
      <c r="D42" s="16">
        <v>974.17</v>
      </c>
      <c r="E42" t="s">
        <v>78</v>
      </c>
      <c r="F42" t="s">
        <v>38</v>
      </c>
      <c r="H42" t="s">
        <v>80</v>
      </c>
      <c r="I42" t="s">
        <v>29</v>
      </c>
      <c r="J42" s="13">
        <v>46172</v>
      </c>
      <c r="K42" s="17" t="s">
        <v>49</v>
      </c>
      <c r="L42" s="13">
        <v>46217</v>
      </c>
      <c r="M42" t="s">
        <v>99</v>
      </c>
      <c r="N42" t="s">
        <v>58</v>
      </c>
      <c r="O42" s="13">
        <v>46189</v>
      </c>
      <c r="Q42">
        <f t="shared" ca="1" si="0"/>
        <v>17</v>
      </c>
      <c r="R42">
        <f t="shared" si="1"/>
        <v>17</v>
      </c>
      <c r="S42">
        <f t="shared" ca="1" si="2"/>
        <v>28</v>
      </c>
      <c r="T42" t="str">
        <f t="shared" ca="1" si="3"/>
        <v>On Track</v>
      </c>
      <c r="U42" t="str">
        <f t="shared" ca="1" si="4"/>
        <v>Normal</v>
      </c>
      <c r="V42" t="s">
        <v>59</v>
      </c>
    </row>
    <row r="43" spans="1:22">
      <c r="A43" t="s">
        <v>202</v>
      </c>
      <c r="B43" t="s">
        <v>109</v>
      </c>
      <c r="C43" t="s">
        <v>203</v>
      </c>
      <c r="D43" s="16">
        <v>1778.11</v>
      </c>
      <c r="E43" t="s">
        <v>156</v>
      </c>
      <c r="F43" t="s">
        <v>38</v>
      </c>
      <c r="H43" t="s">
        <v>157</v>
      </c>
      <c r="I43" t="s">
        <v>29</v>
      </c>
      <c r="J43" s="13">
        <v>46149</v>
      </c>
      <c r="K43" s="17" t="s">
        <v>57</v>
      </c>
      <c r="L43" s="13">
        <v>46179</v>
      </c>
      <c r="M43" t="s">
        <v>31</v>
      </c>
      <c r="N43" t="s">
        <v>32</v>
      </c>
      <c r="O43" s="13">
        <v>46154</v>
      </c>
      <c r="P43" s="13">
        <v>46158</v>
      </c>
      <c r="Q43">
        <f t="shared" ca="1" si="0"/>
        <v>40</v>
      </c>
      <c r="R43">
        <f t="shared" si="1"/>
        <v>5</v>
      </c>
      <c r="S43">
        <f t="shared" ca="1" si="2"/>
        <v>-10</v>
      </c>
      <c r="T43" t="str">
        <f t="shared" ca="1" si="3"/>
        <v>On Track</v>
      </c>
      <c r="U43" t="str">
        <f t="shared" ca="1" si="4"/>
        <v>Normal</v>
      </c>
      <c r="V43" t="s">
        <v>33</v>
      </c>
    </row>
    <row r="44" spans="1:22">
      <c r="A44" t="s">
        <v>204</v>
      </c>
      <c r="B44" t="s">
        <v>67</v>
      </c>
      <c r="C44" t="s">
        <v>205</v>
      </c>
      <c r="D44" s="16">
        <v>1191.0999999999999</v>
      </c>
      <c r="E44" t="s">
        <v>62</v>
      </c>
      <c r="F44" t="s">
        <v>26</v>
      </c>
      <c r="G44" t="s">
        <v>206</v>
      </c>
      <c r="H44" t="s">
        <v>64</v>
      </c>
      <c r="I44" t="s">
        <v>29</v>
      </c>
      <c r="J44" s="13">
        <v>46181</v>
      </c>
      <c r="K44" s="17" t="s">
        <v>30</v>
      </c>
      <c r="L44" s="13">
        <v>46196</v>
      </c>
      <c r="M44" t="s">
        <v>99</v>
      </c>
      <c r="N44" t="s">
        <v>50</v>
      </c>
      <c r="O44" s="13">
        <v>46189</v>
      </c>
      <c r="Q44">
        <f t="shared" ca="1" si="0"/>
        <v>8</v>
      </c>
      <c r="R44">
        <f t="shared" si="1"/>
        <v>8</v>
      </c>
      <c r="S44">
        <f t="shared" ca="1" si="2"/>
        <v>7</v>
      </c>
      <c r="T44" t="str">
        <f t="shared" ca="1" si="3"/>
        <v>On Track</v>
      </c>
      <c r="U44" t="str">
        <f t="shared" ca="1" si="4"/>
        <v>Normal</v>
      </c>
      <c r="V44" t="s">
        <v>51</v>
      </c>
    </row>
    <row r="45" spans="1:22">
      <c r="A45" t="s">
        <v>207</v>
      </c>
      <c r="B45" t="s">
        <v>208</v>
      </c>
      <c r="C45" t="s">
        <v>209</v>
      </c>
      <c r="D45" s="16">
        <v>3592.58</v>
      </c>
      <c r="E45" t="s">
        <v>55</v>
      </c>
      <c r="F45" t="s">
        <v>38</v>
      </c>
      <c r="H45" t="s">
        <v>56</v>
      </c>
      <c r="I45" t="s">
        <v>29</v>
      </c>
      <c r="J45" s="13">
        <v>46158</v>
      </c>
      <c r="K45" s="17" t="s">
        <v>40</v>
      </c>
      <c r="L45" s="13">
        <v>46188</v>
      </c>
      <c r="M45" t="s">
        <v>31</v>
      </c>
      <c r="N45" t="s">
        <v>32</v>
      </c>
      <c r="O45" s="13">
        <v>46163</v>
      </c>
      <c r="P45" s="13">
        <v>46169</v>
      </c>
      <c r="Q45">
        <f t="shared" ca="1" si="0"/>
        <v>31</v>
      </c>
      <c r="R45">
        <f t="shared" si="1"/>
        <v>5</v>
      </c>
      <c r="S45">
        <f t="shared" ca="1" si="2"/>
        <v>-1</v>
      </c>
      <c r="T45" t="str">
        <f t="shared" ca="1" si="3"/>
        <v>On Track</v>
      </c>
      <c r="U45" t="str">
        <f t="shared" ca="1" si="4"/>
        <v>Normal</v>
      </c>
      <c r="V45" t="s">
        <v>33</v>
      </c>
    </row>
    <row r="46" spans="1:22">
      <c r="A46" t="s">
        <v>210</v>
      </c>
      <c r="B46" t="s">
        <v>208</v>
      </c>
      <c r="C46" t="s">
        <v>211</v>
      </c>
      <c r="D46" s="16">
        <v>2376.63</v>
      </c>
      <c r="E46" t="s">
        <v>69</v>
      </c>
      <c r="F46" t="s">
        <v>26</v>
      </c>
      <c r="G46" t="s">
        <v>212</v>
      </c>
      <c r="H46" t="s">
        <v>71</v>
      </c>
      <c r="I46" t="s">
        <v>29</v>
      </c>
      <c r="J46" s="13">
        <v>46178</v>
      </c>
      <c r="K46" s="17" t="s">
        <v>30</v>
      </c>
      <c r="L46" s="13">
        <v>46193</v>
      </c>
      <c r="M46" t="s">
        <v>41</v>
      </c>
      <c r="N46" t="s">
        <v>213</v>
      </c>
      <c r="Q46">
        <f t="shared" ca="1" si="0"/>
        <v>11</v>
      </c>
      <c r="R46" t="str">
        <f t="shared" si="1"/>
        <v/>
      </c>
      <c r="S46">
        <f t="shared" ca="1" si="2"/>
        <v>4</v>
      </c>
      <c r="T46" t="str">
        <f t="shared" ca="1" si="3"/>
        <v>Overdue</v>
      </c>
      <c r="U46" t="str">
        <f t="shared" ca="1" si="4"/>
        <v>At Risk</v>
      </c>
      <c r="V46" t="s">
        <v>214</v>
      </c>
    </row>
    <row r="47" spans="1:22">
      <c r="A47" t="s">
        <v>215</v>
      </c>
      <c r="B47" t="s">
        <v>124</v>
      </c>
      <c r="C47" t="s">
        <v>216</v>
      </c>
      <c r="D47" s="16">
        <v>1974.92</v>
      </c>
      <c r="E47" t="s">
        <v>46</v>
      </c>
      <c r="F47" t="s">
        <v>26</v>
      </c>
      <c r="G47" t="s">
        <v>217</v>
      </c>
      <c r="H47" t="s">
        <v>48</v>
      </c>
      <c r="I47" t="s">
        <v>29</v>
      </c>
      <c r="J47" s="13">
        <v>46165</v>
      </c>
      <c r="K47" s="17" t="s">
        <v>40</v>
      </c>
      <c r="L47" s="13">
        <v>46195</v>
      </c>
      <c r="M47" t="s">
        <v>31</v>
      </c>
      <c r="N47" t="s">
        <v>32</v>
      </c>
      <c r="O47" s="13">
        <v>46172</v>
      </c>
      <c r="P47" s="13">
        <v>46173</v>
      </c>
      <c r="Q47">
        <f t="shared" ca="1" si="0"/>
        <v>24</v>
      </c>
      <c r="R47">
        <f t="shared" si="1"/>
        <v>7</v>
      </c>
      <c r="S47">
        <f t="shared" ca="1" si="2"/>
        <v>6</v>
      </c>
      <c r="T47" t="str">
        <f t="shared" ca="1" si="3"/>
        <v>On Track</v>
      </c>
      <c r="U47" t="str">
        <f t="shared" ca="1" si="4"/>
        <v>Normal</v>
      </c>
      <c r="V47" t="s">
        <v>33</v>
      </c>
    </row>
    <row r="48" spans="1:22">
      <c r="A48" t="s">
        <v>218</v>
      </c>
      <c r="B48" t="s">
        <v>94</v>
      </c>
      <c r="C48" t="s">
        <v>219</v>
      </c>
      <c r="D48" s="16">
        <v>4799.58</v>
      </c>
      <c r="E48" t="s">
        <v>69</v>
      </c>
      <c r="F48" t="s">
        <v>26</v>
      </c>
      <c r="G48" t="s">
        <v>220</v>
      </c>
      <c r="H48" t="s">
        <v>71</v>
      </c>
      <c r="I48" t="s">
        <v>29</v>
      </c>
      <c r="J48" s="13">
        <v>46148</v>
      </c>
      <c r="K48" s="17" t="s">
        <v>30</v>
      </c>
      <c r="L48" s="13">
        <v>46163</v>
      </c>
      <c r="M48" t="s">
        <v>31</v>
      </c>
      <c r="N48" t="s">
        <v>50</v>
      </c>
      <c r="O48" s="13">
        <v>46161</v>
      </c>
      <c r="P48" s="13">
        <v>46163</v>
      </c>
      <c r="Q48">
        <f t="shared" ca="1" si="0"/>
        <v>41</v>
      </c>
      <c r="R48">
        <f t="shared" si="1"/>
        <v>13</v>
      </c>
      <c r="S48">
        <f t="shared" ca="1" si="2"/>
        <v>-26</v>
      </c>
      <c r="T48" t="str">
        <f t="shared" ca="1" si="3"/>
        <v>On Track</v>
      </c>
      <c r="U48" t="str">
        <f t="shared" ca="1" si="4"/>
        <v>Normal</v>
      </c>
      <c r="V48" t="s">
        <v>51</v>
      </c>
    </row>
    <row r="49" spans="1:22">
      <c r="A49" t="s">
        <v>221</v>
      </c>
      <c r="B49" t="s">
        <v>222</v>
      </c>
      <c r="C49" t="s">
        <v>223</v>
      </c>
      <c r="D49" s="16">
        <v>2816.06</v>
      </c>
      <c r="E49" t="s">
        <v>62</v>
      </c>
      <c r="F49" t="s">
        <v>26</v>
      </c>
      <c r="G49" t="s">
        <v>224</v>
      </c>
      <c r="H49" t="s">
        <v>64</v>
      </c>
      <c r="I49" t="s">
        <v>29</v>
      </c>
      <c r="J49" s="13">
        <v>46160</v>
      </c>
      <c r="K49" s="17" t="s">
        <v>49</v>
      </c>
      <c r="L49" s="13">
        <v>46205</v>
      </c>
      <c r="M49" t="s">
        <v>31</v>
      </c>
      <c r="N49" t="s">
        <v>32</v>
      </c>
      <c r="O49" s="13">
        <v>46163</v>
      </c>
      <c r="P49" s="13">
        <v>46165</v>
      </c>
      <c r="Q49">
        <f t="shared" ca="1" si="0"/>
        <v>29</v>
      </c>
      <c r="R49">
        <f t="shared" si="1"/>
        <v>3</v>
      </c>
      <c r="S49">
        <f t="shared" ca="1" si="2"/>
        <v>16</v>
      </c>
      <c r="T49" t="str">
        <f t="shared" ca="1" si="3"/>
        <v>On Track</v>
      </c>
      <c r="U49" t="str">
        <f t="shared" ca="1" si="4"/>
        <v>Normal</v>
      </c>
      <c r="V49" t="s">
        <v>33</v>
      </c>
    </row>
    <row r="50" spans="1:22">
      <c r="A50" t="s">
        <v>225</v>
      </c>
      <c r="B50" t="s">
        <v>53</v>
      </c>
      <c r="C50" t="s">
        <v>226</v>
      </c>
      <c r="D50" s="16">
        <v>1669.41</v>
      </c>
      <c r="E50" t="s">
        <v>37</v>
      </c>
      <c r="F50" t="s">
        <v>38</v>
      </c>
      <c r="H50" t="s">
        <v>39</v>
      </c>
      <c r="I50" t="s">
        <v>29</v>
      </c>
      <c r="J50" s="13">
        <v>46168</v>
      </c>
      <c r="K50" s="17" t="s">
        <v>40</v>
      </c>
      <c r="L50" s="13">
        <v>46198</v>
      </c>
      <c r="M50" t="s">
        <v>31</v>
      </c>
      <c r="N50" t="s">
        <v>100</v>
      </c>
      <c r="O50" s="13">
        <v>46180</v>
      </c>
      <c r="P50" s="13">
        <v>46186</v>
      </c>
      <c r="Q50">
        <f t="shared" ca="1" si="0"/>
        <v>21</v>
      </c>
      <c r="R50">
        <f t="shared" si="1"/>
        <v>12</v>
      </c>
      <c r="S50">
        <f t="shared" ca="1" si="2"/>
        <v>9</v>
      </c>
      <c r="T50" t="str">
        <f t="shared" ca="1" si="3"/>
        <v>On Track</v>
      </c>
      <c r="U50" t="str">
        <f t="shared" ca="1" si="4"/>
        <v>Normal</v>
      </c>
      <c r="V50" t="s">
        <v>101</v>
      </c>
    </row>
    <row r="51" spans="1:22">
      <c r="A51" t="s">
        <v>227</v>
      </c>
      <c r="B51" t="s">
        <v>53</v>
      </c>
      <c r="C51" t="s">
        <v>228</v>
      </c>
      <c r="D51" s="16">
        <v>21580.720000000001</v>
      </c>
      <c r="E51" t="s">
        <v>69</v>
      </c>
      <c r="F51" t="s">
        <v>38</v>
      </c>
      <c r="H51" t="s">
        <v>178</v>
      </c>
      <c r="I51" t="s">
        <v>92</v>
      </c>
      <c r="J51" s="13">
        <v>46151</v>
      </c>
      <c r="K51" s="17" t="s">
        <v>30</v>
      </c>
      <c r="L51" s="13">
        <v>46166</v>
      </c>
      <c r="M51" t="s">
        <v>31</v>
      </c>
      <c r="N51" t="s">
        <v>32</v>
      </c>
      <c r="O51" s="13">
        <v>46158</v>
      </c>
      <c r="P51" s="13">
        <v>46161</v>
      </c>
      <c r="Q51">
        <f t="shared" ca="1" si="0"/>
        <v>38</v>
      </c>
      <c r="R51">
        <f t="shared" si="1"/>
        <v>7</v>
      </c>
      <c r="S51">
        <f t="shared" ca="1" si="2"/>
        <v>-23</v>
      </c>
      <c r="T51" t="str">
        <f t="shared" ca="1" si="3"/>
        <v>On Track</v>
      </c>
      <c r="U51" t="str">
        <f t="shared" ca="1" si="4"/>
        <v>Normal</v>
      </c>
      <c r="V51" t="s">
        <v>33</v>
      </c>
    </row>
    <row r="52" spans="1:22">
      <c r="A52" t="s">
        <v>229</v>
      </c>
      <c r="B52" t="s">
        <v>168</v>
      </c>
      <c r="C52" t="s">
        <v>230</v>
      </c>
      <c r="D52" s="16">
        <v>4621.58</v>
      </c>
      <c r="E52" t="s">
        <v>62</v>
      </c>
      <c r="F52" t="s">
        <v>38</v>
      </c>
      <c r="H52" t="s">
        <v>64</v>
      </c>
      <c r="I52" t="s">
        <v>29</v>
      </c>
      <c r="J52" s="13">
        <v>46173</v>
      </c>
      <c r="K52" s="17" t="s">
        <v>57</v>
      </c>
      <c r="L52" s="13">
        <v>46203</v>
      </c>
      <c r="M52" t="s">
        <v>99</v>
      </c>
      <c r="N52" t="s">
        <v>32</v>
      </c>
      <c r="O52" s="13">
        <v>46184</v>
      </c>
      <c r="Q52">
        <f t="shared" ca="1" si="0"/>
        <v>16</v>
      </c>
      <c r="R52">
        <f t="shared" si="1"/>
        <v>11</v>
      </c>
      <c r="S52">
        <f t="shared" ca="1" si="2"/>
        <v>14</v>
      </c>
      <c r="T52" t="str">
        <f t="shared" ca="1" si="3"/>
        <v>On Track</v>
      </c>
      <c r="U52" t="str">
        <f t="shared" ca="1" si="4"/>
        <v>Normal</v>
      </c>
    </row>
    <row r="53" spans="1:22">
      <c r="A53" t="s">
        <v>231</v>
      </c>
      <c r="B53" t="s">
        <v>76</v>
      </c>
      <c r="C53" t="s">
        <v>232</v>
      </c>
      <c r="D53" s="16">
        <v>4125.29</v>
      </c>
      <c r="E53" t="s">
        <v>37</v>
      </c>
      <c r="F53" t="s">
        <v>38</v>
      </c>
      <c r="H53" t="s">
        <v>39</v>
      </c>
      <c r="I53" t="s">
        <v>29</v>
      </c>
      <c r="J53" s="13">
        <v>46149</v>
      </c>
      <c r="K53" s="17" t="s">
        <v>49</v>
      </c>
      <c r="L53" s="13">
        <v>46194</v>
      </c>
      <c r="M53" t="s">
        <v>31</v>
      </c>
      <c r="N53" t="s">
        <v>179</v>
      </c>
      <c r="O53" s="13">
        <v>46164</v>
      </c>
      <c r="P53" s="13">
        <v>46168</v>
      </c>
      <c r="Q53">
        <f t="shared" ca="1" si="0"/>
        <v>40</v>
      </c>
      <c r="R53">
        <f t="shared" si="1"/>
        <v>15</v>
      </c>
      <c r="S53">
        <f t="shared" ca="1" si="2"/>
        <v>5</v>
      </c>
      <c r="T53" t="str">
        <f t="shared" ca="1" si="3"/>
        <v>On Track</v>
      </c>
      <c r="U53" t="str">
        <f t="shared" ca="1" si="4"/>
        <v>Normal</v>
      </c>
      <c r="V53" t="s">
        <v>180</v>
      </c>
    </row>
    <row r="54" spans="1:22">
      <c r="A54" t="s">
        <v>233</v>
      </c>
      <c r="B54" t="s">
        <v>94</v>
      </c>
      <c r="C54" t="s">
        <v>234</v>
      </c>
      <c r="D54" s="16">
        <v>8545.8799999999992</v>
      </c>
      <c r="E54" t="s">
        <v>62</v>
      </c>
      <c r="F54" t="s">
        <v>26</v>
      </c>
      <c r="G54" t="s">
        <v>235</v>
      </c>
      <c r="H54" t="s">
        <v>106</v>
      </c>
      <c r="I54" t="s">
        <v>92</v>
      </c>
      <c r="J54" s="13">
        <v>46160</v>
      </c>
      <c r="K54" s="17" t="s">
        <v>49</v>
      </c>
      <c r="L54" s="13">
        <v>46205</v>
      </c>
      <c r="M54" t="s">
        <v>31</v>
      </c>
      <c r="N54" t="s">
        <v>32</v>
      </c>
      <c r="O54" s="13">
        <v>46168</v>
      </c>
      <c r="P54" s="13">
        <v>46173</v>
      </c>
      <c r="Q54">
        <f t="shared" ca="1" si="0"/>
        <v>29</v>
      </c>
      <c r="R54">
        <f t="shared" si="1"/>
        <v>8</v>
      </c>
      <c r="S54">
        <f t="shared" ca="1" si="2"/>
        <v>16</v>
      </c>
      <c r="T54" t="str">
        <f t="shared" ca="1" si="3"/>
        <v>On Track</v>
      </c>
      <c r="U54" t="str">
        <f t="shared" ca="1" si="4"/>
        <v>Normal</v>
      </c>
      <c r="V54" t="s">
        <v>33</v>
      </c>
    </row>
    <row r="55" spans="1:22">
      <c r="A55" t="s">
        <v>236</v>
      </c>
      <c r="B55" t="s">
        <v>137</v>
      </c>
      <c r="C55" t="s">
        <v>237</v>
      </c>
      <c r="D55" s="16">
        <v>14527.27</v>
      </c>
      <c r="E55" t="s">
        <v>126</v>
      </c>
      <c r="F55" t="s">
        <v>38</v>
      </c>
      <c r="H55" t="s">
        <v>127</v>
      </c>
      <c r="I55" t="s">
        <v>92</v>
      </c>
      <c r="J55" s="13">
        <v>46188</v>
      </c>
      <c r="K55" s="17" t="s">
        <v>40</v>
      </c>
      <c r="L55" s="13">
        <v>46218</v>
      </c>
      <c r="M55" t="s">
        <v>41</v>
      </c>
      <c r="N55" t="s">
        <v>32</v>
      </c>
      <c r="Q55">
        <f t="shared" ca="1" si="0"/>
        <v>1</v>
      </c>
      <c r="R55" t="str">
        <f t="shared" si="1"/>
        <v/>
      </c>
      <c r="S55">
        <f t="shared" ca="1" si="2"/>
        <v>29</v>
      </c>
      <c r="T55" t="str">
        <f t="shared" ca="1" si="3"/>
        <v>On Track</v>
      </c>
      <c r="U55" t="str">
        <f t="shared" ca="1" si="4"/>
        <v>Normal</v>
      </c>
      <c r="V55" t="s">
        <v>42</v>
      </c>
    </row>
    <row r="56" spans="1:22">
      <c r="A56" t="s">
        <v>238</v>
      </c>
      <c r="B56" t="s">
        <v>109</v>
      </c>
      <c r="C56" t="s">
        <v>239</v>
      </c>
      <c r="D56" s="16">
        <v>2896.08</v>
      </c>
      <c r="E56" t="s">
        <v>126</v>
      </c>
      <c r="F56" t="s">
        <v>26</v>
      </c>
      <c r="G56" t="s">
        <v>240</v>
      </c>
      <c r="H56" t="s">
        <v>241</v>
      </c>
      <c r="I56" t="s">
        <v>29</v>
      </c>
      <c r="J56" s="13">
        <v>46166</v>
      </c>
      <c r="K56" s="17" t="s">
        <v>40</v>
      </c>
      <c r="L56" s="13">
        <v>46196</v>
      </c>
      <c r="M56" t="s">
        <v>31</v>
      </c>
      <c r="N56" t="s">
        <v>100</v>
      </c>
      <c r="O56" s="13">
        <v>46180</v>
      </c>
      <c r="P56" s="13">
        <v>46183</v>
      </c>
      <c r="Q56">
        <f t="shared" ca="1" si="0"/>
        <v>23</v>
      </c>
      <c r="R56">
        <f t="shared" si="1"/>
        <v>14</v>
      </c>
      <c r="S56">
        <f t="shared" ca="1" si="2"/>
        <v>7</v>
      </c>
      <c r="T56" t="str">
        <f t="shared" ca="1" si="3"/>
        <v>On Track</v>
      </c>
      <c r="U56" t="str">
        <f t="shared" ca="1" si="4"/>
        <v>Normal</v>
      </c>
      <c r="V56" t="s">
        <v>101</v>
      </c>
    </row>
    <row r="57" spans="1:22">
      <c r="A57" t="s">
        <v>242</v>
      </c>
      <c r="B57" t="s">
        <v>44</v>
      </c>
      <c r="C57" t="s">
        <v>243</v>
      </c>
      <c r="D57" s="16">
        <v>1126.26</v>
      </c>
      <c r="E57" t="s">
        <v>126</v>
      </c>
      <c r="F57" t="s">
        <v>26</v>
      </c>
      <c r="G57" t="s">
        <v>244</v>
      </c>
      <c r="H57" t="s">
        <v>241</v>
      </c>
      <c r="I57" t="s">
        <v>29</v>
      </c>
      <c r="J57" s="13">
        <v>46188</v>
      </c>
      <c r="K57" s="17" t="s">
        <v>57</v>
      </c>
      <c r="L57" s="13">
        <v>46218</v>
      </c>
      <c r="M57" t="s">
        <v>41</v>
      </c>
      <c r="N57" t="s">
        <v>32</v>
      </c>
      <c r="Q57">
        <f t="shared" ca="1" si="0"/>
        <v>1</v>
      </c>
      <c r="R57" t="str">
        <f t="shared" si="1"/>
        <v/>
      </c>
      <c r="S57">
        <f t="shared" ca="1" si="2"/>
        <v>29</v>
      </c>
      <c r="T57" t="str">
        <f t="shared" ca="1" si="3"/>
        <v>On Track</v>
      </c>
      <c r="U57" t="str">
        <f t="shared" ca="1" si="4"/>
        <v>Normal</v>
      </c>
      <c r="V57" t="s">
        <v>42</v>
      </c>
    </row>
    <row r="58" spans="1:22">
      <c r="A58" t="s">
        <v>245</v>
      </c>
      <c r="B58" t="s">
        <v>35</v>
      </c>
      <c r="C58" t="s">
        <v>246</v>
      </c>
      <c r="D58" s="16">
        <v>707.39</v>
      </c>
      <c r="E58" t="s">
        <v>37</v>
      </c>
      <c r="F58" t="s">
        <v>26</v>
      </c>
      <c r="G58" t="s">
        <v>247</v>
      </c>
      <c r="H58" t="s">
        <v>39</v>
      </c>
      <c r="I58" t="s">
        <v>29</v>
      </c>
      <c r="J58" s="13">
        <v>46167</v>
      </c>
      <c r="K58" s="17" t="s">
        <v>57</v>
      </c>
      <c r="L58" s="13">
        <v>46197</v>
      </c>
      <c r="M58" t="s">
        <v>31</v>
      </c>
      <c r="N58" t="s">
        <v>32</v>
      </c>
      <c r="O58" s="13">
        <v>46170</v>
      </c>
      <c r="P58" s="13">
        <v>46171</v>
      </c>
      <c r="Q58">
        <f t="shared" ca="1" si="0"/>
        <v>22</v>
      </c>
      <c r="R58">
        <f t="shared" si="1"/>
        <v>3</v>
      </c>
      <c r="S58">
        <f t="shared" ca="1" si="2"/>
        <v>8</v>
      </c>
      <c r="T58" t="str">
        <f t="shared" ca="1" si="3"/>
        <v>On Track</v>
      </c>
      <c r="U58" t="str">
        <f t="shared" ca="1" si="4"/>
        <v>Normal</v>
      </c>
      <c r="V58" t="s">
        <v>33</v>
      </c>
    </row>
    <row r="59" spans="1:22">
      <c r="A59" t="s">
        <v>248</v>
      </c>
      <c r="B59" t="s">
        <v>151</v>
      </c>
      <c r="C59" t="s">
        <v>249</v>
      </c>
      <c r="D59" s="16">
        <v>69831.94</v>
      </c>
      <c r="E59" t="s">
        <v>69</v>
      </c>
      <c r="F59" t="s">
        <v>38</v>
      </c>
      <c r="H59" t="s">
        <v>121</v>
      </c>
      <c r="I59" t="s">
        <v>122</v>
      </c>
      <c r="J59" s="13">
        <v>46150</v>
      </c>
      <c r="K59" s="17" t="s">
        <v>30</v>
      </c>
      <c r="L59" s="13">
        <v>46165</v>
      </c>
      <c r="M59" t="s">
        <v>31</v>
      </c>
      <c r="N59" t="s">
        <v>32</v>
      </c>
      <c r="O59" s="13">
        <v>46166</v>
      </c>
      <c r="P59" s="13">
        <v>46167</v>
      </c>
      <c r="Q59">
        <f t="shared" ca="1" si="0"/>
        <v>39</v>
      </c>
      <c r="R59">
        <f t="shared" si="1"/>
        <v>16</v>
      </c>
      <c r="S59">
        <f t="shared" ca="1" si="2"/>
        <v>-24</v>
      </c>
      <c r="T59" t="str">
        <f t="shared" ca="1" si="3"/>
        <v>On Track</v>
      </c>
      <c r="U59" t="str">
        <f t="shared" ca="1" si="4"/>
        <v>Normal</v>
      </c>
      <c r="V59" t="s">
        <v>33</v>
      </c>
    </row>
    <row r="60" spans="1:22">
      <c r="A60" t="s">
        <v>250</v>
      </c>
      <c r="B60" t="s">
        <v>251</v>
      </c>
      <c r="C60" t="s">
        <v>252</v>
      </c>
      <c r="D60" s="16">
        <v>12813.8</v>
      </c>
      <c r="E60" t="s">
        <v>25</v>
      </c>
      <c r="F60" t="s">
        <v>26</v>
      </c>
      <c r="G60" t="s">
        <v>253</v>
      </c>
      <c r="H60" t="s">
        <v>149</v>
      </c>
      <c r="I60" t="s">
        <v>92</v>
      </c>
      <c r="J60" s="13">
        <v>46187</v>
      </c>
      <c r="K60" s="17" t="s">
        <v>30</v>
      </c>
      <c r="L60" s="13">
        <v>46202</v>
      </c>
      <c r="M60" t="s">
        <v>41</v>
      </c>
      <c r="N60" t="s">
        <v>32</v>
      </c>
      <c r="Q60">
        <f t="shared" ca="1" si="0"/>
        <v>2</v>
      </c>
      <c r="R60" t="str">
        <f t="shared" si="1"/>
        <v/>
      </c>
      <c r="S60">
        <f t="shared" ca="1" si="2"/>
        <v>13</v>
      </c>
      <c r="T60" t="str">
        <f t="shared" ca="1" si="3"/>
        <v>On Track</v>
      </c>
      <c r="U60" t="str">
        <f t="shared" ca="1" si="4"/>
        <v>Normal</v>
      </c>
      <c r="V60" t="s">
        <v>42</v>
      </c>
    </row>
    <row r="61" spans="1:22">
      <c r="A61" t="s">
        <v>254</v>
      </c>
      <c r="B61" t="s">
        <v>53</v>
      </c>
      <c r="C61" t="s">
        <v>255</v>
      </c>
      <c r="D61" s="16">
        <v>16823.189999999999</v>
      </c>
      <c r="E61" t="s">
        <v>78</v>
      </c>
      <c r="F61" t="s">
        <v>38</v>
      </c>
      <c r="H61" t="s">
        <v>91</v>
      </c>
      <c r="I61" t="s">
        <v>92</v>
      </c>
      <c r="J61" s="13">
        <v>46158</v>
      </c>
      <c r="K61" s="17" t="s">
        <v>40</v>
      </c>
      <c r="L61" s="13">
        <v>46188</v>
      </c>
      <c r="M61" t="s">
        <v>31</v>
      </c>
      <c r="N61" t="s">
        <v>32</v>
      </c>
      <c r="O61" s="13">
        <v>46168</v>
      </c>
      <c r="P61" s="13">
        <v>46169</v>
      </c>
      <c r="Q61">
        <f t="shared" ca="1" si="0"/>
        <v>31</v>
      </c>
      <c r="R61">
        <f t="shared" si="1"/>
        <v>10</v>
      </c>
      <c r="S61">
        <f t="shared" ca="1" si="2"/>
        <v>-1</v>
      </c>
      <c r="T61" t="str">
        <f t="shared" ca="1" si="3"/>
        <v>On Track</v>
      </c>
      <c r="U61" t="str">
        <f t="shared" ca="1" si="4"/>
        <v>Normal</v>
      </c>
      <c r="V61" t="s">
        <v>33</v>
      </c>
    </row>
    <row r="62" spans="1:22">
      <c r="A62" t="s">
        <v>256</v>
      </c>
      <c r="B62" t="s">
        <v>76</v>
      </c>
      <c r="C62" t="s">
        <v>257</v>
      </c>
      <c r="D62" s="16">
        <v>39941.26</v>
      </c>
      <c r="E62" t="s">
        <v>25</v>
      </c>
      <c r="F62" t="s">
        <v>26</v>
      </c>
      <c r="G62" t="s">
        <v>258</v>
      </c>
      <c r="H62" t="s">
        <v>121</v>
      </c>
      <c r="I62" t="s">
        <v>122</v>
      </c>
      <c r="J62" s="13">
        <v>46149</v>
      </c>
      <c r="K62" s="17" t="s">
        <v>57</v>
      </c>
      <c r="L62" s="13">
        <v>46179</v>
      </c>
      <c r="M62" t="s">
        <v>31</v>
      </c>
      <c r="N62" t="s">
        <v>32</v>
      </c>
      <c r="O62" s="13">
        <v>46153</v>
      </c>
      <c r="P62" s="13">
        <v>46157</v>
      </c>
      <c r="Q62">
        <f t="shared" ca="1" si="0"/>
        <v>40</v>
      </c>
      <c r="R62">
        <f t="shared" si="1"/>
        <v>4</v>
      </c>
      <c r="S62">
        <f t="shared" ca="1" si="2"/>
        <v>-10</v>
      </c>
      <c r="T62" t="str">
        <f t="shared" ca="1" si="3"/>
        <v>On Track</v>
      </c>
      <c r="U62" t="str">
        <f t="shared" ca="1" si="4"/>
        <v>Normal</v>
      </c>
      <c r="V62" t="s">
        <v>33</v>
      </c>
    </row>
    <row r="63" spans="1:22">
      <c r="A63" t="s">
        <v>259</v>
      </c>
      <c r="B63" t="s">
        <v>109</v>
      </c>
      <c r="C63" t="s">
        <v>260</v>
      </c>
      <c r="D63" s="16">
        <v>398.51</v>
      </c>
      <c r="E63" t="s">
        <v>37</v>
      </c>
      <c r="F63" t="s">
        <v>26</v>
      </c>
      <c r="G63" t="s">
        <v>261</v>
      </c>
      <c r="H63" t="s">
        <v>39</v>
      </c>
      <c r="I63" t="s">
        <v>29</v>
      </c>
      <c r="J63" s="13">
        <v>46188</v>
      </c>
      <c r="K63" s="17" t="s">
        <v>40</v>
      </c>
      <c r="L63" s="13">
        <v>46218</v>
      </c>
      <c r="M63" t="s">
        <v>99</v>
      </c>
      <c r="N63" t="s">
        <v>32</v>
      </c>
      <c r="O63" s="13">
        <v>46189</v>
      </c>
      <c r="Q63">
        <f t="shared" ca="1" si="0"/>
        <v>1</v>
      </c>
      <c r="R63">
        <f t="shared" si="1"/>
        <v>1</v>
      </c>
      <c r="S63">
        <f t="shared" ca="1" si="2"/>
        <v>29</v>
      </c>
      <c r="T63" t="str">
        <f t="shared" ca="1" si="3"/>
        <v>On Track</v>
      </c>
      <c r="U63" t="str">
        <f t="shared" ca="1" si="4"/>
        <v>Normal</v>
      </c>
    </row>
    <row r="64" spans="1:22">
      <c r="A64" t="s">
        <v>262</v>
      </c>
      <c r="B64" t="s">
        <v>23</v>
      </c>
      <c r="C64" t="s">
        <v>263</v>
      </c>
      <c r="D64" s="16">
        <v>4498.1899999999996</v>
      </c>
      <c r="E64" t="s">
        <v>37</v>
      </c>
      <c r="F64" t="s">
        <v>26</v>
      </c>
      <c r="G64" t="s">
        <v>264</v>
      </c>
      <c r="H64" t="s">
        <v>39</v>
      </c>
      <c r="I64" t="s">
        <v>29</v>
      </c>
      <c r="J64" s="13">
        <v>46158</v>
      </c>
      <c r="K64" s="17" t="s">
        <v>57</v>
      </c>
      <c r="L64" s="13">
        <v>46188</v>
      </c>
      <c r="M64" t="s">
        <v>31</v>
      </c>
      <c r="N64" t="s">
        <v>213</v>
      </c>
      <c r="O64" s="13">
        <v>46164</v>
      </c>
      <c r="P64" s="13">
        <v>46171</v>
      </c>
      <c r="Q64">
        <f t="shared" ca="1" si="0"/>
        <v>31</v>
      </c>
      <c r="R64">
        <f t="shared" si="1"/>
        <v>6</v>
      </c>
      <c r="S64">
        <f t="shared" ca="1" si="2"/>
        <v>-1</v>
      </c>
      <c r="T64" t="str">
        <f t="shared" ca="1" si="3"/>
        <v>On Track</v>
      </c>
      <c r="U64" t="str">
        <f t="shared" ca="1" si="4"/>
        <v>Normal</v>
      </c>
      <c r="V64" t="s">
        <v>214</v>
      </c>
    </row>
    <row r="65" spans="1:22">
      <c r="A65" t="s">
        <v>265</v>
      </c>
      <c r="B65" t="s">
        <v>187</v>
      </c>
      <c r="C65" t="s">
        <v>266</v>
      </c>
      <c r="D65" s="16">
        <v>22963.25</v>
      </c>
      <c r="E65" t="s">
        <v>69</v>
      </c>
      <c r="F65" t="s">
        <v>26</v>
      </c>
      <c r="G65" t="s">
        <v>267</v>
      </c>
      <c r="H65" t="s">
        <v>178</v>
      </c>
      <c r="I65" t="s">
        <v>92</v>
      </c>
      <c r="J65" s="13">
        <v>46188</v>
      </c>
      <c r="K65" s="17" t="s">
        <v>49</v>
      </c>
      <c r="L65" s="13">
        <v>46233</v>
      </c>
      <c r="M65" t="s">
        <v>65</v>
      </c>
      <c r="N65" t="s">
        <v>32</v>
      </c>
      <c r="Q65">
        <f t="shared" ca="1" si="0"/>
        <v>1</v>
      </c>
      <c r="R65" t="str">
        <f t="shared" si="1"/>
        <v/>
      </c>
      <c r="S65">
        <f t="shared" ca="1" si="2"/>
        <v>44</v>
      </c>
      <c r="T65" t="str">
        <f t="shared" ca="1" si="3"/>
        <v>On Track</v>
      </c>
      <c r="U65" t="str">
        <f t="shared" ca="1" si="4"/>
        <v>Normal</v>
      </c>
    </row>
    <row r="66" spans="1:22">
      <c r="A66" t="s">
        <v>268</v>
      </c>
      <c r="B66" t="s">
        <v>124</v>
      </c>
      <c r="C66" t="s">
        <v>269</v>
      </c>
      <c r="D66" s="16">
        <v>4296.87</v>
      </c>
      <c r="E66" t="s">
        <v>25</v>
      </c>
      <c r="F66" t="s">
        <v>38</v>
      </c>
      <c r="H66" t="s">
        <v>28</v>
      </c>
      <c r="I66" t="s">
        <v>29</v>
      </c>
      <c r="J66" s="13">
        <v>46182</v>
      </c>
      <c r="K66" s="17" t="s">
        <v>49</v>
      </c>
      <c r="L66" s="13">
        <v>46227</v>
      </c>
      <c r="M66" t="s">
        <v>41</v>
      </c>
      <c r="N66" t="s">
        <v>32</v>
      </c>
      <c r="Q66">
        <f t="shared" ref="Q66:Q129" ca="1" si="5">IF(J66="","",TODAY()-J66)</f>
        <v>7</v>
      </c>
      <c r="R66" t="str">
        <f t="shared" ref="R66:R129" si="6">IF(O66="","",O66-J66)</f>
        <v/>
      </c>
      <c r="S66">
        <f t="shared" ref="S66:S129" ca="1" si="7">IF(L66="","",L66-TODAY())</f>
        <v>38</v>
      </c>
      <c r="T66" t="str">
        <f t="shared" ref="T66:T129" ca="1" si="8">IF(AND(M66="Pending Approval",Q66&gt;5),"Overdue","On Track")</f>
        <v>Overdue</v>
      </c>
      <c r="U66" t="str">
        <f t="shared" ref="U66:U129" ca="1" si="9">IF(AND(M66&lt;&gt;"Paid",S66&lt;=5),"At Risk","Normal")</f>
        <v>Normal</v>
      </c>
      <c r="V66" t="s">
        <v>42</v>
      </c>
    </row>
    <row r="67" spans="1:22">
      <c r="A67" t="s">
        <v>270</v>
      </c>
      <c r="B67" t="s">
        <v>271</v>
      </c>
      <c r="C67" t="s">
        <v>272</v>
      </c>
      <c r="D67" s="16">
        <v>2262.14</v>
      </c>
      <c r="E67" t="s">
        <v>62</v>
      </c>
      <c r="F67" t="s">
        <v>26</v>
      </c>
      <c r="G67" t="s">
        <v>273</v>
      </c>
      <c r="H67" t="s">
        <v>64</v>
      </c>
      <c r="I67" t="s">
        <v>29</v>
      </c>
      <c r="J67" s="13">
        <v>46171</v>
      </c>
      <c r="K67" s="17" t="s">
        <v>40</v>
      </c>
      <c r="L67" s="13">
        <v>46201</v>
      </c>
      <c r="M67" t="s">
        <v>99</v>
      </c>
      <c r="N67" t="s">
        <v>100</v>
      </c>
      <c r="O67" s="13">
        <v>46186</v>
      </c>
      <c r="Q67">
        <f t="shared" ca="1" si="5"/>
        <v>18</v>
      </c>
      <c r="R67">
        <f t="shared" si="6"/>
        <v>15</v>
      </c>
      <c r="S67">
        <f t="shared" ca="1" si="7"/>
        <v>12</v>
      </c>
      <c r="T67" t="str">
        <f t="shared" ca="1" si="8"/>
        <v>On Track</v>
      </c>
      <c r="U67" t="str">
        <f t="shared" ca="1" si="9"/>
        <v>Normal</v>
      </c>
      <c r="V67" t="s">
        <v>101</v>
      </c>
    </row>
    <row r="68" spans="1:22">
      <c r="A68" t="s">
        <v>274</v>
      </c>
      <c r="B68" t="s">
        <v>118</v>
      </c>
      <c r="C68" t="s">
        <v>275</v>
      </c>
      <c r="D68" s="16">
        <v>11431.17</v>
      </c>
      <c r="E68" t="s">
        <v>25</v>
      </c>
      <c r="F68" t="s">
        <v>38</v>
      </c>
      <c r="H68" t="s">
        <v>149</v>
      </c>
      <c r="I68" t="s">
        <v>92</v>
      </c>
      <c r="J68" s="13">
        <v>46162</v>
      </c>
      <c r="K68" s="17" t="s">
        <v>40</v>
      </c>
      <c r="L68" s="13">
        <v>46192</v>
      </c>
      <c r="M68" t="s">
        <v>31</v>
      </c>
      <c r="N68" t="s">
        <v>58</v>
      </c>
      <c r="O68" s="13">
        <v>46180</v>
      </c>
      <c r="P68" s="13">
        <v>46183</v>
      </c>
      <c r="Q68">
        <f t="shared" ca="1" si="5"/>
        <v>27</v>
      </c>
      <c r="R68">
        <f t="shared" si="6"/>
        <v>18</v>
      </c>
      <c r="S68">
        <f t="shared" ca="1" si="7"/>
        <v>3</v>
      </c>
      <c r="T68" t="str">
        <f t="shared" ca="1" si="8"/>
        <v>On Track</v>
      </c>
      <c r="U68" t="str">
        <f t="shared" ca="1" si="9"/>
        <v>Normal</v>
      </c>
      <c r="V68" t="s">
        <v>59</v>
      </c>
    </row>
    <row r="69" spans="1:22">
      <c r="A69" t="s">
        <v>276</v>
      </c>
      <c r="B69" t="s">
        <v>208</v>
      </c>
      <c r="C69" t="s">
        <v>277</v>
      </c>
      <c r="D69" s="16">
        <v>5022.45</v>
      </c>
      <c r="E69" t="s">
        <v>78</v>
      </c>
      <c r="F69" t="s">
        <v>38</v>
      </c>
      <c r="H69" t="s">
        <v>91</v>
      </c>
      <c r="I69" t="s">
        <v>92</v>
      </c>
      <c r="J69" s="13">
        <v>46173</v>
      </c>
      <c r="K69" s="17" t="s">
        <v>40</v>
      </c>
      <c r="L69" s="13">
        <v>46203</v>
      </c>
      <c r="M69" t="s">
        <v>41</v>
      </c>
      <c r="N69" t="s">
        <v>32</v>
      </c>
      <c r="Q69">
        <f t="shared" ca="1" si="5"/>
        <v>16</v>
      </c>
      <c r="R69" t="str">
        <f t="shared" si="6"/>
        <v/>
      </c>
      <c r="S69">
        <f t="shared" ca="1" si="7"/>
        <v>14</v>
      </c>
      <c r="T69" t="str">
        <f t="shared" ca="1" si="8"/>
        <v>Overdue</v>
      </c>
      <c r="U69" t="str">
        <f t="shared" ca="1" si="9"/>
        <v>Normal</v>
      </c>
      <c r="V69" t="s">
        <v>42</v>
      </c>
    </row>
    <row r="70" spans="1:22">
      <c r="A70" t="s">
        <v>278</v>
      </c>
      <c r="B70" t="s">
        <v>44</v>
      </c>
      <c r="C70" t="s">
        <v>279</v>
      </c>
      <c r="D70" s="16">
        <v>1560.53</v>
      </c>
      <c r="E70" t="s">
        <v>78</v>
      </c>
      <c r="F70" t="s">
        <v>38</v>
      </c>
      <c r="H70" t="s">
        <v>80</v>
      </c>
      <c r="I70" t="s">
        <v>29</v>
      </c>
      <c r="J70" s="13">
        <v>46175</v>
      </c>
      <c r="K70" s="17" t="s">
        <v>30</v>
      </c>
      <c r="L70" s="13">
        <v>46190</v>
      </c>
      <c r="M70" t="s">
        <v>31</v>
      </c>
      <c r="N70" t="s">
        <v>32</v>
      </c>
      <c r="O70" s="13">
        <v>46181</v>
      </c>
      <c r="P70" s="13">
        <v>46182</v>
      </c>
      <c r="Q70">
        <f t="shared" ca="1" si="5"/>
        <v>14</v>
      </c>
      <c r="R70">
        <f t="shared" si="6"/>
        <v>6</v>
      </c>
      <c r="S70">
        <f t="shared" ca="1" si="7"/>
        <v>1</v>
      </c>
      <c r="T70" t="str">
        <f t="shared" ca="1" si="8"/>
        <v>On Track</v>
      </c>
      <c r="U70" t="str">
        <f t="shared" ca="1" si="9"/>
        <v>Normal</v>
      </c>
      <c r="V70" t="s">
        <v>33</v>
      </c>
    </row>
    <row r="71" spans="1:22">
      <c r="A71" t="s">
        <v>280</v>
      </c>
      <c r="B71" t="s">
        <v>168</v>
      </c>
      <c r="C71" t="s">
        <v>281</v>
      </c>
      <c r="D71" s="16">
        <v>4078.4</v>
      </c>
      <c r="E71" t="s">
        <v>25</v>
      </c>
      <c r="F71" t="s">
        <v>26</v>
      </c>
      <c r="G71" t="s">
        <v>282</v>
      </c>
      <c r="H71" t="s">
        <v>28</v>
      </c>
      <c r="I71" t="s">
        <v>29</v>
      </c>
      <c r="J71" s="13">
        <v>46185</v>
      </c>
      <c r="K71" s="17" t="s">
        <v>57</v>
      </c>
      <c r="L71" s="13">
        <v>46215</v>
      </c>
      <c r="M71" t="s">
        <v>65</v>
      </c>
      <c r="N71" t="s">
        <v>32</v>
      </c>
      <c r="Q71">
        <f t="shared" ca="1" si="5"/>
        <v>4</v>
      </c>
      <c r="R71" t="str">
        <f t="shared" si="6"/>
        <v/>
      </c>
      <c r="S71">
        <f t="shared" ca="1" si="7"/>
        <v>26</v>
      </c>
      <c r="T71" t="str">
        <f t="shared" ca="1" si="8"/>
        <v>On Track</v>
      </c>
      <c r="U71" t="str">
        <f t="shared" ca="1" si="9"/>
        <v>Normal</v>
      </c>
    </row>
    <row r="72" spans="1:22">
      <c r="A72" t="s">
        <v>283</v>
      </c>
      <c r="B72" t="s">
        <v>168</v>
      </c>
      <c r="C72" t="s">
        <v>284</v>
      </c>
      <c r="D72" s="16">
        <v>42439.3</v>
      </c>
      <c r="E72" t="s">
        <v>62</v>
      </c>
      <c r="F72" t="s">
        <v>26</v>
      </c>
      <c r="G72" t="s">
        <v>285</v>
      </c>
      <c r="H72" t="s">
        <v>121</v>
      </c>
      <c r="I72" t="s">
        <v>122</v>
      </c>
      <c r="J72" s="13">
        <v>46156</v>
      </c>
      <c r="K72" s="17" t="s">
        <v>57</v>
      </c>
      <c r="L72" s="13">
        <v>46186</v>
      </c>
      <c r="M72" t="s">
        <v>99</v>
      </c>
      <c r="N72" t="s">
        <v>50</v>
      </c>
      <c r="O72" s="13">
        <v>46179</v>
      </c>
      <c r="Q72">
        <f t="shared" ca="1" si="5"/>
        <v>33</v>
      </c>
      <c r="R72">
        <f t="shared" si="6"/>
        <v>23</v>
      </c>
      <c r="S72">
        <f t="shared" ca="1" si="7"/>
        <v>-3</v>
      </c>
      <c r="T72" t="str">
        <f t="shared" ca="1" si="8"/>
        <v>On Track</v>
      </c>
      <c r="U72" t="str">
        <f t="shared" ca="1" si="9"/>
        <v>At Risk</v>
      </c>
      <c r="V72" t="s">
        <v>51</v>
      </c>
    </row>
    <row r="73" spans="1:22">
      <c r="A73" t="s">
        <v>286</v>
      </c>
      <c r="B73" t="s">
        <v>73</v>
      </c>
      <c r="C73" t="s">
        <v>287</v>
      </c>
      <c r="D73" s="16">
        <v>261.67</v>
      </c>
      <c r="E73" t="s">
        <v>78</v>
      </c>
      <c r="F73" t="s">
        <v>38</v>
      </c>
      <c r="H73" t="s">
        <v>80</v>
      </c>
      <c r="I73" t="s">
        <v>29</v>
      </c>
      <c r="J73" s="13">
        <v>46181</v>
      </c>
      <c r="K73" s="17" t="s">
        <v>40</v>
      </c>
      <c r="L73" s="13">
        <v>46211</v>
      </c>
      <c r="M73" t="s">
        <v>99</v>
      </c>
      <c r="N73" t="s">
        <v>50</v>
      </c>
      <c r="O73" s="13">
        <v>46189</v>
      </c>
      <c r="Q73">
        <f t="shared" ca="1" si="5"/>
        <v>8</v>
      </c>
      <c r="R73">
        <f t="shared" si="6"/>
        <v>8</v>
      </c>
      <c r="S73">
        <f t="shared" ca="1" si="7"/>
        <v>22</v>
      </c>
      <c r="T73" t="str">
        <f t="shared" ca="1" si="8"/>
        <v>On Track</v>
      </c>
      <c r="U73" t="str">
        <f t="shared" ca="1" si="9"/>
        <v>Normal</v>
      </c>
      <c r="V73" t="s">
        <v>51</v>
      </c>
    </row>
    <row r="74" spans="1:22">
      <c r="A74" t="s">
        <v>288</v>
      </c>
      <c r="B74" t="s">
        <v>208</v>
      </c>
      <c r="C74" t="s">
        <v>289</v>
      </c>
      <c r="D74" s="16">
        <v>21957.23</v>
      </c>
      <c r="E74" t="s">
        <v>62</v>
      </c>
      <c r="F74" t="s">
        <v>38</v>
      </c>
      <c r="H74" t="s">
        <v>106</v>
      </c>
      <c r="I74" t="s">
        <v>92</v>
      </c>
      <c r="J74" s="13">
        <v>46159</v>
      </c>
      <c r="K74" s="17" t="s">
        <v>40</v>
      </c>
      <c r="L74" s="13">
        <v>46189</v>
      </c>
      <c r="M74" t="s">
        <v>31</v>
      </c>
      <c r="N74" t="s">
        <v>32</v>
      </c>
      <c r="O74" s="13">
        <v>46166</v>
      </c>
      <c r="P74" s="13">
        <v>46172</v>
      </c>
      <c r="Q74">
        <f t="shared" ca="1" si="5"/>
        <v>30</v>
      </c>
      <c r="R74">
        <f t="shared" si="6"/>
        <v>7</v>
      </c>
      <c r="S74">
        <f t="shared" ca="1" si="7"/>
        <v>0</v>
      </c>
      <c r="T74" t="str">
        <f t="shared" ca="1" si="8"/>
        <v>On Track</v>
      </c>
      <c r="U74" t="str">
        <f t="shared" ca="1" si="9"/>
        <v>Normal</v>
      </c>
      <c r="V74" t="s">
        <v>33</v>
      </c>
    </row>
    <row r="75" spans="1:22">
      <c r="A75" t="s">
        <v>290</v>
      </c>
      <c r="B75" t="s">
        <v>208</v>
      </c>
      <c r="C75" t="s">
        <v>291</v>
      </c>
      <c r="D75" s="16">
        <v>80571.360000000001</v>
      </c>
      <c r="E75" t="s">
        <v>55</v>
      </c>
      <c r="F75" t="s">
        <v>38</v>
      </c>
      <c r="H75" t="s">
        <v>121</v>
      </c>
      <c r="I75" t="s">
        <v>122</v>
      </c>
      <c r="J75" s="13">
        <v>46153</v>
      </c>
      <c r="K75" s="17" t="s">
        <v>40</v>
      </c>
      <c r="L75" s="13">
        <v>46183</v>
      </c>
      <c r="M75" t="s">
        <v>31</v>
      </c>
      <c r="N75" t="s">
        <v>100</v>
      </c>
      <c r="O75" s="13">
        <v>46174</v>
      </c>
      <c r="P75" s="13">
        <v>46181</v>
      </c>
      <c r="Q75">
        <f t="shared" ca="1" si="5"/>
        <v>36</v>
      </c>
      <c r="R75">
        <f t="shared" si="6"/>
        <v>21</v>
      </c>
      <c r="S75">
        <f t="shared" ca="1" si="7"/>
        <v>-6</v>
      </c>
      <c r="T75" t="str">
        <f t="shared" ca="1" si="8"/>
        <v>On Track</v>
      </c>
      <c r="U75" t="str">
        <f t="shared" ca="1" si="9"/>
        <v>Normal</v>
      </c>
      <c r="V75" t="s">
        <v>101</v>
      </c>
    </row>
    <row r="76" spans="1:22">
      <c r="A76" t="s">
        <v>292</v>
      </c>
      <c r="B76" t="s">
        <v>53</v>
      </c>
      <c r="C76" t="s">
        <v>293</v>
      </c>
      <c r="D76" s="16">
        <v>5299.28</v>
      </c>
      <c r="E76" t="s">
        <v>78</v>
      </c>
      <c r="F76" t="s">
        <v>26</v>
      </c>
      <c r="G76" t="s">
        <v>294</v>
      </c>
      <c r="H76" t="s">
        <v>91</v>
      </c>
      <c r="I76" t="s">
        <v>92</v>
      </c>
      <c r="J76" s="13">
        <v>46185</v>
      </c>
      <c r="K76" s="17" t="s">
        <v>57</v>
      </c>
      <c r="L76" s="13">
        <v>46215</v>
      </c>
      <c r="M76" t="s">
        <v>41</v>
      </c>
      <c r="N76" t="s">
        <v>32</v>
      </c>
      <c r="Q76">
        <f t="shared" ca="1" si="5"/>
        <v>4</v>
      </c>
      <c r="R76" t="str">
        <f t="shared" si="6"/>
        <v/>
      </c>
      <c r="S76">
        <f t="shared" ca="1" si="7"/>
        <v>26</v>
      </c>
      <c r="T76" t="str">
        <f t="shared" ca="1" si="8"/>
        <v>On Track</v>
      </c>
      <c r="U76" t="str">
        <f t="shared" ca="1" si="9"/>
        <v>Normal</v>
      </c>
      <c r="V76" t="s">
        <v>42</v>
      </c>
    </row>
    <row r="77" spans="1:22">
      <c r="A77" t="s">
        <v>295</v>
      </c>
      <c r="B77" t="s">
        <v>208</v>
      </c>
      <c r="C77" t="s">
        <v>296</v>
      </c>
      <c r="D77" s="16">
        <v>1744.97</v>
      </c>
      <c r="E77" t="s">
        <v>111</v>
      </c>
      <c r="F77" t="s">
        <v>38</v>
      </c>
      <c r="H77" t="s">
        <v>113</v>
      </c>
      <c r="I77" t="s">
        <v>29</v>
      </c>
      <c r="J77" s="13">
        <v>46178</v>
      </c>
      <c r="K77" s="17" t="s">
        <v>40</v>
      </c>
      <c r="L77" s="13">
        <v>46208</v>
      </c>
      <c r="M77" t="s">
        <v>99</v>
      </c>
      <c r="N77" t="s">
        <v>100</v>
      </c>
      <c r="O77" s="13">
        <v>46189</v>
      </c>
      <c r="Q77">
        <f t="shared" ca="1" si="5"/>
        <v>11</v>
      </c>
      <c r="R77">
        <f t="shared" si="6"/>
        <v>11</v>
      </c>
      <c r="S77">
        <f t="shared" ca="1" si="7"/>
        <v>19</v>
      </c>
      <c r="T77" t="str">
        <f t="shared" ca="1" si="8"/>
        <v>On Track</v>
      </c>
      <c r="U77" t="str">
        <f t="shared" ca="1" si="9"/>
        <v>Normal</v>
      </c>
      <c r="V77" t="s">
        <v>101</v>
      </c>
    </row>
    <row r="78" spans="1:22">
      <c r="A78" t="s">
        <v>297</v>
      </c>
      <c r="B78" t="s">
        <v>151</v>
      </c>
      <c r="C78" t="s">
        <v>298</v>
      </c>
      <c r="D78" s="16">
        <v>13462.44</v>
      </c>
      <c r="E78" t="s">
        <v>126</v>
      </c>
      <c r="F78" t="s">
        <v>26</v>
      </c>
      <c r="G78" t="s">
        <v>299</v>
      </c>
      <c r="H78" t="s">
        <v>127</v>
      </c>
      <c r="I78" t="s">
        <v>92</v>
      </c>
      <c r="J78" s="13">
        <v>46189</v>
      </c>
      <c r="K78" s="17" t="s">
        <v>30</v>
      </c>
      <c r="L78" s="13">
        <v>46204</v>
      </c>
      <c r="M78" t="s">
        <v>99</v>
      </c>
      <c r="N78" t="s">
        <v>32</v>
      </c>
      <c r="O78" s="13">
        <v>46189</v>
      </c>
      <c r="Q78">
        <f t="shared" ca="1" si="5"/>
        <v>0</v>
      </c>
      <c r="R78">
        <f t="shared" si="6"/>
        <v>0</v>
      </c>
      <c r="S78">
        <f t="shared" ca="1" si="7"/>
        <v>15</v>
      </c>
      <c r="T78" t="str">
        <f t="shared" ca="1" si="8"/>
        <v>On Track</v>
      </c>
      <c r="U78" t="str">
        <f t="shared" ca="1" si="9"/>
        <v>Normal</v>
      </c>
    </row>
    <row r="79" spans="1:22">
      <c r="A79" t="s">
        <v>300</v>
      </c>
      <c r="B79" t="s">
        <v>73</v>
      </c>
      <c r="C79" t="s">
        <v>301</v>
      </c>
      <c r="D79" s="16">
        <v>1955.53</v>
      </c>
      <c r="E79" t="s">
        <v>302</v>
      </c>
      <c r="F79" t="s">
        <v>26</v>
      </c>
      <c r="G79" t="s">
        <v>303</v>
      </c>
      <c r="H79" t="s">
        <v>304</v>
      </c>
      <c r="I79" t="s">
        <v>29</v>
      </c>
      <c r="J79" s="13">
        <v>46170</v>
      </c>
      <c r="K79" s="17" t="s">
        <v>57</v>
      </c>
      <c r="L79" s="13">
        <v>46200</v>
      </c>
      <c r="M79" t="s">
        <v>41</v>
      </c>
      <c r="N79" t="s">
        <v>32</v>
      </c>
      <c r="Q79">
        <f t="shared" ca="1" si="5"/>
        <v>19</v>
      </c>
      <c r="R79" t="str">
        <f t="shared" si="6"/>
        <v/>
      </c>
      <c r="S79">
        <f t="shared" ca="1" si="7"/>
        <v>11</v>
      </c>
      <c r="T79" t="str">
        <f t="shared" ca="1" si="8"/>
        <v>Overdue</v>
      </c>
      <c r="U79" t="str">
        <f t="shared" ca="1" si="9"/>
        <v>Normal</v>
      </c>
      <c r="V79" t="s">
        <v>42</v>
      </c>
    </row>
    <row r="80" spans="1:22">
      <c r="A80" t="s">
        <v>305</v>
      </c>
      <c r="B80" t="s">
        <v>187</v>
      </c>
      <c r="C80" t="s">
        <v>306</v>
      </c>
      <c r="D80" s="16">
        <v>4403.37</v>
      </c>
      <c r="E80" t="s">
        <v>111</v>
      </c>
      <c r="F80" t="s">
        <v>26</v>
      </c>
      <c r="G80" t="s">
        <v>307</v>
      </c>
      <c r="H80" t="s">
        <v>113</v>
      </c>
      <c r="I80" t="s">
        <v>29</v>
      </c>
      <c r="J80" s="13">
        <v>46184</v>
      </c>
      <c r="K80" s="17" t="s">
        <v>49</v>
      </c>
      <c r="L80" s="13">
        <v>46229</v>
      </c>
      <c r="M80" t="s">
        <v>145</v>
      </c>
      <c r="N80" t="s">
        <v>32</v>
      </c>
      <c r="O80" s="13">
        <v>46185</v>
      </c>
      <c r="Q80">
        <f t="shared" ca="1" si="5"/>
        <v>5</v>
      </c>
      <c r="R80">
        <f t="shared" si="6"/>
        <v>1</v>
      </c>
      <c r="S80">
        <f t="shared" ca="1" si="7"/>
        <v>40</v>
      </c>
      <c r="T80" t="str">
        <f t="shared" ca="1" si="8"/>
        <v>On Track</v>
      </c>
      <c r="U80" t="str">
        <f t="shared" ca="1" si="9"/>
        <v>Normal</v>
      </c>
    </row>
    <row r="81" spans="1:22">
      <c r="A81" t="s">
        <v>308</v>
      </c>
      <c r="B81" t="s">
        <v>151</v>
      </c>
      <c r="C81" t="s">
        <v>309</v>
      </c>
      <c r="D81" s="16">
        <v>586.07000000000005</v>
      </c>
      <c r="E81" t="s">
        <v>111</v>
      </c>
      <c r="F81" t="s">
        <v>38</v>
      </c>
      <c r="H81" t="s">
        <v>113</v>
      </c>
      <c r="I81" t="s">
        <v>29</v>
      </c>
      <c r="J81" s="13">
        <v>46181</v>
      </c>
      <c r="K81" s="17" t="s">
        <v>49</v>
      </c>
      <c r="L81" s="13">
        <v>46226</v>
      </c>
      <c r="M81" t="s">
        <v>65</v>
      </c>
      <c r="N81" t="s">
        <v>32</v>
      </c>
      <c r="Q81">
        <f t="shared" ca="1" si="5"/>
        <v>8</v>
      </c>
      <c r="R81" t="str">
        <f t="shared" si="6"/>
        <v/>
      </c>
      <c r="S81">
        <f t="shared" ca="1" si="7"/>
        <v>37</v>
      </c>
      <c r="T81" t="str">
        <f t="shared" ca="1" si="8"/>
        <v>On Track</v>
      </c>
      <c r="U81" t="str">
        <f t="shared" ca="1" si="9"/>
        <v>Normal</v>
      </c>
    </row>
    <row r="82" spans="1:22">
      <c r="A82" t="s">
        <v>310</v>
      </c>
      <c r="B82" t="s">
        <v>208</v>
      </c>
      <c r="C82" t="s">
        <v>311</v>
      </c>
      <c r="D82" s="16">
        <v>1985.21</v>
      </c>
      <c r="E82" t="s">
        <v>62</v>
      </c>
      <c r="F82" t="s">
        <v>26</v>
      </c>
      <c r="G82" t="s">
        <v>312</v>
      </c>
      <c r="H82" t="s">
        <v>64</v>
      </c>
      <c r="I82" t="s">
        <v>29</v>
      </c>
      <c r="J82" s="13">
        <v>46188</v>
      </c>
      <c r="K82" s="17" t="s">
        <v>49</v>
      </c>
      <c r="L82" s="13">
        <v>46233</v>
      </c>
      <c r="M82" t="s">
        <v>41</v>
      </c>
      <c r="N82" t="s">
        <v>32</v>
      </c>
      <c r="Q82">
        <f t="shared" ca="1" si="5"/>
        <v>1</v>
      </c>
      <c r="R82" t="str">
        <f t="shared" si="6"/>
        <v/>
      </c>
      <c r="S82">
        <f t="shared" ca="1" si="7"/>
        <v>44</v>
      </c>
      <c r="T82" t="str">
        <f t="shared" ca="1" si="8"/>
        <v>On Track</v>
      </c>
      <c r="U82" t="str">
        <f t="shared" ca="1" si="9"/>
        <v>Normal</v>
      </c>
      <c r="V82" t="s">
        <v>42</v>
      </c>
    </row>
    <row r="83" spans="1:22">
      <c r="A83" t="s">
        <v>313</v>
      </c>
      <c r="B83" t="s">
        <v>118</v>
      </c>
      <c r="C83" t="s">
        <v>314</v>
      </c>
      <c r="D83" s="16">
        <v>88787.88</v>
      </c>
      <c r="E83" t="s">
        <v>69</v>
      </c>
      <c r="F83" t="s">
        <v>38</v>
      </c>
      <c r="H83" t="s">
        <v>121</v>
      </c>
      <c r="I83" t="s">
        <v>122</v>
      </c>
      <c r="J83" s="13">
        <v>46162</v>
      </c>
      <c r="K83" s="17" t="s">
        <v>57</v>
      </c>
      <c r="L83" s="13">
        <v>46192</v>
      </c>
      <c r="M83" t="s">
        <v>31</v>
      </c>
      <c r="N83" t="s">
        <v>32</v>
      </c>
      <c r="O83" s="13">
        <v>46172</v>
      </c>
      <c r="P83" s="13">
        <v>46178</v>
      </c>
      <c r="Q83">
        <f t="shared" ca="1" si="5"/>
        <v>27</v>
      </c>
      <c r="R83">
        <f t="shared" si="6"/>
        <v>10</v>
      </c>
      <c r="S83">
        <f t="shared" ca="1" si="7"/>
        <v>3</v>
      </c>
      <c r="T83" t="str">
        <f t="shared" ca="1" si="8"/>
        <v>On Track</v>
      </c>
      <c r="U83" t="str">
        <f t="shared" ca="1" si="9"/>
        <v>Normal</v>
      </c>
      <c r="V83" t="s">
        <v>33</v>
      </c>
    </row>
    <row r="84" spans="1:22">
      <c r="A84" t="s">
        <v>315</v>
      </c>
      <c r="B84" t="s">
        <v>118</v>
      </c>
      <c r="C84" t="s">
        <v>316</v>
      </c>
      <c r="D84" s="16">
        <v>17250.84</v>
      </c>
      <c r="E84" t="s">
        <v>111</v>
      </c>
      <c r="F84" t="s">
        <v>38</v>
      </c>
      <c r="H84" t="s">
        <v>122</v>
      </c>
      <c r="I84" t="s">
        <v>92</v>
      </c>
      <c r="J84" s="13">
        <v>46185</v>
      </c>
      <c r="K84" s="17" t="s">
        <v>30</v>
      </c>
      <c r="L84" s="13">
        <v>46200</v>
      </c>
      <c r="M84" t="s">
        <v>41</v>
      </c>
      <c r="N84" t="s">
        <v>32</v>
      </c>
      <c r="Q84">
        <f t="shared" ca="1" si="5"/>
        <v>4</v>
      </c>
      <c r="R84" t="str">
        <f t="shared" si="6"/>
        <v/>
      </c>
      <c r="S84">
        <f t="shared" ca="1" si="7"/>
        <v>11</v>
      </c>
      <c r="T84" t="str">
        <f t="shared" ca="1" si="8"/>
        <v>On Track</v>
      </c>
      <c r="U84" t="str">
        <f t="shared" ca="1" si="9"/>
        <v>Normal</v>
      </c>
      <c r="V84" t="s">
        <v>42</v>
      </c>
    </row>
    <row r="85" spans="1:22">
      <c r="A85" t="s">
        <v>317</v>
      </c>
      <c r="B85" t="s">
        <v>73</v>
      </c>
      <c r="C85" t="s">
        <v>318</v>
      </c>
      <c r="D85" s="16">
        <v>1163.6199999999999</v>
      </c>
      <c r="E85" t="s">
        <v>69</v>
      </c>
      <c r="F85" t="s">
        <v>38</v>
      </c>
      <c r="H85" t="s">
        <v>71</v>
      </c>
      <c r="I85" t="s">
        <v>29</v>
      </c>
      <c r="J85" s="13">
        <v>46167</v>
      </c>
      <c r="K85" s="17" t="s">
        <v>49</v>
      </c>
      <c r="L85" s="13">
        <v>46212</v>
      </c>
      <c r="M85" t="s">
        <v>99</v>
      </c>
      <c r="N85" t="s">
        <v>50</v>
      </c>
      <c r="O85" s="13">
        <v>46185</v>
      </c>
      <c r="Q85">
        <f t="shared" ca="1" si="5"/>
        <v>22</v>
      </c>
      <c r="R85">
        <f t="shared" si="6"/>
        <v>18</v>
      </c>
      <c r="S85">
        <f t="shared" ca="1" si="7"/>
        <v>23</v>
      </c>
      <c r="T85" t="str">
        <f t="shared" ca="1" si="8"/>
        <v>On Track</v>
      </c>
      <c r="U85" t="str">
        <f t="shared" ca="1" si="9"/>
        <v>Normal</v>
      </c>
      <c r="V85" t="s">
        <v>51</v>
      </c>
    </row>
    <row r="86" spans="1:22">
      <c r="A86" t="s">
        <v>319</v>
      </c>
      <c r="B86" t="s">
        <v>53</v>
      </c>
      <c r="C86" t="s">
        <v>320</v>
      </c>
      <c r="D86" s="16">
        <v>35282.61</v>
      </c>
      <c r="E86" t="s">
        <v>62</v>
      </c>
      <c r="F86" t="s">
        <v>38</v>
      </c>
      <c r="H86" t="s">
        <v>121</v>
      </c>
      <c r="I86" t="s">
        <v>122</v>
      </c>
      <c r="J86" s="13">
        <v>46187</v>
      </c>
      <c r="K86" s="17" t="s">
        <v>40</v>
      </c>
      <c r="L86" s="13">
        <v>46217</v>
      </c>
      <c r="M86" t="s">
        <v>41</v>
      </c>
      <c r="N86" t="s">
        <v>100</v>
      </c>
      <c r="Q86">
        <f t="shared" ca="1" si="5"/>
        <v>2</v>
      </c>
      <c r="R86" t="str">
        <f t="shared" si="6"/>
        <v/>
      </c>
      <c r="S86">
        <f t="shared" ca="1" si="7"/>
        <v>28</v>
      </c>
      <c r="T86" t="str">
        <f t="shared" ca="1" si="8"/>
        <v>On Track</v>
      </c>
      <c r="U86" t="str">
        <f t="shared" ca="1" si="9"/>
        <v>Normal</v>
      </c>
      <c r="V86" t="s">
        <v>101</v>
      </c>
    </row>
    <row r="87" spans="1:22">
      <c r="A87" t="s">
        <v>321</v>
      </c>
      <c r="B87" t="s">
        <v>67</v>
      </c>
      <c r="C87" t="s">
        <v>322</v>
      </c>
      <c r="D87" s="16">
        <v>3311.37</v>
      </c>
      <c r="E87" t="s">
        <v>25</v>
      </c>
      <c r="F87" t="s">
        <v>38</v>
      </c>
      <c r="H87" t="s">
        <v>28</v>
      </c>
      <c r="I87" t="s">
        <v>29</v>
      </c>
      <c r="J87" s="13">
        <v>46181</v>
      </c>
      <c r="K87" s="17" t="s">
        <v>40</v>
      </c>
      <c r="L87" s="13">
        <v>46211</v>
      </c>
      <c r="M87" t="s">
        <v>99</v>
      </c>
      <c r="N87" t="s">
        <v>50</v>
      </c>
      <c r="O87" s="13">
        <v>46189</v>
      </c>
      <c r="Q87">
        <f t="shared" ca="1" si="5"/>
        <v>8</v>
      </c>
      <c r="R87">
        <f t="shared" si="6"/>
        <v>8</v>
      </c>
      <c r="S87">
        <f t="shared" ca="1" si="7"/>
        <v>22</v>
      </c>
      <c r="T87" t="str">
        <f t="shared" ca="1" si="8"/>
        <v>On Track</v>
      </c>
      <c r="U87" t="str">
        <f t="shared" ca="1" si="9"/>
        <v>Normal</v>
      </c>
      <c r="V87" t="s">
        <v>51</v>
      </c>
    </row>
    <row r="88" spans="1:22">
      <c r="A88" t="s">
        <v>323</v>
      </c>
      <c r="B88" t="s">
        <v>67</v>
      </c>
      <c r="C88" t="s">
        <v>324</v>
      </c>
      <c r="D88" s="16">
        <v>9316.66</v>
      </c>
      <c r="E88" t="s">
        <v>142</v>
      </c>
      <c r="F88" t="s">
        <v>26</v>
      </c>
      <c r="G88" t="s">
        <v>325</v>
      </c>
      <c r="H88" t="s">
        <v>144</v>
      </c>
      <c r="I88" t="s">
        <v>92</v>
      </c>
      <c r="J88" s="13">
        <v>46173</v>
      </c>
      <c r="K88" s="17" t="s">
        <v>49</v>
      </c>
      <c r="L88" s="13">
        <v>46218</v>
      </c>
      <c r="M88" t="s">
        <v>31</v>
      </c>
      <c r="N88" t="s">
        <v>32</v>
      </c>
      <c r="O88" s="13">
        <v>46175</v>
      </c>
      <c r="P88" s="13">
        <v>46176</v>
      </c>
      <c r="Q88">
        <f t="shared" ca="1" si="5"/>
        <v>16</v>
      </c>
      <c r="R88">
        <f t="shared" si="6"/>
        <v>2</v>
      </c>
      <c r="S88">
        <f t="shared" ca="1" si="7"/>
        <v>29</v>
      </c>
      <c r="T88" t="str">
        <f t="shared" ca="1" si="8"/>
        <v>On Track</v>
      </c>
      <c r="U88" t="str">
        <f t="shared" ca="1" si="9"/>
        <v>Normal</v>
      </c>
      <c r="V88" t="s">
        <v>33</v>
      </c>
    </row>
    <row r="89" spans="1:22">
      <c r="A89" t="s">
        <v>326</v>
      </c>
      <c r="B89" t="s">
        <v>251</v>
      </c>
      <c r="C89" t="s">
        <v>327</v>
      </c>
      <c r="D89" s="16">
        <v>4287.03</v>
      </c>
      <c r="E89" t="s">
        <v>25</v>
      </c>
      <c r="F89" t="s">
        <v>26</v>
      </c>
      <c r="G89" t="s">
        <v>328</v>
      </c>
      <c r="H89" t="s">
        <v>28</v>
      </c>
      <c r="I89" t="s">
        <v>29</v>
      </c>
      <c r="J89" s="13">
        <v>46167</v>
      </c>
      <c r="K89" s="17" t="s">
        <v>40</v>
      </c>
      <c r="L89" s="13">
        <v>46197</v>
      </c>
      <c r="M89" t="s">
        <v>145</v>
      </c>
      <c r="N89" t="s">
        <v>32</v>
      </c>
      <c r="O89" s="13">
        <v>46172</v>
      </c>
      <c r="Q89">
        <f t="shared" ca="1" si="5"/>
        <v>22</v>
      </c>
      <c r="R89">
        <f t="shared" si="6"/>
        <v>5</v>
      </c>
      <c r="S89">
        <f t="shared" ca="1" si="7"/>
        <v>8</v>
      </c>
      <c r="T89" t="str">
        <f t="shared" ca="1" si="8"/>
        <v>On Track</v>
      </c>
      <c r="U89" t="str">
        <f t="shared" ca="1" si="9"/>
        <v>Normal</v>
      </c>
    </row>
    <row r="90" spans="1:22">
      <c r="A90" t="s">
        <v>329</v>
      </c>
      <c r="B90" t="s">
        <v>53</v>
      </c>
      <c r="C90" t="s">
        <v>330</v>
      </c>
      <c r="D90" s="16">
        <v>4522.6899999999996</v>
      </c>
      <c r="E90" t="s">
        <v>62</v>
      </c>
      <c r="F90" t="s">
        <v>26</v>
      </c>
      <c r="G90" t="s">
        <v>331</v>
      </c>
      <c r="H90" t="s">
        <v>64</v>
      </c>
      <c r="I90" t="s">
        <v>29</v>
      </c>
      <c r="J90" s="13">
        <v>46167</v>
      </c>
      <c r="K90" s="17" t="s">
        <v>57</v>
      </c>
      <c r="L90" s="13">
        <v>46197</v>
      </c>
      <c r="M90" t="s">
        <v>145</v>
      </c>
      <c r="N90" t="s">
        <v>32</v>
      </c>
      <c r="O90" s="13">
        <v>46172</v>
      </c>
      <c r="Q90">
        <f t="shared" ca="1" si="5"/>
        <v>22</v>
      </c>
      <c r="R90">
        <f t="shared" si="6"/>
        <v>5</v>
      </c>
      <c r="S90">
        <f t="shared" ca="1" si="7"/>
        <v>8</v>
      </c>
      <c r="T90" t="str">
        <f t="shared" ca="1" si="8"/>
        <v>On Track</v>
      </c>
      <c r="U90" t="str">
        <f t="shared" ca="1" si="9"/>
        <v>Normal</v>
      </c>
    </row>
    <row r="91" spans="1:22">
      <c r="A91" t="s">
        <v>332</v>
      </c>
      <c r="B91" t="s">
        <v>118</v>
      </c>
      <c r="C91" t="s">
        <v>333</v>
      </c>
      <c r="D91" s="16">
        <v>4699.18</v>
      </c>
      <c r="E91" t="s">
        <v>142</v>
      </c>
      <c r="F91" t="s">
        <v>26</v>
      </c>
      <c r="G91" t="s">
        <v>334</v>
      </c>
      <c r="H91" t="s">
        <v>335</v>
      </c>
      <c r="I91" t="s">
        <v>29</v>
      </c>
      <c r="J91" s="13">
        <v>46161</v>
      </c>
      <c r="K91" s="17" t="s">
        <v>57</v>
      </c>
      <c r="L91" s="13">
        <v>46191</v>
      </c>
      <c r="M91" t="s">
        <v>31</v>
      </c>
      <c r="N91" t="s">
        <v>100</v>
      </c>
      <c r="O91" s="13">
        <v>46172</v>
      </c>
      <c r="P91" s="13">
        <v>46178</v>
      </c>
      <c r="Q91">
        <f t="shared" ca="1" si="5"/>
        <v>28</v>
      </c>
      <c r="R91">
        <f t="shared" si="6"/>
        <v>11</v>
      </c>
      <c r="S91">
        <f t="shared" ca="1" si="7"/>
        <v>2</v>
      </c>
      <c r="T91" t="str">
        <f t="shared" ca="1" si="8"/>
        <v>On Track</v>
      </c>
      <c r="U91" t="str">
        <f t="shared" ca="1" si="9"/>
        <v>Normal</v>
      </c>
      <c r="V91" t="s">
        <v>101</v>
      </c>
    </row>
    <row r="92" spans="1:22">
      <c r="A92" t="s">
        <v>336</v>
      </c>
      <c r="B92" t="s">
        <v>187</v>
      </c>
      <c r="C92" t="s">
        <v>337</v>
      </c>
      <c r="D92" s="16">
        <v>1767.47</v>
      </c>
      <c r="E92" t="s">
        <v>302</v>
      </c>
      <c r="F92" t="s">
        <v>38</v>
      </c>
      <c r="H92" t="s">
        <v>304</v>
      </c>
      <c r="I92" t="s">
        <v>29</v>
      </c>
      <c r="J92" s="13">
        <v>46180</v>
      </c>
      <c r="K92" s="17" t="s">
        <v>57</v>
      </c>
      <c r="L92" s="13">
        <v>46210</v>
      </c>
      <c r="M92" t="s">
        <v>41</v>
      </c>
      <c r="N92" t="s">
        <v>32</v>
      </c>
      <c r="Q92">
        <f t="shared" ca="1" si="5"/>
        <v>9</v>
      </c>
      <c r="R92" t="str">
        <f t="shared" si="6"/>
        <v/>
      </c>
      <c r="S92">
        <f t="shared" ca="1" si="7"/>
        <v>21</v>
      </c>
      <c r="T92" t="str">
        <f t="shared" ca="1" si="8"/>
        <v>Overdue</v>
      </c>
      <c r="U92" t="str">
        <f t="shared" ca="1" si="9"/>
        <v>Normal</v>
      </c>
      <c r="V92" t="s">
        <v>42</v>
      </c>
    </row>
    <row r="93" spans="1:22">
      <c r="A93" t="s">
        <v>338</v>
      </c>
      <c r="B93" t="s">
        <v>73</v>
      </c>
      <c r="C93" t="s">
        <v>339</v>
      </c>
      <c r="D93" s="16">
        <v>16621.64</v>
      </c>
      <c r="E93" t="s">
        <v>46</v>
      </c>
      <c r="F93" t="s">
        <v>26</v>
      </c>
      <c r="G93" t="s">
        <v>340</v>
      </c>
      <c r="H93" t="s">
        <v>161</v>
      </c>
      <c r="I93" t="s">
        <v>92</v>
      </c>
      <c r="J93" s="13">
        <v>46152</v>
      </c>
      <c r="K93" s="17" t="s">
        <v>49</v>
      </c>
      <c r="L93" s="13">
        <v>46197</v>
      </c>
      <c r="M93" t="s">
        <v>31</v>
      </c>
      <c r="N93" t="s">
        <v>32</v>
      </c>
      <c r="O93" s="13">
        <v>46153</v>
      </c>
      <c r="P93" s="13">
        <v>46156</v>
      </c>
      <c r="Q93">
        <f t="shared" ca="1" si="5"/>
        <v>37</v>
      </c>
      <c r="R93">
        <f t="shared" si="6"/>
        <v>1</v>
      </c>
      <c r="S93">
        <f t="shared" ca="1" si="7"/>
        <v>8</v>
      </c>
      <c r="T93" t="str">
        <f t="shared" ca="1" si="8"/>
        <v>On Track</v>
      </c>
      <c r="U93" t="str">
        <f t="shared" ca="1" si="9"/>
        <v>Normal</v>
      </c>
      <c r="V93" t="s">
        <v>33</v>
      </c>
    </row>
    <row r="94" spans="1:22">
      <c r="A94" t="s">
        <v>341</v>
      </c>
      <c r="B94" t="s">
        <v>129</v>
      </c>
      <c r="C94" t="s">
        <v>342</v>
      </c>
      <c r="D94" s="16">
        <v>1042.82</v>
      </c>
      <c r="E94" t="s">
        <v>37</v>
      </c>
      <c r="F94" t="s">
        <v>26</v>
      </c>
      <c r="G94" t="s">
        <v>343</v>
      </c>
      <c r="H94" t="s">
        <v>39</v>
      </c>
      <c r="I94" t="s">
        <v>29</v>
      </c>
      <c r="J94" s="13">
        <v>46170</v>
      </c>
      <c r="K94" s="17" t="s">
        <v>30</v>
      </c>
      <c r="L94" s="13">
        <v>46185</v>
      </c>
      <c r="M94" t="s">
        <v>99</v>
      </c>
      <c r="N94" t="s">
        <v>32</v>
      </c>
      <c r="O94" s="13">
        <v>46178</v>
      </c>
      <c r="Q94">
        <f t="shared" ca="1" si="5"/>
        <v>19</v>
      </c>
      <c r="R94">
        <f t="shared" si="6"/>
        <v>8</v>
      </c>
      <c r="S94">
        <f t="shared" ca="1" si="7"/>
        <v>-4</v>
      </c>
      <c r="T94" t="str">
        <f t="shared" ca="1" si="8"/>
        <v>On Track</v>
      </c>
      <c r="U94" t="str">
        <f t="shared" ca="1" si="9"/>
        <v>At Risk</v>
      </c>
    </row>
    <row r="95" spans="1:22">
      <c r="A95" t="s">
        <v>344</v>
      </c>
      <c r="B95" t="s">
        <v>35</v>
      </c>
      <c r="C95" t="s">
        <v>345</v>
      </c>
      <c r="D95" s="16">
        <v>2542.4699999999998</v>
      </c>
      <c r="E95" t="s">
        <v>37</v>
      </c>
      <c r="F95" t="s">
        <v>38</v>
      </c>
      <c r="H95" t="s">
        <v>39</v>
      </c>
      <c r="I95" t="s">
        <v>29</v>
      </c>
      <c r="J95" s="13">
        <v>46146</v>
      </c>
      <c r="K95" s="17" t="s">
        <v>49</v>
      </c>
      <c r="L95" s="13">
        <v>46191</v>
      </c>
      <c r="M95" t="s">
        <v>99</v>
      </c>
      <c r="N95" t="s">
        <v>32</v>
      </c>
      <c r="O95" s="13">
        <v>46151</v>
      </c>
      <c r="Q95">
        <f t="shared" ca="1" si="5"/>
        <v>43</v>
      </c>
      <c r="R95">
        <f t="shared" si="6"/>
        <v>5</v>
      </c>
      <c r="S95">
        <f t="shared" ca="1" si="7"/>
        <v>2</v>
      </c>
      <c r="T95" t="str">
        <f t="shared" ca="1" si="8"/>
        <v>On Track</v>
      </c>
      <c r="U95" t="str">
        <f t="shared" ca="1" si="9"/>
        <v>At Risk</v>
      </c>
    </row>
    <row r="96" spans="1:22">
      <c r="A96" t="s">
        <v>346</v>
      </c>
      <c r="B96" t="s">
        <v>118</v>
      </c>
      <c r="C96" t="s">
        <v>347</v>
      </c>
      <c r="D96" s="16">
        <v>4389.1400000000003</v>
      </c>
      <c r="E96" t="s">
        <v>25</v>
      </c>
      <c r="F96" t="s">
        <v>26</v>
      </c>
      <c r="G96" t="s">
        <v>348</v>
      </c>
      <c r="H96" t="s">
        <v>28</v>
      </c>
      <c r="I96" t="s">
        <v>29</v>
      </c>
      <c r="J96" s="13">
        <v>46164</v>
      </c>
      <c r="K96" s="17" t="s">
        <v>57</v>
      </c>
      <c r="L96" s="13">
        <v>46194</v>
      </c>
      <c r="M96" t="s">
        <v>31</v>
      </c>
      <c r="N96" t="s">
        <v>32</v>
      </c>
      <c r="O96" s="13">
        <v>46171</v>
      </c>
      <c r="P96" s="13">
        <v>46176</v>
      </c>
      <c r="Q96">
        <f t="shared" ca="1" si="5"/>
        <v>25</v>
      </c>
      <c r="R96">
        <f t="shared" si="6"/>
        <v>7</v>
      </c>
      <c r="S96">
        <f t="shared" ca="1" si="7"/>
        <v>5</v>
      </c>
      <c r="T96" t="str">
        <f t="shared" ca="1" si="8"/>
        <v>On Track</v>
      </c>
      <c r="U96" t="str">
        <f t="shared" ca="1" si="9"/>
        <v>Normal</v>
      </c>
      <c r="V96" t="s">
        <v>33</v>
      </c>
    </row>
    <row r="97" spans="1:22">
      <c r="A97" t="s">
        <v>349</v>
      </c>
      <c r="B97" t="s">
        <v>109</v>
      </c>
      <c r="C97" t="s">
        <v>350</v>
      </c>
      <c r="D97" s="16">
        <v>2968.13</v>
      </c>
      <c r="E97" t="s">
        <v>142</v>
      </c>
      <c r="F97" t="s">
        <v>26</v>
      </c>
      <c r="G97" t="s">
        <v>351</v>
      </c>
      <c r="H97" t="s">
        <v>335</v>
      </c>
      <c r="I97" t="s">
        <v>29</v>
      </c>
      <c r="J97" s="13">
        <v>46182</v>
      </c>
      <c r="K97" s="17" t="s">
        <v>40</v>
      </c>
      <c r="L97" s="13">
        <v>46212</v>
      </c>
      <c r="M97" t="s">
        <v>65</v>
      </c>
      <c r="N97" t="s">
        <v>32</v>
      </c>
      <c r="Q97">
        <f t="shared" ca="1" si="5"/>
        <v>7</v>
      </c>
      <c r="R97" t="str">
        <f t="shared" si="6"/>
        <v/>
      </c>
      <c r="S97">
        <f t="shared" ca="1" si="7"/>
        <v>23</v>
      </c>
      <c r="T97" t="str">
        <f t="shared" ca="1" si="8"/>
        <v>On Track</v>
      </c>
      <c r="U97" t="str">
        <f t="shared" ca="1" si="9"/>
        <v>Normal</v>
      </c>
    </row>
    <row r="98" spans="1:22">
      <c r="A98" t="s">
        <v>352</v>
      </c>
      <c r="B98" t="s">
        <v>67</v>
      </c>
      <c r="C98" t="s">
        <v>353</v>
      </c>
      <c r="D98" s="16">
        <v>13386.36</v>
      </c>
      <c r="E98" t="s">
        <v>69</v>
      </c>
      <c r="F98" t="s">
        <v>38</v>
      </c>
      <c r="H98" t="s">
        <v>178</v>
      </c>
      <c r="I98" t="s">
        <v>92</v>
      </c>
      <c r="J98" s="13">
        <v>46170</v>
      </c>
      <c r="K98" s="17" t="s">
        <v>49</v>
      </c>
      <c r="L98" s="13">
        <v>46215</v>
      </c>
      <c r="M98" t="s">
        <v>99</v>
      </c>
      <c r="N98" t="s">
        <v>50</v>
      </c>
      <c r="O98" s="13">
        <v>46189</v>
      </c>
      <c r="Q98">
        <f t="shared" ca="1" si="5"/>
        <v>19</v>
      </c>
      <c r="R98">
        <f t="shared" si="6"/>
        <v>19</v>
      </c>
      <c r="S98">
        <f t="shared" ca="1" si="7"/>
        <v>26</v>
      </c>
      <c r="T98" t="str">
        <f t="shared" ca="1" si="8"/>
        <v>On Track</v>
      </c>
      <c r="U98" t="str">
        <f t="shared" ca="1" si="9"/>
        <v>Normal</v>
      </c>
      <c r="V98" t="s">
        <v>51</v>
      </c>
    </row>
    <row r="99" spans="1:22">
      <c r="A99" t="s">
        <v>354</v>
      </c>
      <c r="B99" t="s">
        <v>118</v>
      </c>
      <c r="C99" t="s">
        <v>355</v>
      </c>
      <c r="D99" s="16">
        <v>944.51</v>
      </c>
      <c r="E99" t="s">
        <v>156</v>
      </c>
      <c r="F99" t="s">
        <v>38</v>
      </c>
      <c r="H99" t="s">
        <v>157</v>
      </c>
      <c r="I99" t="s">
        <v>29</v>
      </c>
      <c r="J99" s="13">
        <v>46148</v>
      </c>
      <c r="K99" s="17" t="s">
        <v>30</v>
      </c>
      <c r="L99" s="13">
        <v>46163</v>
      </c>
      <c r="M99" t="s">
        <v>31</v>
      </c>
      <c r="N99" t="s">
        <v>50</v>
      </c>
      <c r="O99" s="13">
        <v>46157</v>
      </c>
      <c r="P99" s="13">
        <v>46160</v>
      </c>
      <c r="Q99">
        <f t="shared" ca="1" si="5"/>
        <v>41</v>
      </c>
      <c r="R99">
        <f t="shared" si="6"/>
        <v>9</v>
      </c>
      <c r="S99">
        <f t="shared" ca="1" si="7"/>
        <v>-26</v>
      </c>
      <c r="T99" t="str">
        <f t="shared" ca="1" si="8"/>
        <v>On Track</v>
      </c>
      <c r="U99" t="str">
        <f t="shared" ca="1" si="9"/>
        <v>Normal</v>
      </c>
      <c r="V99" t="s">
        <v>51</v>
      </c>
    </row>
    <row r="100" spans="1:22">
      <c r="A100" t="s">
        <v>356</v>
      </c>
      <c r="B100" t="s">
        <v>222</v>
      </c>
      <c r="C100" t="s">
        <v>357</v>
      </c>
      <c r="D100" s="16">
        <v>4602.6400000000003</v>
      </c>
      <c r="E100" t="s">
        <v>78</v>
      </c>
      <c r="F100" t="s">
        <v>26</v>
      </c>
      <c r="G100" t="s">
        <v>358</v>
      </c>
      <c r="H100" t="s">
        <v>80</v>
      </c>
      <c r="I100" t="s">
        <v>29</v>
      </c>
      <c r="J100" s="13">
        <v>46151</v>
      </c>
      <c r="K100" s="17" t="s">
        <v>40</v>
      </c>
      <c r="L100" s="13">
        <v>46181</v>
      </c>
      <c r="M100" t="s">
        <v>145</v>
      </c>
      <c r="N100" t="s">
        <v>32</v>
      </c>
      <c r="O100" s="13">
        <v>46158</v>
      </c>
      <c r="Q100">
        <f t="shared" ca="1" si="5"/>
        <v>38</v>
      </c>
      <c r="R100">
        <f t="shared" si="6"/>
        <v>7</v>
      </c>
      <c r="S100">
        <f t="shared" ca="1" si="7"/>
        <v>-8</v>
      </c>
      <c r="T100" t="str">
        <f t="shared" ca="1" si="8"/>
        <v>On Track</v>
      </c>
      <c r="U100" t="str">
        <f t="shared" ca="1" si="9"/>
        <v>At Risk</v>
      </c>
    </row>
    <row r="101" spans="1:22">
      <c r="A101" t="s">
        <v>359</v>
      </c>
      <c r="B101" t="s">
        <v>82</v>
      </c>
      <c r="C101" t="s">
        <v>360</v>
      </c>
      <c r="D101" s="16">
        <v>1849.99</v>
      </c>
      <c r="E101" t="s">
        <v>156</v>
      </c>
      <c r="F101" t="s">
        <v>26</v>
      </c>
      <c r="G101" t="s">
        <v>361</v>
      </c>
      <c r="H101" t="s">
        <v>157</v>
      </c>
      <c r="I101" t="s">
        <v>29</v>
      </c>
      <c r="J101" s="13">
        <v>46153</v>
      </c>
      <c r="K101" s="17" t="s">
        <v>40</v>
      </c>
      <c r="L101" s="13">
        <v>46183</v>
      </c>
      <c r="M101" t="s">
        <v>31</v>
      </c>
      <c r="N101" t="s">
        <v>32</v>
      </c>
      <c r="O101" s="13">
        <v>46155</v>
      </c>
      <c r="P101" s="13">
        <v>46160</v>
      </c>
      <c r="Q101">
        <f t="shared" ca="1" si="5"/>
        <v>36</v>
      </c>
      <c r="R101">
        <f t="shared" si="6"/>
        <v>2</v>
      </c>
      <c r="S101">
        <f t="shared" ca="1" si="7"/>
        <v>-6</v>
      </c>
      <c r="T101" t="str">
        <f t="shared" ca="1" si="8"/>
        <v>On Track</v>
      </c>
      <c r="U101" t="str">
        <f t="shared" ca="1" si="9"/>
        <v>Normal</v>
      </c>
      <c r="V101" t="s">
        <v>33</v>
      </c>
    </row>
    <row r="102" spans="1:22">
      <c r="A102" t="s">
        <v>362</v>
      </c>
      <c r="B102" t="s">
        <v>53</v>
      </c>
      <c r="C102" t="s">
        <v>363</v>
      </c>
      <c r="D102" s="16">
        <v>3922.86</v>
      </c>
      <c r="E102" t="s">
        <v>156</v>
      </c>
      <c r="F102" t="s">
        <v>38</v>
      </c>
      <c r="H102" t="s">
        <v>157</v>
      </c>
      <c r="I102" t="s">
        <v>29</v>
      </c>
      <c r="J102" s="13">
        <v>46183</v>
      </c>
      <c r="K102" s="17" t="s">
        <v>30</v>
      </c>
      <c r="L102" s="13">
        <v>46198</v>
      </c>
      <c r="M102" t="s">
        <v>41</v>
      </c>
      <c r="N102" t="s">
        <v>32</v>
      </c>
      <c r="Q102">
        <f t="shared" ca="1" si="5"/>
        <v>6</v>
      </c>
      <c r="R102" t="str">
        <f t="shared" si="6"/>
        <v/>
      </c>
      <c r="S102">
        <f t="shared" ca="1" si="7"/>
        <v>9</v>
      </c>
      <c r="T102" t="str">
        <f t="shared" ca="1" si="8"/>
        <v>Overdue</v>
      </c>
      <c r="U102" t="str">
        <f t="shared" ca="1" si="9"/>
        <v>Normal</v>
      </c>
      <c r="V102" t="s">
        <v>42</v>
      </c>
    </row>
    <row r="103" spans="1:22">
      <c r="A103" t="s">
        <v>364</v>
      </c>
      <c r="B103" t="s">
        <v>151</v>
      </c>
      <c r="C103" t="s">
        <v>365</v>
      </c>
      <c r="D103" s="16">
        <v>1075.4000000000001</v>
      </c>
      <c r="E103" t="s">
        <v>142</v>
      </c>
      <c r="F103" t="s">
        <v>26</v>
      </c>
      <c r="G103" t="s">
        <v>366</v>
      </c>
      <c r="H103" t="s">
        <v>335</v>
      </c>
      <c r="I103" t="s">
        <v>29</v>
      </c>
      <c r="J103" s="13">
        <v>46169</v>
      </c>
      <c r="K103" s="17" t="s">
        <v>30</v>
      </c>
      <c r="L103" s="13">
        <v>46184</v>
      </c>
      <c r="M103" t="s">
        <v>31</v>
      </c>
      <c r="N103" t="s">
        <v>32</v>
      </c>
      <c r="O103" s="13">
        <v>46170</v>
      </c>
      <c r="P103" s="13">
        <v>46175</v>
      </c>
      <c r="Q103">
        <f t="shared" ca="1" si="5"/>
        <v>20</v>
      </c>
      <c r="R103">
        <f t="shared" si="6"/>
        <v>1</v>
      </c>
      <c r="S103">
        <f t="shared" ca="1" si="7"/>
        <v>-5</v>
      </c>
      <c r="T103" t="str">
        <f t="shared" ca="1" si="8"/>
        <v>On Track</v>
      </c>
      <c r="U103" t="str">
        <f t="shared" ca="1" si="9"/>
        <v>Normal</v>
      </c>
      <c r="V103" t="s">
        <v>33</v>
      </c>
    </row>
    <row r="104" spans="1:22">
      <c r="A104" t="s">
        <v>367</v>
      </c>
      <c r="B104" t="s">
        <v>208</v>
      </c>
      <c r="C104" t="s">
        <v>368</v>
      </c>
      <c r="D104" s="16">
        <v>966.21</v>
      </c>
      <c r="E104" t="s">
        <v>55</v>
      </c>
      <c r="F104" t="s">
        <v>26</v>
      </c>
      <c r="G104" t="s">
        <v>369</v>
      </c>
      <c r="H104" t="s">
        <v>56</v>
      </c>
      <c r="I104" t="s">
        <v>29</v>
      </c>
      <c r="J104" s="13">
        <v>46180</v>
      </c>
      <c r="K104" s="17" t="s">
        <v>30</v>
      </c>
      <c r="L104" s="13">
        <v>46195</v>
      </c>
      <c r="M104" t="s">
        <v>41</v>
      </c>
      <c r="N104" t="s">
        <v>179</v>
      </c>
      <c r="Q104">
        <f t="shared" ca="1" si="5"/>
        <v>9</v>
      </c>
      <c r="R104" t="str">
        <f t="shared" si="6"/>
        <v/>
      </c>
      <c r="S104">
        <f t="shared" ca="1" si="7"/>
        <v>6</v>
      </c>
      <c r="T104" t="str">
        <f t="shared" ca="1" si="8"/>
        <v>Overdue</v>
      </c>
      <c r="U104" t="str">
        <f t="shared" ca="1" si="9"/>
        <v>Normal</v>
      </c>
      <c r="V104" t="s">
        <v>180</v>
      </c>
    </row>
    <row r="105" spans="1:22">
      <c r="A105" t="s">
        <v>370</v>
      </c>
      <c r="B105" t="s">
        <v>118</v>
      </c>
      <c r="C105" t="s">
        <v>371</v>
      </c>
      <c r="D105" s="16">
        <v>3261.82</v>
      </c>
      <c r="E105" t="s">
        <v>25</v>
      </c>
      <c r="F105" t="s">
        <v>26</v>
      </c>
      <c r="G105" t="s">
        <v>372</v>
      </c>
      <c r="H105" t="s">
        <v>28</v>
      </c>
      <c r="I105" t="s">
        <v>29</v>
      </c>
      <c r="J105" s="13">
        <v>46170</v>
      </c>
      <c r="K105" s="17" t="s">
        <v>49</v>
      </c>
      <c r="L105" s="13">
        <v>46215</v>
      </c>
      <c r="M105" t="s">
        <v>31</v>
      </c>
      <c r="N105" t="s">
        <v>32</v>
      </c>
      <c r="O105" s="13">
        <v>46173</v>
      </c>
      <c r="P105" s="13">
        <v>46174</v>
      </c>
      <c r="Q105">
        <f t="shared" ca="1" si="5"/>
        <v>19</v>
      </c>
      <c r="R105">
        <f t="shared" si="6"/>
        <v>3</v>
      </c>
      <c r="S105">
        <f t="shared" ca="1" si="7"/>
        <v>26</v>
      </c>
      <c r="T105" t="str">
        <f t="shared" ca="1" si="8"/>
        <v>On Track</v>
      </c>
      <c r="U105" t="str">
        <f t="shared" ca="1" si="9"/>
        <v>Normal</v>
      </c>
      <c r="V105" t="s">
        <v>33</v>
      </c>
    </row>
    <row r="106" spans="1:22">
      <c r="A106" t="s">
        <v>373</v>
      </c>
      <c r="B106" t="s">
        <v>118</v>
      </c>
      <c r="C106" t="s">
        <v>374</v>
      </c>
      <c r="D106" s="16">
        <v>2647.55</v>
      </c>
      <c r="E106" t="s">
        <v>111</v>
      </c>
      <c r="F106" t="s">
        <v>26</v>
      </c>
      <c r="G106" t="s">
        <v>375</v>
      </c>
      <c r="H106" t="s">
        <v>113</v>
      </c>
      <c r="I106" t="s">
        <v>29</v>
      </c>
      <c r="J106" s="13">
        <v>46169</v>
      </c>
      <c r="K106" s="17" t="s">
        <v>30</v>
      </c>
      <c r="L106" s="13">
        <v>46184</v>
      </c>
      <c r="M106" t="s">
        <v>65</v>
      </c>
      <c r="N106" t="s">
        <v>32</v>
      </c>
      <c r="Q106">
        <f t="shared" ca="1" si="5"/>
        <v>20</v>
      </c>
      <c r="R106" t="str">
        <f t="shared" si="6"/>
        <v/>
      </c>
      <c r="S106">
        <f t="shared" ca="1" si="7"/>
        <v>-5</v>
      </c>
      <c r="T106" t="str">
        <f t="shared" ca="1" si="8"/>
        <v>On Track</v>
      </c>
      <c r="U106" t="str">
        <f t="shared" ca="1" si="9"/>
        <v>At Risk</v>
      </c>
    </row>
    <row r="107" spans="1:22">
      <c r="A107" t="s">
        <v>376</v>
      </c>
      <c r="B107" t="s">
        <v>222</v>
      </c>
      <c r="C107" t="s">
        <v>377</v>
      </c>
      <c r="D107" s="16">
        <v>795.93</v>
      </c>
      <c r="E107" t="s">
        <v>156</v>
      </c>
      <c r="F107" t="s">
        <v>26</v>
      </c>
      <c r="G107" t="s">
        <v>378</v>
      </c>
      <c r="H107" t="s">
        <v>157</v>
      </c>
      <c r="I107" t="s">
        <v>29</v>
      </c>
      <c r="J107" s="13">
        <v>46155</v>
      </c>
      <c r="K107" s="17" t="s">
        <v>57</v>
      </c>
      <c r="L107" s="13">
        <v>46185</v>
      </c>
      <c r="M107" t="s">
        <v>31</v>
      </c>
      <c r="N107" t="s">
        <v>32</v>
      </c>
      <c r="O107" s="13">
        <v>46159</v>
      </c>
      <c r="P107" s="13">
        <v>46166</v>
      </c>
      <c r="Q107">
        <f t="shared" ca="1" si="5"/>
        <v>34</v>
      </c>
      <c r="R107">
        <f t="shared" si="6"/>
        <v>4</v>
      </c>
      <c r="S107">
        <f t="shared" ca="1" si="7"/>
        <v>-4</v>
      </c>
      <c r="T107" t="str">
        <f t="shared" ca="1" si="8"/>
        <v>On Track</v>
      </c>
      <c r="U107" t="str">
        <f t="shared" ca="1" si="9"/>
        <v>Normal</v>
      </c>
      <c r="V107" t="s">
        <v>33</v>
      </c>
    </row>
    <row r="108" spans="1:22">
      <c r="A108" t="s">
        <v>379</v>
      </c>
      <c r="B108" t="s">
        <v>103</v>
      </c>
      <c r="C108" t="s">
        <v>380</v>
      </c>
      <c r="D108" s="16">
        <v>3626.29</v>
      </c>
      <c r="E108" t="s">
        <v>25</v>
      </c>
      <c r="F108" t="s">
        <v>26</v>
      </c>
      <c r="G108" t="s">
        <v>381</v>
      </c>
      <c r="H108" t="s">
        <v>28</v>
      </c>
      <c r="I108" t="s">
        <v>29</v>
      </c>
      <c r="J108" s="13">
        <v>46148</v>
      </c>
      <c r="K108" s="17" t="s">
        <v>49</v>
      </c>
      <c r="L108" s="13">
        <v>46193</v>
      </c>
      <c r="M108" t="s">
        <v>31</v>
      </c>
      <c r="N108" t="s">
        <v>32</v>
      </c>
      <c r="O108" s="13">
        <v>46158</v>
      </c>
      <c r="P108" s="13">
        <v>46162</v>
      </c>
      <c r="Q108">
        <f t="shared" ca="1" si="5"/>
        <v>41</v>
      </c>
      <c r="R108">
        <f t="shared" si="6"/>
        <v>10</v>
      </c>
      <c r="S108">
        <f t="shared" ca="1" si="7"/>
        <v>4</v>
      </c>
      <c r="T108" t="str">
        <f t="shared" ca="1" si="8"/>
        <v>On Track</v>
      </c>
      <c r="U108" t="str">
        <f t="shared" ca="1" si="9"/>
        <v>Normal</v>
      </c>
      <c r="V108" t="s">
        <v>33</v>
      </c>
    </row>
    <row r="109" spans="1:22">
      <c r="A109" t="s">
        <v>382</v>
      </c>
      <c r="B109" t="s">
        <v>53</v>
      </c>
      <c r="C109" t="s">
        <v>383</v>
      </c>
      <c r="D109" s="16">
        <v>1727.7</v>
      </c>
      <c r="E109" t="s">
        <v>55</v>
      </c>
      <c r="F109" t="s">
        <v>38</v>
      </c>
      <c r="H109" t="s">
        <v>56</v>
      </c>
      <c r="I109" t="s">
        <v>29</v>
      </c>
      <c r="J109" s="13">
        <v>46183</v>
      </c>
      <c r="K109" s="17" t="s">
        <v>40</v>
      </c>
      <c r="L109" s="13">
        <v>46213</v>
      </c>
      <c r="M109" t="s">
        <v>145</v>
      </c>
      <c r="N109" t="s">
        <v>50</v>
      </c>
      <c r="O109" s="13">
        <v>46189</v>
      </c>
      <c r="Q109">
        <f t="shared" ca="1" si="5"/>
        <v>6</v>
      </c>
      <c r="R109">
        <f t="shared" si="6"/>
        <v>6</v>
      </c>
      <c r="S109">
        <f t="shared" ca="1" si="7"/>
        <v>24</v>
      </c>
      <c r="T109" t="str">
        <f t="shared" ca="1" si="8"/>
        <v>On Track</v>
      </c>
      <c r="U109" t="str">
        <f t="shared" ca="1" si="9"/>
        <v>Normal</v>
      </c>
      <c r="V109" t="s">
        <v>51</v>
      </c>
    </row>
    <row r="110" spans="1:22">
      <c r="A110" t="s">
        <v>384</v>
      </c>
      <c r="B110" t="s">
        <v>168</v>
      </c>
      <c r="C110" t="s">
        <v>385</v>
      </c>
      <c r="D110" s="16">
        <v>607.84</v>
      </c>
      <c r="E110" t="s">
        <v>37</v>
      </c>
      <c r="F110" t="s">
        <v>38</v>
      </c>
      <c r="H110" t="s">
        <v>39</v>
      </c>
      <c r="I110" t="s">
        <v>29</v>
      </c>
      <c r="J110" s="13">
        <v>46165</v>
      </c>
      <c r="K110" s="17" t="s">
        <v>57</v>
      </c>
      <c r="L110" s="13">
        <v>46195</v>
      </c>
      <c r="M110" t="s">
        <v>31</v>
      </c>
      <c r="N110" t="s">
        <v>100</v>
      </c>
      <c r="O110" s="13">
        <v>46178</v>
      </c>
      <c r="P110" s="13">
        <v>46184</v>
      </c>
      <c r="Q110">
        <f t="shared" ca="1" si="5"/>
        <v>24</v>
      </c>
      <c r="R110">
        <f t="shared" si="6"/>
        <v>13</v>
      </c>
      <c r="S110">
        <f t="shared" ca="1" si="7"/>
        <v>6</v>
      </c>
      <c r="T110" t="str">
        <f t="shared" ca="1" si="8"/>
        <v>On Track</v>
      </c>
      <c r="U110" t="str">
        <f t="shared" ca="1" si="9"/>
        <v>Normal</v>
      </c>
      <c r="V110" t="s">
        <v>101</v>
      </c>
    </row>
    <row r="111" spans="1:22">
      <c r="A111" t="s">
        <v>386</v>
      </c>
      <c r="B111" t="s">
        <v>23</v>
      </c>
      <c r="C111" t="s">
        <v>387</v>
      </c>
      <c r="D111" s="16">
        <v>916.32</v>
      </c>
      <c r="E111" t="s">
        <v>46</v>
      </c>
      <c r="F111" t="s">
        <v>26</v>
      </c>
      <c r="G111" t="s">
        <v>388</v>
      </c>
      <c r="H111" t="s">
        <v>48</v>
      </c>
      <c r="I111" t="s">
        <v>29</v>
      </c>
      <c r="J111" s="13">
        <v>46153</v>
      </c>
      <c r="K111" s="17" t="s">
        <v>30</v>
      </c>
      <c r="L111" s="13">
        <v>46168</v>
      </c>
      <c r="M111" t="s">
        <v>31</v>
      </c>
      <c r="N111" t="s">
        <v>32</v>
      </c>
      <c r="O111" s="13">
        <v>46161</v>
      </c>
      <c r="P111" s="13">
        <v>46166</v>
      </c>
      <c r="Q111">
        <f t="shared" ca="1" si="5"/>
        <v>36</v>
      </c>
      <c r="R111">
        <f t="shared" si="6"/>
        <v>8</v>
      </c>
      <c r="S111">
        <f t="shared" ca="1" si="7"/>
        <v>-21</v>
      </c>
      <c r="T111" t="str">
        <f t="shared" ca="1" si="8"/>
        <v>On Track</v>
      </c>
      <c r="U111" t="str">
        <f t="shared" ca="1" si="9"/>
        <v>Normal</v>
      </c>
      <c r="V111" t="s">
        <v>33</v>
      </c>
    </row>
    <row r="112" spans="1:22">
      <c r="A112" t="s">
        <v>389</v>
      </c>
      <c r="B112" t="s">
        <v>115</v>
      </c>
      <c r="C112" t="s">
        <v>390</v>
      </c>
      <c r="D112" s="16">
        <v>4263.32</v>
      </c>
      <c r="E112" t="s">
        <v>62</v>
      </c>
      <c r="F112" t="s">
        <v>38</v>
      </c>
      <c r="H112" t="s">
        <v>64</v>
      </c>
      <c r="I112" t="s">
        <v>29</v>
      </c>
      <c r="J112" s="13">
        <v>46183</v>
      </c>
      <c r="K112" s="17" t="s">
        <v>49</v>
      </c>
      <c r="L112" s="13">
        <v>46228</v>
      </c>
      <c r="M112" t="s">
        <v>41</v>
      </c>
      <c r="N112" t="s">
        <v>50</v>
      </c>
      <c r="Q112">
        <f t="shared" ca="1" si="5"/>
        <v>6</v>
      </c>
      <c r="R112" t="str">
        <f t="shared" si="6"/>
        <v/>
      </c>
      <c r="S112">
        <f t="shared" ca="1" si="7"/>
        <v>39</v>
      </c>
      <c r="T112" t="str">
        <f t="shared" ca="1" si="8"/>
        <v>Overdue</v>
      </c>
      <c r="U112" t="str">
        <f t="shared" ca="1" si="9"/>
        <v>Normal</v>
      </c>
      <c r="V112" t="s">
        <v>51</v>
      </c>
    </row>
    <row r="113" spans="1:22">
      <c r="A113" t="s">
        <v>391</v>
      </c>
      <c r="B113" t="s">
        <v>23</v>
      </c>
      <c r="C113" t="s">
        <v>392</v>
      </c>
      <c r="D113" s="16">
        <v>16532.689999999999</v>
      </c>
      <c r="E113" t="s">
        <v>156</v>
      </c>
      <c r="F113" t="s">
        <v>26</v>
      </c>
      <c r="G113" t="s">
        <v>393</v>
      </c>
      <c r="H113" t="s">
        <v>394</v>
      </c>
      <c r="I113" t="s">
        <v>92</v>
      </c>
      <c r="J113" s="13">
        <v>46163</v>
      </c>
      <c r="K113" s="17" t="s">
        <v>40</v>
      </c>
      <c r="L113" s="13">
        <v>46193</v>
      </c>
      <c r="M113" t="s">
        <v>31</v>
      </c>
      <c r="N113" t="s">
        <v>32</v>
      </c>
      <c r="O113" s="13">
        <v>46164</v>
      </c>
      <c r="P113" s="13">
        <v>46167</v>
      </c>
      <c r="Q113">
        <f t="shared" ca="1" si="5"/>
        <v>26</v>
      </c>
      <c r="R113">
        <f t="shared" si="6"/>
        <v>1</v>
      </c>
      <c r="S113">
        <f t="shared" ca="1" si="7"/>
        <v>4</v>
      </c>
      <c r="T113" t="str">
        <f t="shared" ca="1" si="8"/>
        <v>On Track</v>
      </c>
      <c r="U113" t="str">
        <f t="shared" ca="1" si="9"/>
        <v>Normal</v>
      </c>
      <c r="V113" t="s">
        <v>33</v>
      </c>
    </row>
    <row r="114" spans="1:22">
      <c r="A114" t="s">
        <v>395</v>
      </c>
      <c r="B114" t="s">
        <v>23</v>
      </c>
      <c r="C114" t="s">
        <v>396</v>
      </c>
      <c r="D114" s="16">
        <v>2557.16</v>
      </c>
      <c r="E114" t="s">
        <v>25</v>
      </c>
      <c r="F114" t="s">
        <v>26</v>
      </c>
      <c r="G114" t="s">
        <v>397</v>
      </c>
      <c r="H114" t="s">
        <v>28</v>
      </c>
      <c r="I114" t="s">
        <v>29</v>
      </c>
      <c r="J114" s="13">
        <v>46146</v>
      </c>
      <c r="K114" s="17" t="s">
        <v>40</v>
      </c>
      <c r="L114" s="13">
        <v>46176</v>
      </c>
      <c r="M114" t="s">
        <v>31</v>
      </c>
      <c r="N114" t="s">
        <v>213</v>
      </c>
      <c r="O114" s="13">
        <v>46159</v>
      </c>
      <c r="P114" s="13">
        <v>46164</v>
      </c>
      <c r="Q114">
        <f t="shared" ca="1" si="5"/>
        <v>43</v>
      </c>
      <c r="R114">
        <f t="shared" si="6"/>
        <v>13</v>
      </c>
      <c r="S114">
        <f t="shared" ca="1" si="7"/>
        <v>-13</v>
      </c>
      <c r="T114" t="str">
        <f t="shared" ca="1" si="8"/>
        <v>On Track</v>
      </c>
      <c r="U114" t="str">
        <f t="shared" ca="1" si="9"/>
        <v>Normal</v>
      </c>
      <c r="V114" t="s">
        <v>214</v>
      </c>
    </row>
    <row r="115" spans="1:22">
      <c r="A115" t="s">
        <v>398</v>
      </c>
      <c r="B115" t="s">
        <v>82</v>
      </c>
      <c r="C115" t="s">
        <v>399</v>
      </c>
      <c r="D115" s="16">
        <v>4341.03</v>
      </c>
      <c r="E115" t="s">
        <v>62</v>
      </c>
      <c r="F115" t="s">
        <v>26</v>
      </c>
      <c r="G115" t="s">
        <v>400</v>
      </c>
      <c r="H115" t="s">
        <v>64</v>
      </c>
      <c r="I115" t="s">
        <v>29</v>
      </c>
      <c r="J115" s="13">
        <v>46149</v>
      </c>
      <c r="K115" s="17" t="s">
        <v>57</v>
      </c>
      <c r="L115" s="13">
        <v>46179</v>
      </c>
      <c r="M115" t="s">
        <v>84</v>
      </c>
      <c r="N115" t="s">
        <v>32</v>
      </c>
      <c r="O115" s="13">
        <v>46159</v>
      </c>
      <c r="Q115">
        <f t="shared" ca="1" si="5"/>
        <v>40</v>
      </c>
      <c r="R115">
        <f t="shared" si="6"/>
        <v>10</v>
      </c>
      <c r="S115">
        <f t="shared" ca="1" si="7"/>
        <v>-10</v>
      </c>
      <c r="T115" t="str">
        <f t="shared" ca="1" si="8"/>
        <v>On Track</v>
      </c>
      <c r="U115" t="str">
        <f t="shared" ca="1" si="9"/>
        <v>At Risk</v>
      </c>
    </row>
    <row r="116" spans="1:22">
      <c r="A116" t="s">
        <v>401</v>
      </c>
      <c r="B116" t="s">
        <v>187</v>
      </c>
      <c r="C116" t="s">
        <v>402</v>
      </c>
      <c r="D116" s="16">
        <v>4426.6099999999997</v>
      </c>
      <c r="E116" t="s">
        <v>46</v>
      </c>
      <c r="F116" t="s">
        <v>26</v>
      </c>
      <c r="G116" t="s">
        <v>403</v>
      </c>
      <c r="H116" t="s">
        <v>48</v>
      </c>
      <c r="I116" t="s">
        <v>29</v>
      </c>
      <c r="J116" s="13">
        <v>46165</v>
      </c>
      <c r="K116" s="17" t="s">
        <v>30</v>
      </c>
      <c r="L116" s="13">
        <v>46180</v>
      </c>
      <c r="M116" t="s">
        <v>31</v>
      </c>
      <c r="N116" t="s">
        <v>32</v>
      </c>
      <c r="O116" s="13">
        <v>46167</v>
      </c>
      <c r="P116" s="13">
        <v>46172</v>
      </c>
      <c r="Q116">
        <f t="shared" ca="1" si="5"/>
        <v>24</v>
      </c>
      <c r="R116">
        <f t="shared" si="6"/>
        <v>2</v>
      </c>
      <c r="S116">
        <f t="shared" ca="1" si="7"/>
        <v>-9</v>
      </c>
      <c r="T116" t="str">
        <f t="shared" ca="1" si="8"/>
        <v>On Track</v>
      </c>
      <c r="U116" t="str">
        <f t="shared" ca="1" si="9"/>
        <v>Normal</v>
      </c>
      <c r="V116" t="s">
        <v>33</v>
      </c>
    </row>
    <row r="117" spans="1:22">
      <c r="A117" t="s">
        <v>404</v>
      </c>
      <c r="B117" t="s">
        <v>208</v>
      </c>
      <c r="C117" t="s">
        <v>405</v>
      </c>
      <c r="D117" s="16">
        <v>4124.63</v>
      </c>
      <c r="E117" t="s">
        <v>156</v>
      </c>
      <c r="F117" t="s">
        <v>38</v>
      </c>
      <c r="H117" t="s">
        <v>157</v>
      </c>
      <c r="I117" t="s">
        <v>29</v>
      </c>
      <c r="J117" s="13">
        <v>46182</v>
      </c>
      <c r="K117" s="17" t="s">
        <v>57</v>
      </c>
      <c r="L117" s="13">
        <v>46212</v>
      </c>
      <c r="M117" t="s">
        <v>99</v>
      </c>
      <c r="N117" t="s">
        <v>32</v>
      </c>
      <c r="O117" s="13">
        <v>46188</v>
      </c>
      <c r="Q117">
        <f t="shared" ca="1" si="5"/>
        <v>7</v>
      </c>
      <c r="R117">
        <f t="shared" si="6"/>
        <v>6</v>
      </c>
      <c r="S117">
        <f t="shared" ca="1" si="7"/>
        <v>23</v>
      </c>
      <c r="T117" t="str">
        <f t="shared" ca="1" si="8"/>
        <v>On Track</v>
      </c>
      <c r="U117" t="str">
        <f t="shared" ca="1" si="9"/>
        <v>Normal</v>
      </c>
    </row>
    <row r="118" spans="1:22">
      <c r="A118" t="s">
        <v>406</v>
      </c>
      <c r="B118" t="s">
        <v>118</v>
      </c>
      <c r="C118" t="s">
        <v>407</v>
      </c>
      <c r="D118" s="16">
        <v>3475.19</v>
      </c>
      <c r="E118" t="s">
        <v>55</v>
      </c>
      <c r="F118" t="s">
        <v>26</v>
      </c>
      <c r="G118" t="s">
        <v>408</v>
      </c>
      <c r="H118" t="s">
        <v>56</v>
      </c>
      <c r="I118" t="s">
        <v>29</v>
      </c>
      <c r="J118" s="13">
        <v>46168</v>
      </c>
      <c r="K118" s="17" t="s">
        <v>49</v>
      </c>
      <c r="L118" s="13">
        <v>46213</v>
      </c>
      <c r="M118" t="s">
        <v>31</v>
      </c>
      <c r="N118" t="s">
        <v>50</v>
      </c>
      <c r="O118" s="13">
        <v>46178</v>
      </c>
      <c r="P118" s="13">
        <v>46183</v>
      </c>
      <c r="Q118">
        <f t="shared" ca="1" si="5"/>
        <v>21</v>
      </c>
      <c r="R118">
        <f t="shared" si="6"/>
        <v>10</v>
      </c>
      <c r="S118">
        <f t="shared" ca="1" si="7"/>
        <v>24</v>
      </c>
      <c r="T118" t="str">
        <f t="shared" ca="1" si="8"/>
        <v>On Track</v>
      </c>
      <c r="U118" t="str">
        <f t="shared" ca="1" si="9"/>
        <v>Normal</v>
      </c>
      <c r="V118" t="s">
        <v>51</v>
      </c>
    </row>
    <row r="119" spans="1:22">
      <c r="A119" t="s">
        <v>409</v>
      </c>
      <c r="B119" t="s">
        <v>94</v>
      </c>
      <c r="C119" t="s">
        <v>410</v>
      </c>
      <c r="D119" s="16">
        <v>4577.82</v>
      </c>
      <c r="E119" t="s">
        <v>142</v>
      </c>
      <c r="F119" t="s">
        <v>26</v>
      </c>
      <c r="G119" t="s">
        <v>411</v>
      </c>
      <c r="H119" t="s">
        <v>335</v>
      </c>
      <c r="I119" t="s">
        <v>29</v>
      </c>
      <c r="J119" s="13">
        <v>46175</v>
      </c>
      <c r="K119" s="17" t="s">
        <v>57</v>
      </c>
      <c r="L119" s="13">
        <v>46205</v>
      </c>
      <c r="M119" t="s">
        <v>31</v>
      </c>
      <c r="N119" t="s">
        <v>32</v>
      </c>
      <c r="O119" s="13">
        <v>46178</v>
      </c>
      <c r="P119" s="13">
        <v>46181</v>
      </c>
      <c r="Q119">
        <f t="shared" ca="1" si="5"/>
        <v>14</v>
      </c>
      <c r="R119">
        <f t="shared" si="6"/>
        <v>3</v>
      </c>
      <c r="S119">
        <f t="shared" ca="1" si="7"/>
        <v>16</v>
      </c>
      <c r="T119" t="str">
        <f t="shared" ca="1" si="8"/>
        <v>On Track</v>
      </c>
      <c r="U119" t="str">
        <f t="shared" ca="1" si="9"/>
        <v>Normal</v>
      </c>
      <c r="V119" t="s">
        <v>33</v>
      </c>
    </row>
    <row r="120" spans="1:22">
      <c r="A120" t="s">
        <v>412</v>
      </c>
      <c r="B120" t="s">
        <v>53</v>
      </c>
      <c r="C120" t="s">
        <v>413</v>
      </c>
      <c r="D120" s="16">
        <v>21284.84</v>
      </c>
      <c r="E120" t="s">
        <v>78</v>
      </c>
      <c r="F120" t="s">
        <v>38</v>
      </c>
      <c r="H120" t="s">
        <v>91</v>
      </c>
      <c r="I120" t="s">
        <v>92</v>
      </c>
      <c r="J120" s="13">
        <v>46146</v>
      </c>
      <c r="K120" s="17" t="s">
        <v>49</v>
      </c>
      <c r="L120" s="13">
        <v>46191</v>
      </c>
      <c r="M120" t="s">
        <v>31</v>
      </c>
      <c r="N120" t="s">
        <v>179</v>
      </c>
      <c r="O120" s="13">
        <v>46157</v>
      </c>
      <c r="P120" s="13">
        <v>46164</v>
      </c>
      <c r="Q120">
        <f t="shared" ca="1" si="5"/>
        <v>43</v>
      </c>
      <c r="R120">
        <f t="shared" si="6"/>
        <v>11</v>
      </c>
      <c r="S120">
        <f t="shared" ca="1" si="7"/>
        <v>2</v>
      </c>
      <c r="T120" t="str">
        <f t="shared" ca="1" si="8"/>
        <v>On Track</v>
      </c>
      <c r="U120" t="str">
        <f t="shared" ca="1" si="9"/>
        <v>Normal</v>
      </c>
      <c r="V120" t="s">
        <v>180</v>
      </c>
    </row>
    <row r="121" spans="1:22">
      <c r="A121" t="s">
        <v>414</v>
      </c>
      <c r="B121" t="s">
        <v>187</v>
      </c>
      <c r="C121" t="s">
        <v>415</v>
      </c>
      <c r="D121" s="16">
        <v>5852</v>
      </c>
      <c r="E121" t="s">
        <v>46</v>
      </c>
      <c r="F121" t="s">
        <v>26</v>
      </c>
      <c r="G121" t="s">
        <v>416</v>
      </c>
      <c r="H121" t="s">
        <v>161</v>
      </c>
      <c r="I121" t="s">
        <v>92</v>
      </c>
      <c r="J121" s="13">
        <v>46159</v>
      </c>
      <c r="K121" s="17" t="s">
        <v>40</v>
      </c>
      <c r="L121" s="13">
        <v>46189</v>
      </c>
      <c r="M121" t="s">
        <v>31</v>
      </c>
      <c r="N121" t="s">
        <v>32</v>
      </c>
      <c r="O121" s="13">
        <v>46167</v>
      </c>
      <c r="P121" s="13">
        <v>46169</v>
      </c>
      <c r="Q121">
        <f t="shared" ca="1" si="5"/>
        <v>30</v>
      </c>
      <c r="R121">
        <f t="shared" si="6"/>
        <v>8</v>
      </c>
      <c r="S121">
        <f t="shared" ca="1" si="7"/>
        <v>0</v>
      </c>
      <c r="T121" t="str">
        <f t="shared" ca="1" si="8"/>
        <v>On Track</v>
      </c>
      <c r="U121" t="str">
        <f t="shared" ca="1" si="9"/>
        <v>Normal</v>
      </c>
      <c r="V121" t="s">
        <v>33</v>
      </c>
    </row>
    <row r="122" spans="1:22">
      <c r="A122" t="s">
        <v>417</v>
      </c>
      <c r="B122" t="s">
        <v>251</v>
      </c>
      <c r="C122" t="s">
        <v>418</v>
      </c>
      <c r="D122" s="16">
        <v>4559.4399999999996</v>
      </c>
      <c r="E122" t="s">
        <v>126</v>
      </c>
      <c r="F122" t="s">
        <v>38</v>
      </c>
      <c r="H122" t="s">
        <v>241</v>
      </c>
      <c r="I122" t="s">
        <v>29</v>
      </c>
      <c r="J122" s="13">
        <v>46173</v>
      </c>
      <c r="K122" s="17" t="s">
        <v>49</v>
      </c>
      <c r="L122" s="13">
        <v>46218</v>
      </c>
      <c r="M122" t="s">
        <v>99</v>
      </c>
      <c r="N122" t="s">
        <v>58</v>
      </c>
      <c r="O122" s="13">
        <v>46189</v>
      </c>
      <c r="Q122">
        <f t="shared" ca="1" si="5"/>
        <v>16</v>
      </c>
      <c r="R122">
        <f t="shared" si="6"/>
        <v>16</v>
      </c>
      <c r="S122">
        <f t="shared" ca="1" si="7"/>
        <v>29</v>
      </c>
      <c r="T122" t="str">
        <f t="shared" ca="1" si="8"/>
        <v>On Track</v>
      </c>
      <c r="U122" t="str">
        <f t="shared" ca="1" si="9"/>
        <v>Normal</v>
      </c>
      <c r="V122" t="s">
        <v>59</v>
      </c>
    </row>
    <row r="123" spans="1:22">
      <c r="A123" t="s">
        <v>419</v>
      </c>
      <c r="B123" t="s">
        <v>44</v>
      </c>
      <c r="C123" t="s">
        <v>420</v>
      </c>
      <c r="D123" s="16">
        <v>4227.2299999999996</v>
      </c>
      <c r="E123" t="s">
        <v>302</v>
      </c>
      <c r="F123" t="s">
        <v>26</v>
      </c>
      <c r="G123" t="s">
        <v>421</v>
      </c>
      <c r="H123" t="s">
        <v>304</v>
      </c>
      <c r="I123" t="s">
        <v>29</v>
      </c>
      <c r="J123" s="13">
        <v>46189</v>
      </c>
      <c r="K123" s="17" t="s">
        <v>30</v>
      </c>
      <c r="L123" s="13">
        <v>46204</v>
      </c>
      <c r="M123" t="s">
        <v>41</v>
      </c>
      <c r="N123" t="s">
        <v>32</v>
      </c>
      <c r="Q123">
        <f t="shared" ca="1" si="5"/>
        <v>0</v>
      </c>
      <c r="R123" t="str">
        <f t="shared" si="6"/>
        <v/>
      </c>
      <c r="S123">
        <f t="shared" ca="1" si="7"/>
        <v>15</v>
      </c>
      <c r="T123" t="str">
        <f t="shared" ca="1" si="8"/>
        <v>On Track</v>
      </c>
      <c r="U123" t="str">
        <f t="shared" ca="1" si="9"/>
        <v>Normal</v>
      </c>
      <c r="V123" t="s">
        <v>42</v>
      </c>
    </row>
    <row r="124" spans="1:22">
      <c r="A124" t="s">
        <v>422</v>
      </c>
      <c r="B124" t="s">
        <v>222</v>
      </c>
      <c r="C124" t="s">
        <v>423</v>
      </c>
      <c r="D124" s="16">
        <v>4392.8</v>
      </c>
      <c r="E124" t="s">
        <v>55</v>
      </c>
      <c r="F124" t="s">
        <v>38</v>
      </c>
      <c r="H124" t="s">
        <v>56</v>
      </c>
      <c r="I124" t="s">
        <v>29</v>
      </c>
      <c r="J124" s="13">
        <v>46166</v>
      </c>
      <c r="K124" s="17" t="s">
        <v>30</v>
      </c>
      <c r="L124" s="13">
        <v>46181</v>
      </c>
      <c r="M124" t="s">
        <v>31</v>
      </c>
      <c r="N124" t="s">
        <v>32</v>
      </c>
      <c r="O124" s="13">
        <v>46174</v>
      </c>
      <c r="P124" s="13">
        <v>46175</v>
      </c>
      <c r="Q124">
        <f t="shared" ca="1" si="5"/>
        <v>23</v>
      </c>
      <c r="R124">
        <f t="shared" si="6"/>
        <v>8</v>
      </c>
      <c r="S124">
        <f t="shared" ca="1" si="7"/>
        <v>-8</v>
      </c>
      <c r="T124" t="str">
        <f t="shared" ca="1" si="8"/>
        <v>On Track</v>
      </c>
      <c r="U124" t="str">
        <f t="shared" ca="1" si="9"/>
        <v>Normal</v>
      </c>
      <c r="V124" t="s">
        <v>33</v>
      </c>
    </row>
    <row r="125" spans="1:22">
      <c r="A125" t="s">
        <v>424</v>
      </c>
      <c r="B125" t="s">
        <v>129</v>
      </c>
      <c r="C125" t="s">
        <v>425</v>
      </c>
      <c r="D125" s="16">
        <v>700.83</v>
      </c>
      <c r="E125" t="s">
        <v>302</v>
      </c>
      <c r="F125" t="s">
        <v>38</v>
      </c>
      <c r="H125" t="s">
        <v>304</v>
      </c>
      <c r="I125" t="s">
        <v>29</v>
      </c>
      <c r="J125" s="13">
        <v>46165</v>
      </c>
      <c r="K125" s="17" t="s">
        <v>57</v>
      </c>
      <c r="L125" s="13">
        <v>46195</v>
      </c>
      <c r="M125" t="s">
        <v>31</v>
      </c>
      <c r="N125" t="s">
        <v>32</v>
      </c>
      <c r="O125" s="13">
        <v>46176</v>
      </c>
      <c r="P125" s="13">
        <v>46180</v>
      </c>
      <c r="Q125">
        <f t="shared" ca="1" si="5"/>
        <v>24</v>
      </c>
      <c r="R125">
        <f t="shared" si="6"/>
        <v>11</v>
      </c>
      <c r="S125">
        <f t="shared" ca="1" si="7"/>
        <v>6</v>
      </c>
      <c r="T125" t="str">
        <f t="shared" ca="1" si="8"/>
        <v>On Track</v>
      </c>
      <c r="U125" t="str">
        <f t="shared" ca="1" si="9"/>
        <v>Normal</v>
      </c>
      <c r="V125" t="s">
        <v>33</v>
      </c>
    </row>
    <row r="126" spans="1:22">
      <c r="A126" t="s">
        <v>426</v>
      </c>
      <c r="B126" t="s">
        <v>187</v>
      </c>
      <c r="C126" t="s">
        <v>427</v>
      </c>
      <c r="D126" s="16">
        <v>5370.58</v>
      </c>
      <c r="E126" t="s">
        <v>302</v>
      </c>
      <c r="F126" t="s">
        <v>26</v>
      </c>
      <c r="G126" t="s">
        <v>428</v>
      </c>
      <c r="H126" t="s">
        <v>429</v>
      </c>
      <c r="I126" t="s">
        <v>92</v>
      </c>
      <c r="J126" s="13">
        <v>46179</v>
      </c>
      <c r="K126" s="17" t="s">
        <v>40</v>
      </c>
      <c r="L126" s="13">
        <v>46209</v>
      </c>
      <c r="M126" t="s">
        <v>31</v>
      </c>
      <c r="N126" t="s">
        <v>32</v>
      </c>
      <c r="O126" s="13">
        <v>46186</v>
      </c>
      <c r="P126" s="13">
        <v>46187</v>
      </c>
      <c r="Q126">
        <f t="shared" ca="1" si="5"/>
        <v>10</v>
      </c>
      <c r="R126">
        <f t="shared" si="6"/>
        <v>7</v>
      </c>
      <c r="S126">
        <f t="shared" ca="1" si="7"/>
        <v>20</v>
      </c>
      <c r="T126" t="str">
        <f t="shared" ca="1" si="8"/>
        <v>On Track</v>
      </c>
      <c r="U126" t="str">
        <f t="shared" ca="1" si="9"/>
        <v>Normal</v>
      </c>
      <c r="V126" t="s">
        <v>33</v>
      </c>
    </row>
    <row r="127" spans="1:22">
      <c r="A127" t="s">
        <v>430</v>
      </c>
      <c r="B127" t="s">
        <v>129</v>
      </c>
      <c r="C127" t="s">
        <v>431</v>
      </c>
      <c r="D127" s="16">
        <v>3083.79</v>
      </c>
      <c r="E127" t="s">
        <v>55</v>
      </c>
      <c r="F127" t="s">
        <v>26</v>
      </c>
      <c r="G127" t="s">
        <v>432</v>
      </c>
      <c r="H127" t="s">
        <v>56</v>
      </c>
      <c r="I127" t="s">
        <v>29</v>
      </c>
      <c r="J127" s="13">
        <v>46175</v>
      </c>
      <c r="K127" s="17" t="s">
        <v>30</v>
      </c>
      <c r="L127" s="13">
        <v>46190</v>
      </c>
      <c r="M127" t="s">
        <v>41</v>
      </c>
      <c r="N127" t="s">
        <v>32</v>
      </c>
      <c r="Q127">
        <f t="shared" ca="1" si="5"/>
        <v>14</v>
      </c>
      <c r="R127" t="str">
        <f t="shared" si="6"/>
        <v/>
      </c>
      <c r="S127">
        <f t="shared" ca="1" si="7"/>
        <v>1</v>
      </c>
      <c r="T127" t="str">
        <f t="shared" ca="1" si="8"/>
        <v>Overdue</v>
      </c>
      <c r="U127" t="str">
        <f t="shared" ca="1" si="9"/>
        <v>At Risk</v>
      </c>
      <c r="V127" t="s">
        <v>42</v>
      </c>
    </row>
    <row r="128" spans="1:22">
      <c r="A128" t="s">
        <v>433</v>
      </c>
      <c r="B128" t="s">
        <v>168</v>
      </c>
      <c r="C128" t="s">
        <v>434</v>
      </c>
      <c r="D128" s="16">
        <v>1344.57</v>
      </c>
      <c r="E128" t="s">
        <v>302</v>
      </c>
      <c r="F128" t="s">
        <v>26</v>
      </c>
      <c r="G128" t="s">
        <v>435</v>
      </c>
      <c r="H128" t="s">
        <v>304</v>
      </c>
      <c r="I128" t="s">
        <v>29</v>
      </c>
      <c r="J128" s="13">
        <v>46186</v>
      </c>
      <c r="K128" s="17" t="s">
        <v>30</v>
      </c>
      <c r="L128" s="13">
        <v>46201</v>
      </c>
      <c r="M128" t="s">
        <v>41</v>
      </c>
      <c r="N128" t="s">
        <v>32</v>
      </c>
      <c r="Q128">
        <f t="shared" ca="1" si="5"/>
        <v>3</v>
      </c>
      <c r="R128" t="str">
        <f t="shared" si="6"/>
        <v/>
      </c>
      <c r="S128">
        <f t="shared" ca="1" si="7"/>
        <v>12</v>
      </c>
      <c r="T128" t="str">
        <f t="shared" ca="1" si="8"/>
        <v>On Track</v>
      </c>
      <c r="U128" t="str">
        <f t="shared" ca="1" si="9"/>
        <v>Normal</v>
      </c>
      <c r="V128" t="s">
        <v>42</v>
      </c>
    </row>
    <row r="129" spans="1:22">
      <c r="A129" t="s">
        <v>436</v>
      </c>
      <c r="B129" t="s">
        <v>67</v>
      </c>
      <c r="C129" t="s">
        <v>437</v>
      </c>
      <c r="D129" s="16">
        <v>14898.64</v>
      </c>
      <c r="E129" t="s">
        <v>78</v>
      </c>
      <c r="F129" t="s">
        <v>26</v>
      </c>
      <c r="G129" t="s">
        <v>438</v>
      </c>
      <c r="H129" t="s">
        <v>91</v>
      </c>
      <c r="I129" t="s">
        <v>92</v>
      </c>
      <c r="J129" s="13">
        <v>46174</v>
      </c>
      <c r="K129" s="17" t="s">
        <v>30</v>
      </c>
      <c r="L129" s="13">
        <v>46189</v>
      </c>
      <c r="M129" t="s">
        <v>31</v>
      </c>
      <c r="N129" t="s">
        <v>32</v>
      </c>
      <c r="O129" s="13">
        <v>46180</v>
      </c>
      <c r="P129" s="13">
        <v>46181</v>
      </c>
      <c r="Q129">
        <f t="shared" ca="1" si="5"/>
        <v>15</v>
      </c>
      <c r="R129">
        <f t="shared" si="6"/>
        <v>6</v>
      </c>
      <c r="S129">
        <f t="shared" ca="1" si="7"/>
        <v>0</v>
      </c>
      <c r="T129" t="str">
        <f t="shared" ca="1" si="8"/>
        <v>On Track</v>
      </c>
      <c r="U129" t="str">
        <f t="shared" ca="1" si="9"/>
        <v>Normal</v>
      </c>
      <c r="V129" t="s">
        <v>33</v>
      </c>
    </row>
    <row r="130" spans="1:22">
      <c r="A130" t="s">
        <v>439</v>
      </c>
      <c r="B130" t="s">
        <v>137</v>
      </c>
      <c r="C130" t="s">
        <v>440</v>
      </c>
      <c r="D130" s="16">
        <v>3239.83</v>
      </c>
      <c r="E130" t="s">
        <v>142</v>
      </c>
      <c r="F130" t="s">
        <v>26</v>
      </c>
      <c r="G130" t="s">
        <v>441</v>
      </c>
      <c r="H130" t="s">
        <v>335</v>
      </c>
      <c r="I130" t="s">
        <v>29</v>
      </c>
      <c r="J130" s="13">
        <v>46165</v>
      </c>
      <c r="K130" s="17" t="s">
        <v>57</v>
      </c>
      <c r="L130" s="13">
        <v>46195</v>
      </c>
      <c r="M130" t="s">
        <v>99</v>
      </c>
      <c r="N130" t="s">
        <v>32</v>
      </c>
      <c r="O130" s="13">
        <v>46171</v>
      </c>
      <c r="Q130">
        <f t="shared" ref="Q130:Q193" ca="1" si="10">IF(J130="","",TODAY()-J130)</f>
        <v>24</v>
      </c>
      <c r="R130">
        <f t="shared" ref="R130:R193" si="11">IF(O130="","",O130-J130)</f>
        <v>6</v>
      </c>
      <c r="S130">
        <f t="shared" ref="S130:S193" ca="1" si="12">IF(L130="","",L130-TODAY())</f>
        <v>6</v>
      </c>
      <c r="T130" t="str">
        <f t="shared" ref="T130:T193" ca="1" si="13">IF(AND(M130="Pending Approval",Q130&gt;5),"Overdue","On Track")</f>
        <v>On Track</v>
      </c>
      <c r="U130" t="str">
        <f t="shared" ref="U130:U193" ca="1" si="14">IF(AND(M130&lt;&gt;"Paid",S130&lt;=5),"At Risk","Normal")</f>
        <v>Normal</v>
      </c>
    </row>
    <row r="131" spans="1:22">
      <c r="A131" t="s">
        <v>442</v>
      </c>
      <c r="B131" t="s">
        <v>118</v>
      </c>
      <c r="C131" t="s">
        <v>443</v>
      </c>
      <c r="D131" s="16">
        <v>58757.919999999998</v>
      </c>
      <c r="E131" t="s">
        <v>62</v>
      </c>
      <c r="F131" t="s">
        <v>26</v>
      </c>
      <c r="G131" t="s">
        <v>444</v>
      </c>
      <c r="H131" t="s">
        <v>121</v>
      </c>
      <c r="I131" t="s">
        <v>122</v>
      </c>
      <c r="J131" s="13">
        <v>46148</v>
      </c>
      <c r="K131" s="17" t="s">
        <v>40</v>
      </c>
      <c r="L131" s="13">
        <v>46178</v>
      </c>
      <c r="M131" t="s">
        <v>31</v>
      </c>
      <c r="N131" t="s">
        <v>32</v>
      </c>
      <c r="O131" s="13">
        <v>46155</v>
      </c>
      <c r="P131" s="13">
        <v>46157</v>
      </c>
      <c r="Q131">
        <f t="shared" ca="1" si="10"/>
        <v>41</v>
      </c>
      <c r="R131">
        <f t="shared" si="11"/>
        <v>7</v>
      </c>
      <c r="S131">
        <f t="shared" ca="1" si="12"/>
        <v>-11</v>
      </c>
      <c r="T131" t="str">
        <f t="shared" ca="1" si="13"/>
        <v>On Track</v>
      </c>
      <c r="U131" t="str">
        <f t="shared" ca="1" si="14"/>
        <v>Normal</v>
      </c>
      <c r="V131" t="s">
        <v>33</v>
      </c>
    </row>
    <row r="132" spans="1:22">
      <c r="A132" t="s">
        <v>445</v>
      </c>
      <c r="B132" t="s">
        <v>73</v>
      </c>
      <c r="C132" t="s">
        <v>446</v>
      </c>
      <c r="D132" s="16">
        <v>4750.51</v>
      </c>
      <c r="E132" t="s">
        <v>156</v>
      </c>
      <c r="F132" t="s">
        <v>26</v>
      </c>
      <c r="G132" t="s">
        <v>447</v>
      </c>
      <c r="H132" t="s">
        <v>157</v>
      </c>
      <c r="I132" t="s">
        <v>29</v>
      </c>
      <c r="J132" s="13">
        <v>46146</v>
      </c>
      <c r="K132" s="17" t="s">
        <v>57</v>
      </c>
      <c r="L132" s="13">
        <v>46176</v>
      </c>
      <c r="M132" t="s">
        <v>145</v>
      </c>
      <c r="N132" t="s">
        <v>32</v>
      </c>
      <c r="O132" s="13">
        <v>46147</v>
      </c>
      <c r="Q132">
        <f t="shared" ca="1" si="10"/>
        <v>43</v>
      </c>
      <c r="R132">
        <f t="shared" si="11"/>
        <v>1</v>
      </c>
      <c r="S132">
        <f t="shared" ca="1" si="12"/>
        <v>-13</v>
      </c>
      <c r="T132" t="str">
        <f t="shared" ca="1" si="13"/>
        <v>On Track</v>
      </c>
      <c r="U132" t="str">
        <f t="shared" ca="1" si="14"/>
        <v>At Risk</v>
      </c>
    </row>
    <row r="133" spans="1:22">
      <c r="A133" t="s">
        <v>448</v>
      </c>
      <c r="B133" t="s">
        <v>44</v>
      </c>
      <c r="C133" t="s">
        <v>449</v>
      </c>
      <c r="D133" s="16">
        <v>13520.55</v>
      </c>
      <c r="E133" t="s">
        <v>25</v>
      </c>
      <c r="F133" t="s">
        <v>26</v>
      </c>
      <c r="G133" t="s">
        <v>450</v>
      </c>
      <c r="H133" t="s">
        <v>149</v>
      </c>
      <c r="I133" t="s">
        <v>92</v>
      </c>
      <c r="J133" s="13">
        <v>46168</v>
      </c>
      <c r="K133" s="17" t="s">
        <v>49</v>
      </c>
      <c r="L133" s="13">
        <v>46213</v>
      </c>
      <c r="M133" t="s">
        <v>99</v>
      </c>
      <c r="N133" t="s">
        <v>100</v>
      </c>
      <c r="O133" s="13">
        <v>46189</v>
      </c>
      <c r="Q133">
        <f t="shared" ca="1" si="10"/>
        <v>21</v>
      </c>
      <c r="R133">
        <f t="shared" si="11"/>
        <v>21</v>
      </c>
      <c r="S133">
        <f t="shared" ca="1" si="12"/>
        <v>24</v>
      </c>
      <c r="T133" t="str">
        <f t="shared" ca="1" si="13"/>
        <v>On Track</v>
      </c>
      <c r="U133" t="str">
        <f t="shared" ca="1" si="14"/>
        <v>Normal</v>
      </c>
      <c r="V133" t="s">
        <v>101</v>
      </c>
    </row>
    <row r="134" spans="1:22">
      <c r="A134" t="s">
        <v>451</v>
      </c>
      <c r="B134" t="s">
        <v>44</v>
      </c>
      <c r="C134" t="s">
        <v>452</v>
      </c>
      <c r="D134" s="16">
        <v>6539.08</v>
      </c>
      <c r="E134" t="s">
        <v>25</v>
      </c>
      <c r="F134" t="s">
        <v>38</v>
      </c>
      <c r="H134" t="s">
        <v>149</v>
      </c>
      <c r="I134" t="s">
        <v>92</v>
      </c>
      <c r="J134" s="13">
        <v>46155</v>
      </c>
      <c r="K134" s="17" t="s">
        <v>49</v>
      </c>
      <c r="L134" s="13">
        <v>46200</v>
      </c>
      <c r="M134" t="s">
        <v>99</v>
      </c>
      <c r="N134" t="s">
        <v>100</v>
      </c>
      <c r="O134" s="13">
        <v>46186</v>
      </c>
      <c r="Q134">
        <f t="shared" ca="1" si="10"/>
        <v>34</v>
      </c>
      <c r="R134">
        <f t="shared" si="11"/>
        <v>31</v>
      </c>
      <c r="S134">
        <f t="shared" ca="1" si="12"/>
        <v>11</v>
      </c>
      <c r="T134" t="str">
        <f t="shared" ca="1" si="13"/>
        <v>On Track</v>
      </c>
      <c r="U134" t="str">
        <f t="shared" ca="1" si="14"/>
        <v>Normal</v>
      </c>
      <c r="V134" t="s">
        <v>101</v>
      </c>
    </row>
    <row r="135" spans="1:22">
      <c r="A135" t="s">
        <v>453</v>
      </c>
      <c r="B135" t="s">
        <v>109</v>
      </c>
      <c r="C135" t="s">
        <v>454</v>
      </c>
      <c r="D135" s="16">
        <v>442.72</v>
      </c>
      <c r="E135" t="s">
        <v>62</v>
      </c>
      <c r="F135" t="s">
        <v>38</v>
      </c>
      <c r="H135" t="s">
        <v>64</v>
      </c>
      <c r="I135" t="s">
        <v>29</v>
      </c>
      <c r="J135" s="13">
        <v>46166</v>
      </c>
      <c r="K135" s="17" t="s">
        <v>40</v>
      </c>
      <c r="L135" s="13">
        <v>46196</v>
      </c>
      <c r="M135" t="s">
        <v>31</v>
      </c>
      <c r="N135" t="s">
        <v>32</v>
      </c>
      <c r="O135" s="13">
        <v>46169</v>
      </c>
      <c r="P135" s="13">
        <v>46202</v>
      </c>
      <c r="Q135">
        <f t="shared" ca="1" si="10"/>
        <v>23</v>
      </c>
      <c r="R135">
        <f t="shared" si="11"/>
        <v>3</v>
      </c>
      <c r="S135">
        <f t="shared" ca="1" si="12"/>
        <v>7</v>
      </c>
      <c r="T135" t="str">
        <f t="shared" ca="1" si="13"/>
        <v>On Track</v>
      </c>
      <c r="U135" t="str">
        <f t="shared" ca="1" si="14"/>
        <v>Normal</v>
      </c>
      <c r="V135" t="s">
        <v>107</v>
      </c>
    </row>
    <row r="136" spans="1:22">
      <c r="A136" t="s">
        <v>455</v>
      </c>
      <c r="B136" t="s">
        <v>35</v>
      </c>
      <c r="C136" t="s">
        <v>456</v>
      </c>
      <c r="D136" s="16">
        <v>4585.1899999999996</v>
      </c>
      <c r="E136" t="s">
        <v>69</v>
      </c>
      <c r="F136" t="s">
        <v>26</v>
      </c>
      <c r="G136" t="s">
        <v>457</v>
      </c>
      <c r="H136" t="s">
        <v>71</v>
      </c>
      <c r="I136" t="s">
        <v>29</v>
      </c>
      <c r="J136" s="13">
        <v>46187</v>
      </c>
      <c r="K136" s="17" t="s">
        <v>40</v>
      </c>
      <c r="L136" s="13">
        <v>46217</v>
      </c>
      <c r="M136" t="s">
        <v>41</v>
      </c>
      <c r="N136" t="s">
        <v>32</v>
      </c>
      <c r="Q136">
        <f t="shared" ca="1" si="10"/>
        <v>2</v>
      </c>
      <c r="R136" t="str">
        <f t="shared" si="11"/>
        <v/>
      </c>
      <c r="S136">
        <f t="shared" ca="1" si="12"/>
        <v>28</v>
      </c>
      <c r="T136" t="str">
        <f t="shared" ca="1" si="13"/>
        <v>On Track</v>
      </c>
      <c r="U136" t="str">
        <f t="shared" ca="1" si="14"/>
        <v>Normal</v>
      </c>
      <c r="V136" t="s">
        <v>42</v>
      </c>
    </row>
    <row r="137" spans="1:22">
      <c r="A137" t="s">
        <v>458</v>
      </c>
      <c r="B137" t="s">
        <v>103</v>
      </c>
      <c r="C137" t="s">
        <v>459</v>
      </c>
      <c r="D137" s="16">
        <v>2830.96</v>
      </c>
      <c r="E137" t="s">
        <v>142</v>
      </c>
      <c r="F137" t="s">
        <v>38</v>
      </c>
      <c r="H137" t="s">
        <v>335</v>
      </c>
      <c r="I137" t="s">
        <v>29</v>
      </c>
      <c r="J137" s="13">
        <v>46187</v>
      </c>
      <c r="K137" s="17" t="s">
        <v>40</v>
      </c>
      <c r="L137" s="13">
        <v>46217</v>
      </c>
      <c r="M137" t="s">
        <v>41</v>
      </c>
      <c r="N137" t="s">
        <v>100</v>
      </c>
      <c r="Q137">
        <f t="shared" ca="1" si="10"/>
        <v>2</v>
      </c>
      <c r="R137" t="str">
        <f t="shared" si="11"/>
        <v/>
      </c>
      <c r="S137">
        <f t="shared" ca="1" si="12"/>
        <v>28</v>
      </c>
      <c r="T137" t="str">
        <f t="shared" ca="1" si="13"/>
        <v>On Track</v>
      </c>
      <c r="U137" t="str">
        <f t="shared" ca="1" si="14"/>
        <v>Normal</v>
      </c>
      <c r="V137" t="s">
        <v>101</v>
      </c>
    </row>
    <row r="138" spans="1:22">
      <c r="A138" t="s">
        <v>460</v>
      </c>
      <c r="B138" t="s">
        <v>35</v>
      </c>
      <c r="C138" t="s">
        <v>461</v>
      </c>
      <c r="D138" s="16">
        <v>3205.5</v>
      </c>
      <c r="E138" t="s">
        <v>142</v>
      </c>
      <c r="F138" t="s">
        <v>26</v>
      </c>
      <c r="G138" t="s">
        <v>462</v>
      </c>
      <c r="H138" t="s">
        <v>335</v>
      </c>
      <c r="I138" t="s">
        <v>29</v>
      </c>
      <c r="J138" s="13">
        <v>46145</v>
      </c>
      <c r="K138" s="17" t="s">
        <v>57</v>
      </c>
      <c r="L138" s="13">
        <v>46175</v>
      </c>
      <c r="M138" t="s">
        <v>41</v>
      </c>
      <c r="N138" t="s">
        <v>32</v>
      </c>
      <c r="Q138">
        <f t="shared" ca="1" si="10"/>
        <v>44</v>
      </c>
      <c r="R138" t="str">
        <f t="shared" si="11"/>
        <v/>
      </c>
      <c r="S138">
        <f t="shared" ca="1" si="12"/>
        <v>-14</v>
      </c>
      <c r="T138" t="str">
        <f t="shared" ca="1" si="13"/>
        <v>Overdue</v>
      </c>
      <c r="U138" t="str">
        <f t="shared" ca="1" si="14"/>
        <v>At Risk</v>
      </c>
      <c r="V138" t="s">
        <v>42</v>
      </c>
    </row>
    <row r="139" spans="1:22">
      <c r="A139" t="s">
        <v>463</v>
      </c>
      <c r="B139" t="s">
        <v>44</v>
      </c>
      <c r="C139" t="s">
        <v>464</v>
      </c>
      <c r="D139" s="16">
        <v>1226.3</v>
      </c>
      <c r="E139" t="s">
        <v>156</v>
      </c>
      <c r="F139" t="s">
        <v>38</v>
      </c>
      <c r="H139" t="s">
        <v>157</v>
      </c>
      <c r="I139" t="s">
        <v>29</v>
      </c>
      <c r="J139" s="13">
        <v>46188</v>
      </c>
      <c r="K139" s="17" t="s">
        <v>40</v>
      </c>
      <c r="L139" s="13">
        <v>46218</v>
      </c>
      <c r="M139" t="s">
        <v>41</v>
      </c>
      <c r="N139" t="s">
        <v>58</v>
      </c>
      <c r="Q139">
        <f t="shared" ca="1" si="10"/>
        <v>1</v>
      </c>
      <c r="R139" t="str">
        <f t="shared" si="11"/>
        <v/>
      </c>
      <c r="S139">
        <f t="shared" ca="1" si="12"/>
        <v>29</v>
      </c>
      <c r="T139" t="str">
        <f t="shared" ca="1" si="13"/>
        <v>On Track</v>
      </c>
      <c r="U139" t="str">
        <f t="shared" ca="1" si="14"/>
        <v>Normal</v>
      </c>
      <c r="V139" t="s">
        <v>59</v>
      </c>
    </row>
    <row r="140" spans="1:22">
      <c r="A140" t="s">
        <v>465</v>
      </c>
      <c r="B140" t="s">
        <v>118</v>
      </c>
      <c r="C140" t="s">
        <v>466</v>
      </c>
      <c r="D140" s="16">
        <v>3478.41</v>
      </c>
      <c r="E140" t="s">
        <v>142</v>
      </c>
      <c r="F140" t="s">
        <v>26</v>
      </c>
      <c r="G140" t="s">
        <v>467</v>
      </c>
      <c r="H140" t="s">
        <v>335</v>
      </c>
      <c r="I140" t="s">
        <v>29</v>
      </c>
      <c r="J140" s="13">
        <v>46163</v>
      </c>
      <c r="K140" s="17" t="s">
        <v>57</v>
      </c>
      <c r="L140" s="13">
        <v>46193</v>
      </c>
      <c r="M140" t="s">
        <v>99</v>
      </c>
      <c r="N140" t="s">
        <v>32</v>
      </c>
      <c r="O140" s="13">
        <v>46166</v>
      </c>
      <c r="Q140">
        <f t="shared" ca="1" si="10"/>
        <v>26</v>
      </c>
      <c r="R140">
        <f t="shared" si="11"/>
        <v>3</v>
      </c>
      <c r="S140">
        <f t="shared" ca="1" si="12"/>
        <v>4</v>
      </c>
      <c r="T140" t="str">
        <f t="shared" ca="1" si="13"/>
        <v>On Track</v>
      </c>
      <c r="U140" t="str">
        <f t="shared" ca="1" si="14"/>
        <v>At Risk</v>
      </c>
    </row>
    <row r="141" spans="1:22">
      <c r="A141" t="s">
        <v>468</v>
      </c>
      <c r="B141" t="s">
        <v>129</v>
      </c>
      <c r="C141" t="s">
        <v>469</v>
      </c>
      <c r="D141" s="16">
        <v>80548.56</v>
      </c>
      <c r="E141" t="s">
        <v>25</v>
      </c>
      <c r="F141" t="s">
        <v>26</v>
      </c>
      <c r="G141" t="s">
        <v>470</v>
      </c>
      <c r="H141" t="s">
        <v>121</v>
      </c>
      <c r="I141" t="s">
        <v>122</v>
      </c>
      <c r="J141" s="13">
        <v>46145</v>
      </c>
      <c r="K141" s="17" t="s">
        <v>49</v>
      </c>
      <c r="L141" s="13">
        <v>46190</v>
      </c>
      <c r="M141" t="s">
        <v>31</v>
      </c>
      <c r="N141" t="s">
        <v>32</v>
      </c>
      <c r="O141" s="13">
        <v>46157</v>
      </c>
      <c r="P141" s="13">
        <v>46162</v>
      </c>
      <c r="Q141">
        <f t="shared" ca="1" si="10"/>
        <v>44</v>
      </c>
      <c r="R141">
        <f t="shared" si="11"/>
        <v>12</v>
      </c>
      <c r="S141">
        <f t="shared" ca="1" si="12"/>
        <v>1</v>
      </c>
      <c r="T141" t="str">
        <f t="shared" ca="1" si="13"/>
        <v>On Track</v>
      </c>
      <c r="U141" t="str">
        <f t="shared" ca="1" si="14"/>
        <v>Normal</v>
      </c>
      <c r="V141" t="s">
        <v>33</v>
      </c>
    </row>
    <row r="142" spans="1:22">
      <c r="A142" t="s">
        <v>471</v>
      </c>
      <c r="B142" t="s">
        <v>187</v>
      </c>
      <c r="C142" t="s">
        <v>472</v>
      </c>
      <c r="D142" s="16">
        <v>2061.63</v>
      </c>
      <c r="E142" t="s">
        <v>25</v>
      </c>
      <c r="F142" t="s">
        <v>38</v>
      </c>
      <c r="H142" t="s">
        <v>28</v>
      </c>
      <c r="I142" t="s">
        <v>29</v>
      </c>
      <c r="J142" s="13">
        <v>46174</v>
      </c>
      <c r="K142" s="17" t="s">
        <v>40</v>
      </c>
      <c r="L142" s="13">
        <v>46204</v>
      </c>
      <c r="M142" t="s">
        <v>41</v>
      </c>
      <c r="N142" t="s">
        <v>58</v>
      </c>
      <c r="Q142">
        <f t="shared" ca="1" si="10"/>
        <v>15</v>
      </c>
      <c r="R142" t="str">
        <f t="shared" si="11"/>
        <v/>
      </c>
      <c r="S142">
        <f t="shared" ca="1" si="12"/>
        <v>15</v>
      </c>
      <c r="T142" t="str">
        <f t="shared" ca="1" si="13"/>
        <v>Overdue</v>
      </c>
      <c r="U142" t="str">
        <f t="shared" ca="1" si="14"/>
        <v>Normal</v>
      </c>
      <c r="V142" t="s">
        <v>59</v>
      </c>
    </row>
    <row r="143" spans="1:22">
      <c r="A143" t="s">
        <v>473</v>
      </c>
      <c r="B143" t="s">
        <v>124</v>
      </c>
      <c r="C143" t="s">
        <v>474</v>
      </c>
      <c r="D143" s="16">
        <v>833.92</v>
      </c>
      <c r="E143" t="s">
        <v>111</v>
      </c>
      <c r="F143" t="s">
        <v>38</v>
      </c>
      <c r="H143" t="s">
        <v>113</v>
      </c>
      <c r="I143" t="s">
        <v>29</v>
      </c>
      <c r="J143" s="13">
        <v>46179</v>
      </c>
      <c r="K143" s="17" t="s">
        <v>57</v>
      </c>
      <c r="L143" s="13">
        <v>46209</v>
      </c>
      <c r="M143" t="s">
        <v>65</v>
      </c>
      <c r="N143" t="s">
        <v>58</v>
      </c>
      <c r="Q143">
        <f t="shared" ca="1" si="10"/>
        <v>10</v>
      </c>
      <c r="R143" t="str">
        <f t="shared" si="11"/>
        <v/>
      </c>
      <c r="S143">
        <f t="shared" ca="1" si="12"/>
        <v>20</v>
      </c>
      <c r="T143" t="str">
        <f t="shared" ca="1" si="13"/>
        <v>On Track</v>
      </c>
      <c r="U143" t="str">
        <f t="shared" ca="1" si="14"/>
        <v>Normal</v>
      </c>
      <c r="V143" t="s">
        <v>59</v>
      </c>
    </row>
    <row r="144" spans="1:22">
      <c r="A144" t="s">
        <v>475</v>
      </c>
      <c r="B144" t="s">
        <v>53</v>
      </c>
      <c r="C144" t="s">
        <v>476</v>
      </c>
      <c r="D144" s="16">
        <v>999.19</v>
      </c>
      <c r="E144" t="s">
        <v>78</v>
      </c>
      <c r="F144" t="s">
        <v>26</v>
      </c>
      <c r="G144" t="s">
        <v>477</v>
      </c>
      <c r="H144" t="s">
        <v>80</v>
      </c>
      <c r="I144" t="s">
        <v>29</v>
      </c>
      <c r="J144" s="13">
        <v>46158</v>
      </c>
      <c r="K144" s="17" t="s">
        <v>49</v>
      </c>
      <c r="L144" s="13">
        <v>46203</v>
      </c>
      <c r="M144" t="s">
        <v>31</v>
      </c>
      <c r="N144" t="s">
        <v>100</v>
      </c>
      <c r="O144" s="13">
        <v>46172</v>
      </c>
      <c r="P144" s="13">
        <v>46174</v>
      </c>
      <c r="Q144">
        <f t="shared" ca="1" si="10"/>
        <v>31</v>
      </c>
      <c r="R144">
        <f t="shared" si="11"/>
        <v>14</v>
      </c>
      <c r="S144">
        <f t="shared" ca="1" si="12"/>
        <v>14</v>
      </c>
      <c r="T144" t="str">
        <f t="shared" ca="1" si="13"/>
        <v>On Track</v>
      </c>
      <c r="U144" t="str">
        <f t="shared" ca="1" si="14"/>
        <v>Normal</v>
      </c>
      <c r="V144" t="s">
        <v>101</v>
      </c>
    </row>
    <row r="145" spans="1:22">
      <c r="A145" t="s">
        <v>478</v>
      </c>
      <c r="B145" t="s">
        <v>67</v>
      </c>
      <c r="C145" t="s">
        <v>479</v>
      </c>
      <c r="D145" s="16">
        <v>1627.85</v>
      </c>
      <c r="E145" t="s">
        <v>156</v>
      </c>
      <c r="F145" t="s">
        <v>26</v>
      </c>
      <c r="G145" t="s">
        <v>480</v>
      </c>
      <c r="H145" t="s">
        <v>157</v>
      </c>
      <c r="I145" t="s">
        <v>29</v>
      </c>
      <c r="J145" s="13">
        <v>46185</v>
      </c>
      <c r="K145" s="17" t="s">
        <v>57</v>
      </c>
      <c r="L145" s="13">
        <v>46215</v>
      </c>
      <c r="M145" t="s">
        <v>41</v>
      </c>
      <c r="N145" t="s">
        <v>32</v>
      </c>
      <c r="Q145">
        <f t="shared" ca="1" si="10"/>
        <v>4</v>
      </c>
      <c r="R145" t="str">
        <f t="shared" si="11"/>
        <v/>
      </c>
      <c r="S145">
        <f t="shared" ca="1" si="12"/>
        <v>26</v>
      </c>
      <c r="T145" t="str">
        <f t="shared" ca="1" si="13"/>
        <v>On Track</v>
      </c>
      <c r="U145" t="str">
        <f t="shared" ca="1" si="14"/>
        <v>Normal</v>
      </c>
      <c r="V145" t="s">
        <v>42</v>
      </c>
    </row>
    <row r="146" spans="1:22">
      <c r="A146" t="s">
        <v>481</v>
      </c>
      <c r="B146" t="s">
        <v>76</v>
      </c>
      <c r="C146" t="s">
        <v>482</v>
      </c>
      <c r="D146" s="16">
        <v>4453.88</v>
      </c>
      <c r="E146" t="s">
        <v>37</v>
      </c>
      <c r="F146" t="s">
        <v>26</v>
      </c>
      <c r="G146" t="s">
        <v>483</v>
      </c>
      <c r="H146" t="s">
        <v>39</v>
      </c>
      <c r="I146" t="s">
        <v>29</v>
      </c>
      <c r="J146" s="13">
        <v>46145</v>
      </c>
      <c r="K146" s="17" t="s">
        <v>30</v>
      </c>
      <c r="L146" s="13">
        <v>46160</v>
      </c>
      <c r="M146" t="s">
        <v>31</v>
      </c>
      <c r="N146" t="s">
        <v>32</v>
      </c>
      <c r="O146" s="13">
        <v>46150</v>
      </c>
      <c r="P146" s="13">
        <v>46157</v>
      </c>
      <c r="Q146">
        <f t="shared" ca="1" si="10"/>
        <v>44</v>
      </c>
      <c r="R146">
        <f t="shared" si="11"/>
        <v>5</v>
      </c>
      <c r="S146">
        <f t="shared" ca="1" si="12"/>
        <v>-29</v>
      </c>
      <c r="T146" t="str">
        <f t="shared" ca="1" si="13"/>
        <v>On Track</v>
      </c>
      <c r="U146" t="str">
        <f t="shared" ca="1" si="14"/>
        <v>Normal</v>
      </c>
      <c r="V146" t="s">
        <v>33</v>
      </c>
    </row>
    <row r="147" spans="1:22">
      <c r="A147" t="s">
        <v>484</v>
      </c>
      <c r="B147" t="s">
        <v>168</v>
      </c>
      <c r="C147" t="s">
        <v>485</v>
      </c>
      <c r="D147" s="16">
        <v>2516.0700000000002</v>
      </c>
      <c r="E147" t="s">
        <v>37</v>
      </c>
      <c r="F147" t="s">
        <v>38</v>
      </c>
      <c r="H147" t="s">
        <v>39</v>
      </c>
      <c r="I147" t="s">
        <v>29</v>
      </c>
      <c r="J147" s="13">
        <v>46162</v>
      </c>
      <c r="K147" s="17" t="s">
        <v>49</v>
      </c>
      <c r="L147" s="13">
        <v>46207</v>
      </c>
      <c r="M147" t="s">
        <v>31</v>
      </c>
      <c r="N147" t="s">
        <v>32</v>
      </c>
      <c r="O147" s="13">
        <v>46172</v>
      </c>
      <c r="P147" s="13">
        <v>46178</v>
      </c>
      <c r="Q147">
        <f t="shared" ca="1" si="10"/>
        <v>27</v>
      </c>
      <c r="R147">
        <f t="shared" si="11"/>
        <v>10</v>
      </c>
      <c r="S147">
        <f t="shared" ca="1" si="12"/>
        <v>18</v>
      </c>
      <c r="T147" t="str">
        <f t="shared" ca="1" si="13"/>
        <v>On Track</v>
      </c>
      <c r="U147" t="str">
        <f t="shared" ca="1" si="14"/>
        <v>Normal</v>
      </c>
      <c r="V147" t="s">
        <v>33</v>
      </c>
    </row>
    <row r="148" spans="1:22">
      <c r="A148" t="s">
        <v>486</v>
      </c>
      <c r="B148" t="s">
        <v>271</v>
      </c>
      <c r="C148" t="s">
        <v>487</v>
      </c>
      <c r="D148" s="16">
        <v>2363.21</v>
      </c>
      <c r="E148" t="s">
        <v>62</v>
      </c>
      <c r="F148" t="s">
        <v>26</v>
      </c>
      <c r="G148" t="s">
        <v>488</v>
      </c>
      <c r="H148" t="s">
        <v>64</v>
      </c>
      <c r="I148" t="s">
        <v>29</v>
      </c>
      <c r="J148" s="13">
        <v>46164</v>
      </c>
      <c r="K148" s="17" t="s">
        <v>49</v>
      </c>
      <c r="L148" s="13">
        <v>46209</v>
      </c>
      <c r="M148" t="s">
        <v>65</v>
      </c>
      <c r="N148" t="s">
        <v>32</v>
      </c>
      <c r="Q148">
        <f t="shared" ca="1" si="10"/>
        <v>25</v>
      </c>
      <c r="R148" t="str">
        <f t="shared" si="11"/>
        <v/>
      </c>
      <c r="S148">
        <f t="shared" ca="1" si="12"/>
        <v>20</v>
      </c>
      <c r="T148" t="str">
        <f t="shared" ca="1" si="13"/>
        <v>On Track</v>
      </c>
      <c r="U148" t="str">
        <f t="shared" ca="1" si="14"/>
        <v>Normal</v>
      </c>
    </row>
    <row r="149" spans="1:22">
      <c r="A149" t="s">
        <v>489</v>
      </c>
      <c r="B149" t="s">
        <v>103</v>
      </c>
      <c r="C149" t="s">
        <v>490</v>
      </c>
      <c r="D149" s="16">
        <v>1701.98</v>
      </c>
      <c r="E149" t="s">
        <v>78</v>
      </c>
      <c r="F149" t="s">
        <v>26</v>
      </c>
      <c r="G149" t="s">
        <v>491</v>
      </c>
      <c r="H149" t="s">
        <v>80</v>
      </c>
      <c r="I149" t="s">
        <v>29</v>
      </c>
      <c r="J149" s="13">
        <v>46172</v>
      </c>
      <c r="K149" s="17" t="s">
        <v>57</v>
      </c>
      <c r="L149" s="13">
        <v>46202</v>
      </c>
      <c r="M149" t="s">
        <v>31</v>
      </c>
      <c r="N149" t="s">
        <v>32</v>
      </c>
      <c r="O149" s="13">
        <v>46173</v>
      </c>
      <c r="P149" s="13">
        <v>46177</v>
      </c>
      <c r="Q149">
        <f t="shared" ca="1" si="10"/>
        <v>17</v>
      </c>
      <c r="R149">
        <f t="shared" si="11"/>
        <v>1</v>
      </c>
      <c r="S149">
        <f t="shared" ca="1" si="12"/>
        <v>13</v>
      </c>
      <c r="T149" t="str">
        <f t="shared" ca="1" si="13"/>
        <v>On Track</v>
      </c>
      <c r="U149" t="str">
        <f t="shared" ca="1" si="14"/>
        <v>Normal</v>
      </c>
      <c r="V149" t="s">
        <v>33</v>
      </c>
    </row>
    <row r="150" spans="1:22">
      <c r="A150" t="s">
        <v>492</v>
      </c>
      <c r="B150" t="s">
        <v>168</v>
      </c>
      <c r="C150" t="s">
        <v>493</v>
      </c>
      <c r="D150" s="16">
        <v>88210.6</v>
      </c>
      <c r="E150" t="s">
        <v>126</v>
      </c>
      <c r="F150" t="s">
        <v>38</v>
      </c>
      <c r="H150" t="s">
        <v>121</v>
      </c>
      <c r="I150" t="s">
        <v>122</v>
      </c>
      <c r="J150" s="13">
        <v>46180</v>
      </c>
      <c r="K150" s="17" t="s">
        <v>49</v>
      </c>
      <c r="L150" s="13">
        <v>46225</v>
      </c>
      <c r="M150" t="s">
        <v>145</v>
      </c>
      <c r="N150" t="s">
        <v>100</v>
      </c>
      <c r="O150" s="13">
        <v>46189</v>
      </c>
      <c r="Q150">
        <f t="shared" ca="1" si="10"/>
        <v>9</v>
      </c>
      <c r="R150">
        <f t="shared" si="11"/>
        <v>9</v>
      </c>
      <c r="S150">
        <f t="shared" ca="1" si="12"/>
        <v>36</v>
      </c>
      <c r="T150" t="str">
        <f t="shared" ca="1" si="13"/>
        <v>On Track</v>
      </c>
      <c r="U150" t="str">
        <f t="shared" ca="1" si="14"/>
        <v>Normal</v>
      </c>
      <c r="V150" t="s">
        <v>101</v>
      </c>
    </row>
    <row r="151" spans="1:22">
      <c r="A151" t="s">
        <v>494</v>
      </c>
      <c r="B151" t="s">
        <v>208</v>
      </c>
      <c r="C151" t="s">
        <v>495</v>
      </c>
      <c r="D151" s="16">
        <v>1345.32</v>
      </c>
      <c r="E151" t="s">
        <v>78</v>
      </c>
      <c r="F151" t="s">
        <v>26</v>
      </c>
      <c r="G151" t="s">
        <v>496</v>
      </c>
      <c r="H151" t="s">
        <v>80</v>
      </c>
      <c r="I151" t="s">
        <v>29</v>
      </c>
      <c r="J151" s="13">
        <v>46147</v>
      </c>
      <c r="K151" s="17" t="s">
        <v>49</v>
      </c>
      <c r="L151" s="13">
        <v>46192</v>
      </c>
      <c r="M151" t="s">
        <v>31</v>
      </c>
      <c r="N151" t="s">
        <v>32</v>
      </c>
      <c r="O151" s="13">
        <v>46155</v>
      </c>
      <c r="P151" s="13">
        <v>46156</v>
      </c>
      <c r="Q151">
        <f t="shared" ca="1" si="10"/>
        <v>42</v>
      </c>
      <c r="R151">
        <f t="shared" si="11"/>
        <v>8</v>
      </c>
      <c r="S151">
        <f t="shared" ca="1" si="12"/>
        <v>3</v>
      </c>
      <c r="T151" t="str">
        <f t="shared" ca="1" si="13"/>
        <v>On Track</v>
      </c>
      <c r="U151" t="str">
        <f t="shared" ca="1" si="14"/>
        <v>Normal</v>
      </c>
      <c r="V151" t="s">
        <v>33</v>
      </c>
    </row>
    <row r="152" spans="1:22">
      <c r="A152" t="s">
        <v>497</v>
      </c>
      <c r="B152" t="s">
        <v>53</v>
      </c>
      <c r="C152" t="s">
        <v>498</v>
      </c>
      <c r="D152" s="16">
        <v>1453.35</v>
      </c>
      <c r="E152" t="s">
        <v>55</v>
      </c>
      <c r="F152" t="s">
        <v>26</v>
      </c>
      <c r="G152" t="s">
        <v>499</v>
      </c>
      <c r="H152" t="s">
        <v>56</v>
      </c>
      <c r="I152" t="s">
        <v>29</v>
      </c>
      <c r="J152" s="13">
        <v>46167</v>
      </c>
      <c r="K152" s="17" t="s">
        <v>30</v>
      </c>
      <c r="L152" s="13">
        <v>46182</v>
      </c>
      <c r="M152" t="s">
        <v>31</v>
      </c>
      <c r="N152" t="s">
        <v>32</v>
      </c>
      <c r="O152" s="13">
        <v>46171</v>
      </c>
      <c r="P152" s="13">
        <v>46174</v>
      </c>
      <c r="Q152">
        <f t="shared" ca="1" si="10"/>
        <v>22</v>
      </c>
      <c r="R152">
        <f t="shared" si="11"/>
        <v>4</v>
      </c>
      <c r="S152">
        <f t="shared" ca="1" si="12"/>
        <v>-7</v>
      </c>
      <c r="T152" t="str">
        <f t="shared" ca="1" si="13"/>
        <v>On Track</v>
      </c>
      <c r="U152" t="str">
        <f t="shared" ca="1" si="14"/>
        <v>Normal</v>
      </c>
      <c r="V152" t="s">
        <v>33</v>
      </c>
    </row>
    <row r="153" spans="1:22">
      <c r="A153" t="s">
        <v>500</v>
      </c>
      <c r="B153" t="s">
        <v>208</v>
      </c>
      <c r="C153" t="s">
        <v>501</v>
      </c>
      <c r="D153" s="16">
        <v>2751.85</v>
      </c>
      <c r="E153" t="s">
        <v>78</v>
      </c>
      <c r="F153" t="s">
        <v>38</v>
      </c>
      <c r="H153" t="s">
        <v>80</v>
      </c>
      <c r="I153" t="s">
        <v>29</v>
      </c>
      <c r="J153" s="13">
        <v>46183</v>
      </c>
      <c r="K153" s="17" t="s">
        <v>30</v>
      </c>
      <c r="L153" s="13">
        <v>46198</v>
      </c>
      <c r="M153" t="s">
        <v>41</v>
      </c>
      <c r="N153" t="s">
        <v>50</v>
      </c>
      <c r="Q153">
        <f t="shared" ca="1" si="10"/>
        <v>6</v>
      </c>
      <c r="R153" t="str">
        <f t="shared" si="11"/>
        <v/>
      </c>
      <c r="S153">
        <f t="shared" ca="1" si="12"/>
        <v>9</v>
      </c>
      <c r="T153" t="str">
        <f t="shared" ca="1" si="13"/>
        <v>Overdue</v>
      </c>
      <c r="U153" t="str">
        <f t="shared" ca="1" si="14"/>
        <v>Normal</v>
      </c>
      <c r="V153" t="s">
        <v>51</v>
      </c>
    </row>
    <row r="154" spans="1:22">
      <c r="A154" t="s">
        <v>502</v>
      </c>
      <c r="B154" t="s">
        <v>35</v>
      </c>
      <c r="C154" t="s">
        <v>503</v>
      </c>
      <c r="D154" s="16">
        <v>456.13</v>
      </c>
      <c r="E154" t="s">
        <v>55</v>
      </c>
      <c r="F154" t="s">
        <v>26</v>
      </c>
      <c r="G154" t="s">
        <v>504</v>
      </c>
      <c r="H154" t="s">
        <v>56</v>
      </c>
      <c r="I154" t="s">
        <v>29</v>
      </c>
      <c r="J154" s="13">
        <v>46174</v>
      </c>
      <c r="K154" s="17" t="s">
        <v>40</v>
      </c>
      <c r="L154" s="13">
        <v>46204</v>
      </c>
      <c r="M154" t="s">
        <v>31</v>
      </c>
      <c r="N154" t="s">
        <v>32</v>
      </c>
      <c r="O154" s="13">
        <v>46177</v>
      </c>
      <c r="P154" s="13">
        <v>46182</v>
      </c>
      <c r="Q154">
        <f t="shared" ca="1" si="10"/>
        <v>15</v>
      </c>
      <c r="R154">
        <f t="shared" si="11"/>
        <v>3</v>
      </c>
      <c r="S154">
        <f t="shared" ca="1" si="12"/>
        <v>15</v>
      </c>
      <c r="T154" t="str">
        <f t="shared" ca="1" si="13"/>
        <v>On Track</v>
      </c>
      <c r="U154" t="str">
        <f t="shared" ca="1" si="14"/>
        <v>Normal</v>
      </c>
      <c r="V154" t="s">
        <v>33</v>
      </c>
    </row>
    <row r="155" spans="1:22">
      <c r="A155" t="s">
        <v>505</v>
      </c>
      <c r="B155" t="s">
        <v>271</v>
      </c>
      <c r="C155" t="s">
        <v>506</v>
      </c>
      <c r="D155" s="16">
        <v>76882.7</v>
      </c>
      <c r="E155" t="s">
        <v>55</v>
      </c>
      <c r="F155" t="s">
        <v>26</v>
      </c>
      <c r="G155" t="s">
        <v>507</v>
      </c>
      <c r="H155" t="s">
        <v>121</v>
      </c>
      <c r="I155" t="s">
        <v>122</v>
      </c>
      <c r="J155" s="13">
        <v>46176</v>
      </c>
      <c r="K155" s="17" t="s">
        <v>40</v>
      </c>
      <c r="L155" s="13">
        <v>46206</v>
      </c>
      <c r="M155" t="s">
        <v>145</v>
      </c>
      <c r="N155" t="s">
        <v>32</v>
      </c>
      <c r="O155" s="13">
        <v>46183</v>
      </c>
      <c r="Q155">
        <f t="shared" ca="1" si="10"/>
        <v>13</v>
      </c>
      <c r="R155">
        <f t="shared" si="11"/>
        <v>7</v>
      </c>
      <c r="S155">
        <f t="shared" ca="1" si="12"/>
        <v>17</v>
      </c>
      <c r="T155" t="str">
        <f t="shared" ca="1" si="13"/>
        <v>On Track</v>
      </c>
      <c r="U155" t="str">
        <f t="shared" ca="1" si="14"/>
        <v>Normal</v>
      </c>
    </row>
    <row r="156" spans="1:22">
      <c r="A156" t="s">
        <v>508</v>
      </c>
      <c r="B156" t="s">
        <v>103</v>
      </c>
      <c r="C156" t="s">
        <v>509</v>
      </c>
      <c r="D156" s="16">
        <v>4708.54</v>
      </c>
      <c r="E156" t="s">
        <v>142</v>
      </c>
      <c r="F156" t="s">
        <v>26</v>
      </c>
      <c r="G156" t="s">
        <v>510</v>
      </c>
      <c r="H156" t="s">
        <v>335</v>
      </c>
      <c r="I156" t="s">
        <v>29</v>
      </c>
      <c r="J156" s="13">
        <v>46188</v>
      </c>
      <c r="K156" s="17" t="s">
        <v>30</v>
      </c>
      <c r="L156" s="13">
        <v>46203</v>
      </c>
      <c r="M156" t="s">
        <v>99</v>
      </c>
      <c r="N156" t="s">
        <v>32</v>
      </c>
      <c r="O156" s="13">
        <v>46189</v>
      </c>
      <c r="Q156">
        <f t="shared" ca="1" si="10"/>
        <v>1</v>
      </c>
      <c r="R156">
        <f t="shared" si="11"/>
        <v>1</v>
      </c>
      <c r="S156">
        <f t="shared" ca="1" si="12"/>
        <v>14</v>
      </c>
      <c r="T156" t="str">
        <f t="shared" ca="1" si="13"/>
        <v>On Track</v>
      </c>
      <c r="U156" t="str">
        <f t="shared" ca="1" si="14"/>
        <v>Normal</v>
      </c>
    </row>
    <row r="157" spans="1:22">
      <c r="A157" t="s">
        <v>511</v>
      </c>
      <c r="B157" t="s">
        <v>115</v>
      </c>
      <c r="C157" t="s">
        <v>512</v>
      </c>
      <c r="D157" s="16">
        <v>483.67</v>
      </c>
      <c r="E157" t="s">
        <v>37</v>
      </c>
      <c r="F157" t="s">
        <v>26</v>
      </c>
      <c r="G157" t="s">
        <v>513</v>
      </c>
      <c r="H157" t="s">
        <v>39</v>
      </c>
      <c r="I157" t="s">
        <v>29</v>
      </c>
      <c r="J157" s="13">
        <v>46184</v>
      </c>
      <c r="K157" s="17" t="s">
        <v>40</v>
      </c>
      <c r="L157" s="13">
        <v>46214</v>
      </c>
      <c r="M157" t="s">
        <v>41</v>
      </c>
      <c r="N157" t="s">
        <v>32</v>
      </c>
      <c r="Q157">
        <f t="shared" ca="1" si="10"/>
        <v>5</v>
      </c>
      <c r="R157" t="str">
        <f t="shared" si="11"/>
        <v/>
      </c>
      <c r="S157">
        <f t="shared" ca="1" si="12"/>
        <v>25</v>
      </c>
      <c r="T157" t="str">
        <f t="shared" ca="1" si="13"/>
        <v>On Track</v>
      </c>
      <c r="U157" t="str">
        <f t="shared" ca="1" si="14"/>
        <v>Normal</v>
      </c>
      <c r="V157" t="s">
        <v>42</v>
      </c>
    </row>
    <row r="158" spans="1:22">
      <c r="A158" t="s">
        <v>514</v>
      </c>
      <c r="B158" t="s">
        <v>53</v>
      </c>
      <c r="C158" t="s">
        <v>515</v>
      </c>
      <c r="D158" s="16">
        <v>1677.3</v>
      </c>
      <c r="E158" t="s">
        <v>126</v>
      </c>
      <c r="F158" t="s">
        <v>26</v>
      </c>
      <c r="G158" t="s">
        <v>516</v>
      </c>
      <c r="H158" t="s">
        <v>241</v>
      </c>
      <c r="I158" t="s">
        <v>29</v>
      </c>
      <c r="J158" s="13">
        <v>46157</v>
      </c>
      <c r="K158" s="17" t="s">
        <v>40</v>
      </c>
      <c r="L158" s="13">
        <v>46187</v>
      </c>
      <c r="M158" t="s">
        <v>145</v>
      </c>
      <c r="N158" t="s">
        <v>32</v>
      </c>
      <c r="O158" s="13">
        <v>46167</v>
      </c>
      <c r="Q158">
        <f t="shared" ca="1" si="10"/>
        <v>32</v>
      </c>
      <c r="R158">
        <f t="shared" si="11"/>
        <v>10</v>
      </c>
      <c r="S158">
        <f t="shared" ca="1" si="12"/>
        <v>-2</v>
      </c>
      <c r="T158" t="str">
        <f t="shared" ca="1" si="13"/>
        <v>On Track</v>
      </c>
      <c r="U158" t="str">
        <f t="shared" ca="1" si="14"/>
        <v>At Risk</v>
      </c>
    </row>
    <row r="159" spans="1:22">
      <c r="A159" t="s">
        <v>517</v>
      </c>
      <c r="B159" t="s">
        <v>76</v>
      </c>
      <c r="C159" t="s">
        <v>518</v>
      </c>
      <c r="D159" s="16">
        <v>2610.0100000000002</v>
      </c>
      <c r="E159" t="s">
        <v>302</v>
      </c>
      <c r="F159" t="s">
        <v>26</v>
      </c>
      <c r="G159" t="s">
        <v>519</v>
      </c>
      <c r="H159" t="s">
        <v>304</v>
      </c>
      <c r="I159" t="s">
        <v>29</v>
      </c>
      <c r="J159" s="13">
        <v>46174</v>
      </c>
      <c r="K159" s="17" t="s">
        <v>40</v>
      </c>
      <c r="L159" s="13">
        <v>46204</v>
      </c>
      <c r="M159" t="s">
        <v>99</v>
      </c>
      <c r="N159" t="s">
        <v>32</v>
      </c>
      <c r="O159" s="13">
        <v>46178</v>
      </c>
      <c r="Q159">
        <f t="shared" ca="1" si="10"/>
        <v>15</v>
      </c>
      <c r="R159">
        <f t="shared" si="11"/>
        <v>4</v>
      </c>
      <c r="S159">
        <f t="shared" ca="1" si="12"/>
        <v>15</v>
      </c>
      <c r="T159" t="str">
        <f t="shared" ca="1" si="13"/>
        <v>On Track</v>
      </c>
      <c r="U159" t="str">
        <f t="shared" ca="1" si="14"/>
        <v>Normal</v>
      </c>
    </row>
    <row r="160" spans="1:22">
      <c r="A160" t="s">
        <v>520</v>
      </c>
      <c r="B160" t="s">
        <v>73</v>
      </c>
      <c r="C160" t="s">
        <v>521</v>
      </c>
      <c r="D160" s="16">
        <v>3762.55</v>
      </c>
      <c r="E160" t="s">
        <v>78</v>
      </c>
      <c r="F160" t="s">
        <v>38</v>
      </c>
      <c r="H160" t="s">
        <v>80</v>
      </c>
      <c r="I160" t="s">
        <v>29</v>
      </c>
      <c r="J160" s="13">
        <v>46185</v>
      </c>
      <c r="K160" s="17" t="s">
        <v>49</v>
      </c>
      <c r="L160" s="13">
        <v>46230</v>
      </c>
      <c r="M160" t="s">
        <v>65</v>
      </c>
      <c r="N160" t="s">
        <v>32</v>
      </c>
      <c r="Q160">
        <f t="shared" ca="1" si="10"/>
        <v>4</v>
      </c>
      <c r="R160" t="str">
        <f t="shared" si="11"/>
        <v/>
      </c>
      <c r="S160">
        <f t="shared" ca="1" si="12"/>
        <v>41</v>
      </c>
      <c r="T160" t="str">
        <f t="shared" ca="1" si="13"/>
        <v>On Track</v>
      </c>
      <c r="U160" t="str">
        <f t="shared" ca="1" si="14"/>
        <v>Normal</v>
      </c>
    </row>
    <row r="161" spans="1:22">
      <c r="A161" t="s">
        <v>522</v>
      </c>
      <c r="B161" t="s">
        <v>151</v>
      </c>
      <c r="C161" t="s">
        <v>523</v>
      </c>
      <c r="D161" s="16">
        <v>3390.59</v>
      </c>
      <c r="E161" t="s">
        <v>156</v>
      </c>
      <c r="F161" t="s">
        <v>26</v>
      </c>
      <c r="G161" t="s">
        <v>524</v>
      </c>
      <c r="H161" t="s">
        <v>157</v>
      </c>
      <c r="I161" t="s">
        <v>29</v>
      </c>
      <c r="J161" s="13">
        <v>46166</v>
      </c>
      <c r="K161" s="17" t="s">
        <v>49</v>
      </c>
      <c r="L161" s="13">
        <v>46211</v>
      </c>
      <c r="M161" t="s">
        <v>41</v>
      </c>
      <c r="N161" t="s">
        <v>32</v>
      </c>
      <c r="Q161">
        <f t="shared" ca="1" si="10"/>
        <v>23</v>
      </c>
      <c r="R161" t="str">
        <f t="shared" si="11"/>
        <v/>
      </c>
      <c r="S161">
        <f t="shared" ca="1" si="12"/>
        <v>22</v>
      </c>
      <c r="T161" t="str">
        <f t="shared" ca="1" si="13"/>
        <v>Overdue</v>
      </c>
      <c r="U161" t="str">
        <f t="shared" ca="1" si="14"/>
        <v>Normal</v>
      </c>
      <c r="V161" t="s">
        <v>42</v>
      </c>
    </row>
    <row r="162" spans="1:22">
      <c r="A162" t="s">
        <v>525</v>
      </c>
      <c r="B162" t="s">
        <v>103</v>
      </c>
      <c r="C162" t="s">
        <v>526</v>
      </c>
      <c r="D162" s="16">
        <v>1558.72</v>
      </c>
      <c r="E162" t="s">
        <v>46</v>
      </c>
      <c r="F162" t="s">
        <v>38</v>
      </c>
      <c r="H162" t="s">
        <v>48</v>
      </c>
      <c r="I162" t="s">
        <v>29</v>
      </c>
      <c r="J162" s="13">
        <v>46166</v>
      </c>
      <c r="K162" s="17" t="s">
        <v>40</v>
      </c>
      <c r="L162" s="13">
        <v>46196</v>
      </c>
      <c r="M162" t="s">
        <v>99</v>
      </c>
      <c r="N162" t="s">
        <v>32</v>
      </c>
      <c r="O162" s="13">
        <v>46172</v>
      </c>
      <c r="Q162">
        <f t="shared" ca="1" si="10"/>
        <v>23</v>
      </c>
      <c r="R162">
        <f t="shared" si="11"/>
        <v>6</v>
      </c>
      <c r="S162">
        <f t="shared" ca="1" si="12"/>
        <v>7</v>
      </c>
      <c r="T162" t="str">
        <f t="shared" ca="1" si="13"/>
        <v>On Track</v>
      </c>
      <c r="U162" t="str">
        <f t="shared" ca="1" si="14"/>
        <v>Normal</v>
      </c>
    </row>
    <row r="163" spans="1:22">
      <c r="A163" t="s">
        <v>527</v>
      </c>
      <c r="B163" t="s">
        <v>67</v>
      </c>
      <c r="C163" t="s">
        <v>528</v>
      </c>
      <c r="D163" s="16">
        <v>746.98</v>
      </c>
      <c r="E163" t="s">
        <v>69</v>
      </c>
      <c r="F163" t="s">
        <v>38</v>
      </c>
      <c r="H163" t="s">
        <v>71</v>
      </c>
      <c r="I163" t="s">
        <v>29</v>
      </c>
      <c r="J163" s="13">
        <v>46159</v>
      </c>
      <c r="K163" s="17" t="s">
        <v>57</v>
      </c>
      <c r="L163" s="13">
        <v>46189</v>
      </c>
      <c r="M163" t="s">
        <v>31</v>
      </c>
      <c r="N163" t="s">
        <v>32</v>
      </c>
      <c r="O163" s="13">
        <v>46165</v>
      </c>
      <c r="P163" s="13">
        <v>46169</v>
      </c>
      <c r="Q163">
        <f t="shared" ca="1" si="10"/>
        <v>30</v>
      </c>
      <c r="R163">
        <f t="shared" si="11"/>
        <v>6</v>
      </c>
      <c r="S163">
        <f t="shared" ca="1" si="12"/>
        <v>0</v>
      </c>
      <c r="T163" t="str">
        <f t="shared" ca="1" si="13"/>
        <v>On Track</v>
      </c>
      <c r="U163" t="str">
        <f t="shared" ca="1" si="14"/>
        <v>Normal</v>
      </c>
      <c r="V163" t="s">
        <v>33</v>
      </c>
    </row>
    <row r="164" spans="1:22">
      <c r="A164" t="s">
        <v>529</v>
      </c>
      <c r="B164" t="s">
        <v>109</v>
      </c>
      <c r="C164" t="s">
        <v>530</v>
      </c>
      <c r="D164" s="16">
        <v>3756.99</v>
      </c>
      <c r="E164" t="s">
        <v>62</v>
      </c>
      <c r="F164" t="s">
        <v>26</v>
      </c>
      <c r="G164" t="s">
        <v>531</v>
      </c>
      <c r="H164" t="s">
        <v>64</v>
      </c>
      <c r="I164" t="s">
        <v>29</v>
      </c>
      <c r="J164" s="13">
        <v>46154</v>
      </c>
      <c r="K164" s="17" t="s">
        <v>40</v>
      </c>
      <c r="L164" s="13">
        <v>46184</v>
      </c>
      <c r="M164" t="s">
        <v>31</v>
      </c>
      <c r="N164" t="s">
        <v>32</v>
      </c>
      <c r="O164" s="13">
        <v>46164</v>
      </c>
      <c r="P164" s="13">
        <v>46166</v>
      </c>
      <c r="Q164">
        <f t="shared" ca="1" si="10"/>
        <v>35</v>
      </c>
      <c r="R164">
        <f t="shared" si="11"/>
        <v>10</v>
      </c>
      <c r="S164">
        <f t="shared" ca="1" si="12"/>
        <v>-5</v>
      </c>
      <c r="T164" t="str">
        <f t="shared" ca="1" si="13"/>
        <v>On Track</v>
      </c>
      <c r="U164" t="str">
        <f t="shared" ca="1" si="14"/>
        <v>Normal</v>
      </c>
      <c r="V164" t="s">
        <v>33</v>
      </c>
    </row>
    <row r="165" spans="1:22">
      <c r="A165" t="s">
        <v>532</v>
      </c>
      <c r="B165" t="s">
        <v>151</v>
      </c>
      <c r="C165" t="s">
        <v>533</v>
      </c>
      <c r="D165" s="16">
        <v>519.19000000000005</v>
      </c>
      <c r="E165" t="s">
        <v>142</v>
      </c>
      <c r="F165" t="s">
        <v>38</v>
      </c>
      <c r="H165" t="s">
        <v>335</v>
      </c>
      <c r="I165" t="s">
        <v>29</v>
      </c>
      <c r="J165" s="13">
        <v>46185</v>
      </c>
      <c r="K165" s="17" t="s">
        <v>57</v>
      </c>
      <c r="L165" s="13">
        <v>46215</v>
      </c>
      <c r="M165" t="s">
        <v>41</v>
      </c>
      <c r="N165" t="s">
        <v>32</v>
      </c>
      <c r="Q165">
        <f t="shared" ca="1" si="10"/>
        <v>4</v>
      </c>
      <c r="R165" t="str">
        <f t="shared" si="11"/>
        <v/>
      </c>
      <c r="S165">
        <f t="shared" ca="1" si="12"/>
        <v>26</v>
      </c>
      <c r="T165" t="str">
        <f t="shared" ca="1" si="13"/>
        <v>On Track</v>
      </c>
      <c r="U165" t="str">
        <f t="shared" ca="1" si="14"/>
        <v>Normal</v>
      </c>
      <c r="V165" t="s">
        <v>42</v>
      </c>
    </row>
    <row r="166" spans="1:22">
      <c r="A166" t="s">
        <v>534</v>
      </c>
      <c r="B166" t="s">
        <v>271</v>
      </c>
      <c r="C166" t="s">
        <v>535</v>
      </c>
      <c r="D166" s="16">
        <v>53091.12</v>
      </c>
      <c r="E166" t="s">
        <v>302</v>
      </c>
      <c r="F166" t="s">
        <v>26</v>
      </c>
      <c r="G166" t="s">
        <v>536</v>
      </c>
      <c r="H166" t="s">
        <v>121</v>
      </c>
      <c r="I166" t="s">
        <v>122</v>
      </c>
      <c r="J166" s="13">
        <v>46162</v>
      </c>
      <c r="K166" s="17" t="s">
        <v>30</v>
      </c>
      <c r="L166" s="13">
        <v>46177</v>
      </c>
      <c r="M166" t="s">
        <v>41</v>
      </c>
      <c r="N166" t="s">
        <v>32</v>
      </c>
      <c r="Q166">
        <f t="shared" ca="1" si="10"/>
        <v>27</v>
      </c>
      <c r="R166" t="str">
        <f t="shared" si="11"/>
        <v/>
      </c>
      <c r="S166">
        <f t="shared" ca="1" si="12"/>
        <v>-12</v>
      </c>
      <c r="T166" t="str">
        <f t="shared" ca="1" si="13"/>
        <v>Overdue</v>
      </c>
      <c r="U166" t="str">
        <f t="shared" ca="1" si="14"/>
        <v>At Risk</v>
      </c>
      <c r="V166" t="s">
        <v>42</v>
      </c>
    </row>
    <row r="167" spans="1:22">
      <c r="A167" t="s">
        <v>537</v>
      </c>
      <c r="B167" t="s">
        <v>151</v>
      </c>
      <c r="C167" t="s">
        <v>538</v>
      </c>
      <c r="D167" s="16">
        <v>63259.38</v>
      </c>
      <c r="E167" t="s">
        <v>62</v>
      </c>
      <c r="F167" t="s">
        <v>26</v>
      </c>
      <c r="G167" t="s">
        <v>539</v>
      </c>
      <c r="H167" t="s">
        <v>121</v>
      </c>
      <c r="I167" t="s">
        <v>122</v>
      </c>
      <c r="J167" s="13">
        <v>46176</v>
      </c>
      <c r="K167" s="17" t="s">
        <v>40</v>
      </c>
      <c r="L167" s="13">
        <v>46206</v>
      </c>
      <c r="M167" t="s">
        <v>31</v>
      </c>
      <c r="N167" t="s">
        <v>32</v>
      </c>
      <c r="O167" s="13">
        <v>46180</v>
      </c>
      <c r="P167" s="13">
        <v>46186</v>
      </c>
      <c r="Q167">
        <f t="shared" ca="1" si="10"/>
        <v>13</v>
      </c>
      <c r="R167">
        <f t="shared" si="11"/>
        <v>4</v>
      </c>
      <c r="S167">
        <f t="shared" ca="1" si="12"/>
        <v>17</v>
      </c>
      <c r="T167" t="str">
        <f t="shared" ca="1" si="13"/>
        <v>On Track</v>
      </c>
      <c r="U167" t="str">
        <f t="shared" ca="1" si="14"/>
        <v>Normal</v>
      </c>
      <c r="V167" t="s">
        <v>33</v>
      </c>
    </row>
    <row r="168" spans="1:22">
      <c r="A168" t="s">
        <v>540</v>
      </c>
      <c r="B168" t="s">
        <v>23</v>
      </c>
      <c r="C168" t="s">
        <v>541</v>
      </c>
      <c r="D168" s="16">
        <v>314.08</v>
      </c>
      <c r="E168" t="s">
        <v>156</v>
      </c>
      <c r="F168" t="s">
        <v>26</v>
      </c>
      <c r="G168" t="s">
        <v>542</v>
      </c>
      <c r="H168" t="s">
        <v>157</v>
      </c>
      <c r="I168" t="s">
        <v>29</v>
      </c>
      <c r="J168" s="13">
        <v>46180</v>
      </c>
      <c r="K168" s="17" t="s">
        <v>57</v>
      </c>
      <c r="L168" s="13">
        <v>46210</v>
      </c>
      <c r="M168" t="s">
        <v>41</v>
      </c>
      <c r="N168" t="s">
        <v>32</v>
      </c>
      <c r="Q168">
        <f t="shared" ca="1" si="10"/>
        <v>9</v>
      </c>
      <c r="R168" t="str">
        <f t="shared" si="11"/>
        <v/>
      </c>
      <c r="S168">
        <f t="shared" ca="1" si="12"/>
        <v>21</v>
      </c>
      <c r="T168" t="str">
        <f t="shared" ca="1" si="13"/>
        <v>Overdue</v>
      </c>
      <c r="U168" t="str">
        <f t="shared" ca="1" si="14"/>
        <v>Normal</v>
      </c>
      <c r="V168" t="s">
        <v>42</v>
      </c>
    </row>
    <row r="169" spans="1:22">
      <c r="A169" t="s">
        <v>543</v>
      </c>
      <c r="B169" t="s">
        <v>73</v>
      </c>
      <c r="C169" t="s">
        <v>544</v>
      </c>
      <c r="D169" s="16">
        <v>684</v>
      </c>
      <c r="E169" t="s">
        <v>25</v>
      </c>
      <c r="F169" t="s">
        <v>38</v>
      </c>
      <c r="H169" t="s">
        <v>28</v>
      </c>
      <c r="I169" t="s">
        <v>29</v>
      </c>
      <c r="J169" s="13">
        <v>46174</v>
      </c>
      <c r="K169" s="17" t="s">
        <v>49</v>
      </c>
      <c r="L169" s="13">
        <v>46219</v>
      </c>
      <c r="M169" t="s">
        <v>99</v>
      </c>
      <c r="N169" t="s">
        <v>100</v>
      </c>
      <c r="O169" s="13">
        <v>46188</v>
      </c>
      <c r="Q169">
        <f t="shared" ca="1" si="10"/>
        <v>15</v>
      </c>
      <c r="R169">
        <f t="shared" si="11"/>
        <v>14</v>
      </c>
      <c r="S169">
        <f t="shared" ca="1" si="12"/>
        <v>30</v>
      </c>
      <c r="T169" t="str">
        <f t="shared" ca="1" si="13"/>
        <v>On Track</v>
      </c>
      <c r="U169" t="str">
        <f t="shared" ca="1" si="14"/>
        <v>Normal</v>
      </c>
      <c r="V169" t="s">
        <v>101</v>
      </c>
    </row>
    <row r="170" spans="1:22">
      <c r="A170" t="s">
        <v>545</v>
      </c>
      <c r="B170" t="s">
        <v>73</v>
      </c>
      <c r="C170" t="s">
        <v>546</v>
      </c>
      <c r="D170" s="16">
        <v>2856.59</v>
      </c>
      <c r="E170" t="s">
        <v>156</v>
      </c>
      <c r="F170" t="s">
        <v>26</v>
      </c>
      <c r="G170" t="s">
        <v>547</v>
      </c>
      <c r="H170" t="s">
        <v>157</v>
      </c>
      <c r="I170" t="s">
        <v>29</v>
      </c>
      <c r="J170" s="13">
        <v>46188</v>
      </c>
      <c r="K170" s="17" t="s">
        <v>57</v>
      </c>
      <c r="L170" s="13">
        <v>46218</v>
      </c>
      <c r="M170" t="s">
        <v>41</v>
      </c>
      <c r="N170" t="s">
        <v>32</v>
      </c>
      <c r="Q170">
        <f t="shared" ca="1" si="10"/>
        <v>1</v>
      </c>
      <c r="R170" t="str">
        <f t="shared" si="11"/>
        <v/>
      </c>
      <c r="S170">
        <f t="shared" ca="1" si="12"/>
        <v>29</v>
      </c>
      <c r="T170" t="str">
        <f t="shared" ca="1" si="13"/>
        <v>On Track</v>
      </c>
      <c r="U170" t="str">
        <f t="shared" ca="1" si="14"/>
        <v>Normal</v>
      </c>
      <c r="V170" t="s">
        <v>42</v>
      </c>
    </row>
    <row r="171" spans="1:22">
      <c r="A171" t="s">
        <v>548</v>
      </c>
      <c r="B171" t="s">
        <v>208</v>
      </c>
      <c r="C171" t="s">
        <v>549</v>
      </c>
      <c r="D171" s="16">
        <v>4322.79</v>
      </c>
      <c r="E171" t="s">
        <v>111</v>
      </c>
      <c r="F171" t="s">
        <v>38</v>
      </c>
      <c r="H171" t="s">
        <v>113</v>
      </c>
      <c r="I171" t="s">
        <v>29</v>
      </c>
      <c r="J171" s="13">
        <v>46163</v>
      </c>
      <c r="K171" s="17" t="s">
        <v>30</v>
      </c>
      <c r="L171" s="13">
        <v>46178</v>
      </c>
      <c r="M171" t="s">
        <v>31</v>
      </c>
      <c r="N171" t="s">
        <v>32</v>
      </c>
      <c r="O171" s="13">
        <v>46171</v>
      </c>
      <c r="P171" s="13">
        <v>46173</v>
      </c>
      <c r="Q171">
        <f t="shared" ca="1" si="10"/>
        <v>26</v>
      </c>
      <c r="R171">
        <f t="shared" si="11"/>
        <v>8</v>
      </c>
      <c r="S171">
        <f t="shared" ca="1" si="12"/>
        <v>-11</v>
      </c>
      <c r="T171" t="str">
        <f t="shared" ca="1" si="13"/>
        <v>On Track</v>
      </c>
      <c r="U171" t="str">
        <f t="shared" ca="1" si="14"/>
        <v>Normal</v>
      </c>
      <c r="V171" t="s">
        <v>33</v>
      </c>
    </row>
    <row r="172" spans="1:22">
      <c r="A172" t="s">
        <v>550</v>
      </c>
      <c r="B172" t="s">
        <v>222</v>
      </c>
      <c r="C172" t="s">
        <v>551</v>
      </c>
      <c r="D172" s="16">
        <v>16811.91</v>
      </c>
      <c r="E172" t="s">
        <v>62</v>
      </c>
      <c r="F172" t="s">
        <v>26</v>
      </c>
      <c r="G172" t="s">
        <v>552</v>
      </c>
      <c r="H172" t="s">
        <v>106</v>
      </c>
      <c r="I172" t="s">
        <v>92</v>
      </c>
      <c r="J172" s="13">
        <v>46174</v>
      </c>
      <c r="K172" s="17" t="s">
        <v>57</v>
      </c>
      <c r="L172" s="13">
        <v>46204</v>
      </c>
      <c r="M172" t="s">
        <v>99</v>
      </c>
      <c r="N172" t="s">
        <v>50</v>
      </c>
      <c r="O172" s="13">
        <v>46188</v>
      </c>
      <c r="Q172">
        <f t="shared" ca="1" si="10"/>
        <v>15</v>
      </c>
      <c r="R172">
        <f t="shared" si="11"/>
        <v>14</v>
      </c>
      <c r="S172">
        <f t="shared" ca="1" si="12"/>
        <v>15</v>
      </c>
      <c r="T172" t="str">
        <f t="shared" ca="1" si="13"/>
        <v>On Track</v>
      </c>
      <c r="U172" t="str">
        <f t="shared" ca="1" si="14"/>
        <v>Normal</v>
      </c>
      <c r="V172" t="s">
        <v>51</v>
      </c>
    </row>
    <row r="173" spans="1:22">
      <c r="A173" t="s">
        <v>553</v>
      </c>
      <c r="B173" t="s">
        <v>103</v>
      </c>
      <c r="C173" t="s">
        <v>554</v>
      </c>
      <c r="D173" s="16">
        <v>7188.07</v>
      </c>
      <c r="E173" t="s">
        <v>25</v>
      </c>
      <c r="F173" t="s">
        <v>38</v>
      </c>
      <c r="H173" t="s">
        <v>149</v>
      </c>
      <c r="I173" t="s">
        <v>92</v>
      </c>
      <c r="J173" s="13">
        <v>46176</v>
      </c>
      <c r="K173" s="17" t="s">
        <v>57</v>
      </c>
      <c r="L173" s="13">
        <v>46206</v>
      </c>
      <c r="M173" t="s">
        <v>99</v>
      </c>
      <c r="N173" t="s">
        <v>50</v>
      </c>
      <c r="O173" s="13">
        <v>46189</v>
      </c>
      <c r="Q173">
        <f t="shared" ca="1" si="10"/>
        <v>13</v>
      </c>
      <c r="R173">
        <f t="shared" si="11"/>
        <v>13</v>
      </c>
      <c r="S173">
        <f t="shared" ca="1" si="12"/>
        <v>17</v>
      </c>
      <c r="T173" t="str">
        <f t="shared" ca="1" si="13"/>
        <v>On Track</v>
      </c>
      <c r="U173" t="str">
        <f t="shared" ca="1" si="14"/>
        <v>Normal</v>
      </c>
      <c r="V173" t="s">
        <v>51</v>
      </c>
    </row>
    <row r="174" spans="1:22">
      <c r="A174" t="s">
        <v>555</v>
      </c>
      <c r="B174" t="s">
        <v>137</v>
      </c>
      <c r="C174" t="s">
        <v>556</v>
      </c>
      <c r="D174" s="16">
        <v>503.14</v>
      </c>
      <c r="E174" t="s">
        <v>78</v>
      </c>
      <c r="F174" t="s">
        <v>26</v>
      </c>
      <c r="G174" t="s">
        <v>557</v>
      </c>
      <c r="H174" t="s">
        <v>80</v>
      </c>
      <c r="I174" t="s">
        <v>29</v>
      </c>
      <c r="J174" s="13">
        <v>46173</v>
      </c>
      <c r="K174" s="17" t="s">
        <v>30</v>
      </c>
      <c r="L174" s="13">
        <v>46188</v>
      </c>
      <c r="M174" t="s">
        <v>41</v>
      </c>
      <c r="N174" t="s">
        <v>32</v>
      </c>
      <c r="Q174">
        <f t="shared" ca="1" si="10"/>
        <v>16</v>
      </c>
      <c r="R174" t="str">
        <f t="shared" si="11"/>
        <v/>
      </c>
      <c r="S174">
        <f t="shared" ca="1" si="12"/>
        <v>-1</v>
      </c>
      <c r="T174" t="str">
        <f t="shared" ca="1" si="13"/>
        <v>Overdue</v>
      </c>
      <c r="U174" t="str">
        <f t="shared" ca="1" si="14"/>
        <v>At Risk</v>
      </c>
      <c r="V174" t="s">
        <v>42</v>
      </c>
    </row>
    <row r="175" spans="1:22">
      <c r="A175" t="s">
        <v>558</v>
      </c>
      <c r="B175" t="s">
        <v>44</v>
      </c>
      <c r="C175" t="s">
        <v>559</v>
      </c>
      <c r="D175" s="16">
        <v>16277.07</v>
      </c>
      <c r="E175" t="s">
        <v>302</v>
      </c>
      <c r="F175" t="s">
        <v>26</v>
      </c>
      <c r="G175" t="s">
        <v>560</v>
      </c>
      <c r="H175" t="s">
        <v>429</v>
      </c>
      <c r="I175" t="s">
        <v>92</v>
      </c>
      <c r="J175" s="13">
        <v>46188</v>
      </c>
      <c r="K175" s="17" t="s">
        <v>30</v>
      </c>
      <c r="L175" s="13">
        <v>46203</v>
      </c>
      <c r="M175" t="s">
        <v>99</v>
      </c>
      <c r="N175" t="s">
        <v>32</v>
      </c>
      <c r="O175" s="13">
        <v>46189</v>
      </c>
      <c r="Q175">
        <f t="shared" ca="1" si="10"/>
        <v>1</v>
      </c>
      <c r="R175">
        <f t="shared" si="11"/>
        <v>1</v>
      </c>
      <c r="S175">
        <f t="shared" ca="1" si="12"/>
        <v>14</v>
      </c>
      <c r="T175" t="str">
        <f t="shared" ca="1" si="13"/>
        <v>On Track</v>
      </c>
      <c r="U175" t="str">
        <f t="shared" ca="1" si="14"/>
        <v>Normal</v>
      </c>
    </row>
    <row r="176" spans="1:22">
      <c r="A176" t="s">
        <v>561</v>
      </c>
      <c r="B176" t="s">
        <v>251</v>
      </c>
      <c r="C176" t="s">
        <v>562</v>
      </c>
      <c r="D176" s="16">
        <v>1068.92</v>
      </c>
      <c r="E176" t="s">
        <v>302</v>
      </c>
      <c r="F176" t="s">
        <v>26</v>
      </c>
      <c r="G176" t="s">
        <v>563</v>
      </c>
      <c r="H176" t="s">
        <v>304</v>
      </c>
      <c r="I176" t="s">
        <v>29</v>
      </c>
      <c r="J176" s="13">
        <v>46185</v>
      </c>
      <c r="K176" s="17" t="s">
        <v>40</v>
      </c>
      <c r="L176" s="13">
        <v>46215</v>
      </c>
      <c r="M176" t="s">
        <v>41</v>
      </c>
      <c r="N176" t="s">
        <v>32</v>
      </c>
      <c r="Q176">
        <f t="shared" ca="1" si="10"/>
        <v>4</v>
      </c>
      <c r="R176" t="str">
        <f t="shared" si="11"/>
        <v/>
      </c>
      <c r="S176">
        <f t="shared" ca="1" si="12"/>
        <v>26</v>
      </c>
      <c r="T176" t="str">
        <f t="shared" ca="1" si="13"/>
        <v>On Track</v>
      </c>
      <c r="U176" t="str">
        <f t="shared" ca="1" si="14"/>
        <v>Normal</v>
      </c>
      <c r="V176" t="s">
        <v>42</v>
      </c>
    </row>
    <row r="177" spans="1:22">
      <c r="A177" t="s">
        <v>564</v>
      </c>
      <c r="B177" t="s">
        <v>208</v>
      </c>
      <c r="C177" t="s">
        <v>565</v>
      </c>
      <c r="D177" s="16">
        <v>3261.16</v>
      </c>
      <c r="E177" t="s">
        <v>25</v>
      </c>
      <c r="F177" t="s">
        <v>26</v>
      </c>
      <c r="G177" t="s">
        <v>566</v>
      </c>
      <c r="H177" t="s">
        <v>28</v>
      </c>
      <c r="I177" t="s">
        <v>29</v>
      </c>
      <c r="J177" s="13">
        <v>46166</v>
      </c>
      <c r="K177" s="17" t="s">
        <v>30</v>
      </c>
      <c r="L177" s="13">
        <v>46181</v>
      </c>
      <c r="M177" t="s">
        <v>31</v>
      </c>
      <c r="N177" t="s">
        <v>32</v>
      </c>
      <c r="O177" s="13">
        <v>46176</v>
      </c>
      <c r="P177" s="13">
        <v>46182</v>
      </c>
      <c r="Q177">
        <f t="shared" ca="1" si="10"/>
        <v>23</v>
      </c>
      <c r="R177">
        <f t="shared" si="11"/>
        <v>10</v>
      </c>
      <c r="S177">
        <f t="shared" ca="1" si="12"/>
        <v>-8</v>
      </c>
      <c r="T177" t="str">
        <f t="shared" ca="1" si="13"/>
        <v>On Track</v>
      </c>
      <c r="U177" t="str">
        <f t="shared" ca="1" si="14"/>
        <v>Normal</v>
      </c>
      <c r="V177" t="s">
        <v>33</v>
      </c>
    </row>
    <row r="178" spans="1:22">
      <c r="A178" t="s">
        <v>567</v>
      </c>
      <c r="B178" t="s">
        <v>94</v>
      </c>
      <c r="C178" t="s">
        <v>568</v>
      </c>
      <c r="D178" s="16">
        <v>57678.77</v>
      </c>
      <c r="E178" t="s">
        <v>302</v>
      </c>
      <c r="F178" t="s">
        <v>38</v>
      </c>
      <c r="H178" t="s">
        <v>121</v>
      </c>
      <c r="I178" t="s">
        <v>122</v>
      </c>
      <c r="J178" s="13">
        <v>46171</v>
      </c>
      <c r="K178" s="17" t="s">
        <v>40</v>
      </c>
      <c r="L178" s="13">
        <v>46201</v>
      </c>
      <c r="M178" t="s">
        <v>99</v>
      </c>
      <c r="N178" t="s">
        <v>50</v>
      </c>
      <c r="O178" s="13">
        <v>46189</v>
      </c>
      <c r="Q178">
        <f t="shared" ca="1" si="10"/>
        <v>18</v>
      </c>
      <c r="R178">
        <f t="shared" si="11"/>
        <v>18</v>
      </c>
      <c r="S178">
        <f t="shared" ca="1" si="12"/>
        <v>12</v>
      </c>
      <c r="T178" t="str">
        <f t="shared" ca="1" si="13"/>
        <v>On Track</v>
      </c>
      <c r="U178" t="str">
        <f t="shared" ca="1" si="14"/>
        <v>Normal</v>
      </c>
      <c r="V178" t="s">
        <v>51</v>
      </c>
    </row>
    <row r="179" spans="1:22">
      <c r="A179" t="s">
        <v>569</v>
      </c>
      <c r="B179" t="s">
        <v>53</v>
      </c>
      <c r="C179" t="s">
        <v>570</v>
      </c>
      <c r="D179" s="16">
        <v>13175.19</v>
      </c>
      <c r="E179" t="s">
        <v>302</v>
      </c>
      <c r="F179" t="s">
        <v>38</v>
      </c>
      <c r="H179" t="s">
        <v>429</v>
      </c>
      <c r="I179" t="s">
        <v>92</v>
      </c>
      <c r="J179" s="13">
        <v>46145</v>
      </c>
      <c r="K179" s="17" t="s">
        <v>57</v>
      </c>
      <c r="L179" s="13">
        <v>46175</v>
      </c>
      <c r="M179" t="s">
        <v>31</v>
      </c>
      <c r="N179" t="s">
        <v>58</v>
      </c>
      <c r="O179" s="13">
        <v>46163</v>
      </c>
      <c r="P179" s="13">
        <v>46167</v>
      </c>
      <c r="Q179">
        <f t="shared" ca="1" si="10"/>
        <v>44</v>
      </c>
      <c r="R179">
        <f t="shared" si="11"/>
        <v>18</v>
      </c>
      <c r="S179">
        <f t="shared" ca="1" si="12"/>
        <v>-14</v>
      </c>
      <c r="T179" t="str">
        <f t="shared" ca="1" si="13"/>
        <v>On Track</v>
      </c>
      <c r="U179" t="str">
        <f t="shared" ca="1" si="14"/>
        <v>Normal</v>
      </c>
      <c r="V179" t="s">
        <v>59</v>
      </c>
    </row>
    <row r="180" spans="1:22">
      <c r="A180" t="s">
        <v>571</v>
      </c>
      <c r="B180" t="s">
        <v>129</v>
      </c>
      <c r="C180" t="s">
        <v>572</v>
      </c>
      <c r="D180" s="16">
        <v>4179.97</v>
      </c>
      <c r="E180" t="s">
        <v>78</v>
      </c>
      <c r="F180" t="s">
        <v>26</v>
      </c>
      <c r="G180" t="s">
        <v>573</v>
      </c>
      <c r="H180" t="s">
        <v>80</v>
      </c>
      <c r="I180" t="s">
        <v>29</v>
      </c>
      <c r="J180" s="13">
        <v>46162</v>
      </c>
      <c r="K180" s="17" t="s">
        <v>57</v>
      </c>
      <c r="L180" s="13">
        <v>46192</v>
      </c>
      <c r="M180" t="s">
        <v>31</v>
      </c>
      <c r="N180" t="s">
        <v>50</v>
      </c>
      <c r="O180" s="13">
        <v>46175</v>
      </c>
      <c r="P180" s="13">
        <v>46181</v>
      </c>
      <c r="Q180">
        <f t="shared" ca="1" si="10"/>
        <v>27</v>
      </c>
      <c r="R180">
        <f t="shared" si="11"/>
        <v>13</v>
      </c>
      <c r="S180">
        <f t="shared" ca="1" si="12"/>
        <v>3</v>
      </c>
      <c r="T180" t="str">
        <f t="shared" ca="1" si="13"/>
        <v>On Track</v>
      </c>
      <c r="U180" t="str">
        <f t="shared" ca="1" si="14"/>
        <v>Normal</v>
      </c>
      <c r="V180" t="s">
        <v>51</v>
      </c>
    </row>
    <row r="181" spans="1:22">
      <c r="A181" t="s">
        <v>574</v>
      </c>
      <c r="B181" t="s">
        <v>73</v>
      </c>
      <c r="C181" t="s">
        <v>575</v>
      </c>
      <c r="D181" s="16">
        <v>901.83</v>
      </c>
      <c r="E181" t="s">
        <v>126</v>
      </c>
      <c r="F181" t="s">
        <v>38</v>
      </c>
      <c r="H181" t="s">
        <v>241</v>
      </c>
      <c r="I181" t="s">
        <v>29</v>
      </c>
      <c r="J181" s="13">
        <v>46158</v>
      </c>
      <c r="K181" s="17" t="s">
        <v>40</v>
      </c>
      <c r="L181" s="13">
        <v>46188</v>
      </c>
      <c r="M181" t="s">
        <v>31</v>
      </c>
      <c r="N181" t="s">
        <v>100</v>
      </c>
      <c r="O181" s="13">
        <v>46176</v>
      </c>
      <c r="P181" s="13">
        <v>46179</v>
      </c>
      <c r="Q181">
        <f t="shared" ca="1" si="10"/>
        <v>31</v>
      </c>
      <c r="R181">
        <f t="shared" si="11"/>
        <v>18</v>
      </c>
      <c r="S181">
        <f t="shared" ca="1" si="12"/>
        <v>-1</v>
      </c>
      <c r="T181" t="str">
        <f t="shared" ca="1" si="13"/>
        <v>On Track</v>
      </c>
      <c r="U181" t="str">
        <f t="shared" ca="1" si="14"/>
        <v>Normal</v>
      </c>
      <c r="V181" t="s">
        <v>101</v>
      </c>
    </row>
    <row r="182" spans="1:22">
      <c r="A182" t="s">
        <v>576</v>
      </c>
      <c r="B182" t="s">
        <v>118</v>
      </c>
      <c r="C182" t="s">
        <v>577</v>
      </c>
      <c r="D182" s="16">
        <v>11215.32</v>
      </c>
      <c r="E182" t="s">
        <v>55</v>
      </c>
      <c r="F182" t="s">
        <v>26</v>
      </c>
      <c r="G182" t="s">
        <v>578</v>
      </c>
      <c r="H182" t="s">
        <v>579</v>
      </c>
      <c r="I182" t="s">
        <v>92</v>
      </c>
      <c r="J182" s="13">
        <v>46163</v>
      </c>
      <c r="K182" s="17" t="s">
        <v>40</v>
      </c>
      <c r="L182" s="13">
        <v>46193</v>
      </c>
      <c r="M182" t="s">
        <v>31</v>
      </c>
      <c r="N182" t="s">
        <v>32</v>
      </c>
      <c r="O182" s="13">
        <v>46171</v>
      </c>
      <c r="P182" s="13">
        <v>46173</v>
      </c>
      <c r="Q182">
        <f t="shared" ca="1" si="10"/>
        <v>26</v>
      </c>
      <c r="R182">
        <f t="shared" si="11"/>
        <v>8</v>
      </c>
      <c r="S182">
        <f t="shared" ca="1" si="12"/>
        <v>4</v>
      </c>
      <c r="T182" t="str">
        <f t="shared" ca="1" si="13"/>
        <v>On Track</v>
      </c>
      <c r="U182" t="str">
        <f t="shared" ca="1" si="14"/>
        <v>Normal</v>
      </c>
      <c r="V182" t="s">
        <v>33</v>
      </c>
    </row>
    <row r="183" spans="1:22">
      <c r="A183" t="s">
        <v>580</v>
      </c>
      <c r="B183" t="s">
        <v>109</v>
      </c>
      <c r="C183" t="s">
        <v>581</v>
      </c>
      <c r="D183" s="16">
        <v>22837.45</v>
      </c>
      <c r="E183" t="s">
        <v>46</v>
      </c>
      <c r="F183" t="s">
        <v>26</v>
      </c>
      <c r="G183" t="s">
        <v>582</v>
      </c>
      <c r="H183" t="s">
        <v>161</v>
      </c>
      <c r="I183" t="s">
        <v>92</v>
      </c>
      <c r="J183" s="13">
        <v>46179</v>
      </c>
      <c r="K183" s="17" t="s">
        <v>57</v>
      </c>
      <c r="L183" s="13">
        <v>46209</v>
      </c>
      <c r="M183" t="s">
        <v>99</v>
      </c>
      <c r="N183" t="s">
        <v>32</v>
      </c>
      <c r="O183" s="13">
        <v>46184</v>
      </c>
      <c r="Q183">
        <f t="shared" ca="1" si="10"/>
        <v>10</v>
      </c>
      <c r="R183">
        <f t="shared" si="11"/>
        <v>5</v>
      </c>
      <c r="S183">
        <f t="shared" ca="1" si="12"/>
        <v>20</v>
      </c>
      <c r="T183" t="str">
        <f t="shared" ca="1" si="13"/>
        <v>On Track</v>
      </c>
      <c r="U183" t="str">
        <f t="shared" ca="1" si="14"/>
        <v>Normal</v>
      </c>
    </row>
    <row r="184" spans="1:22">
      <c r="A184" t="s">
        <v>583</v>
      </c>
      <c r="B184" t="s">
        <v>124</v>
      </c>
      <c r="C184" t="s">
        <v>584</v>
      </c>
      <c r="D184" s="16">
        <v>3546.86</v>
      </c>
      <c r="E184" t="s">
        <v>142</v>
      </c>
      <c r="F184" t="s">
        <v>26</v>
      </c>
      <c r="G184" t="s">
        <v>585</v>
      </c>
      <c r="H184" t="s">
        <v>335</v>
      </c>
      <c r="I184" t="s">
        <v>29</v>
      </c>
      <c r="J184" s="13">
        <v>46168</v>
      </c>
      <c r="K184" s="17" t="s">
        <v>30</v>
      </c>
      <c r="L184" s="13">
        <v>46183</v>
      </c>
      <c r="M184" t="s">
        <v>31</v>
      </c>
      <c r="N184" t="s">
        <v>179</v>
      </c>
      <c r="O184" s="13">
        <v>46181</v>
      </c>
      <c r="P184" s="13">
        <v>46187</v>
      </c>
      <c r="Q184">
        <f t="shared" ca="1" si="10"/>
        <v>21</v>
      </c>
      <c r="R184">
        <f t="shared" si="11"/>
        <v>13</v>
      </c>
      <c r="S184">
        <f t="shared" ca="1" si="12"/>
        <v>-6</v>
      </c>
      <c r="T184" t="str">
        <f t="shared" ca="1" si="13"/>
        <v>On Track</v>
      </c>
      <c r="U184" t="str">
        <f t="shared" ca="1" si="14"/>
        <v>Normal</v>
      </c>
      <c r="V184" t="s">
        <v>180</v>
      </c>
    </row>
    <row r="185" spans="1:22">
      <c r="A185" t="s">
        <v>586</v>
      </c>
      <c r="B185" t="s">
        <v>67</v>
      </c>
      <c r="C185" t="s">
        <v>587</v>
      </c>
      <c r="D185" s="16">
        <v>4206.1099999999997</v>
      </c>
      <c r="E185" t="s">
        <v>126</v>
      </c>
      <c r="F185" t="s">
        <v>26</v>
      </c>
      <c r="G185" t="s">
        <v>588</v>
      </c>
      <c r="H185" t="s">
        <v>241</v>
      </c>
      <c r="I185" t="s">
        <v>29</v>
      </c>
      <c r="J185" s="13">
        <v>46144</v>
      </c>
      <c r="K185" s="17" t="s">
        <v>57</v>
      </c>
      <c r="L185" s="13">
        <v>46174</v>
      </c>
      <c r="M185" t="s">
        <v>84</v>
      </c>
      <c r="N185" t="s">
        <v>100</v>
      </c>
      <c r="O185" s="13">
        <v>46153</v>
      </c>
      <c r="Q185">
        <f t="shared" ca="1" si="10"/>
        <v>45</v>
      </c>
      <c r="R185">
        <f t="shared" si="11"/>
        <v>9</v>
      </c>
      <c r="S185">
        <f t="shared" ca="1" si="12"/>
        <v>-15</v>
      </c>
      <c r="T185" t="str">
        <f t="shared" ca="1" si="13"/>
        <v>On Track</v>
      </c>
      <c r="U185" t="str">
        <f t="shared" ca="1" si="14"/>
        <v>At Risk</v>
      </c>
      <c r="V185" t="s">
        <v>101</v>
      </c>
    </row>
    <row r="186" spans="1:22">
      <c r="A186" t="s">
        <v>589</v>
      </c>
      <c r="B186" t="s">
        <v>109</v>
      </c>
      <c r="C186" t="s">
        <v>590</v>
      </c>
      <c r="D186" s="16">
        <v>2054.6799999999998</v>
      </c>
      <c r="E186" t="s">
        <v>37</v>
      </c>
      <c r="F186" t="s">
        <v>26</v>
      </c>
      <c r="G186" t="s">
        <v>591</v>
      </c>
      <c r="H186" t="s">
        <v>39</v>
      </c>
      <c r="I186" t="s">
        <v>29</v>
      </c>
      <c r="J186" s="13">
        <v>46162</v>
      </c>
      <c r="K186" s="17" t="s">
        <v>40</v>
      </c>
      <c r="L186" s="13">
        <v>46192</v>
      </c>
      <c r="M186" t="s">
        <v>31</v>
      </c>
      <c r="N186" t="s">
        <v>32</v>
      </c>
      <c r="O186" s="13">
        <v>46168</v>
      </c>
      <c r="P186" s="13">
        <v>46171</v>
      </c>
      <c r="Q186">
        <f t="shared" ca="1" si="10"/>
        <v>27</v>
      </c>
      <c r="R186">
        <f t="shared" si="11"/>
        <v>6</v>
      </c>
      <c r="S186">
        <f t="shared" ca="1" si="12"/>
        <v>3</v>
      </c>
      <c r="T186" t="str">
        <f t="shared" ca="1" si="13"/>
        <v>On Track</v>
      </c>
      <c r="U186" t="str">
        <f t="shared" ca="1" si="14"/>
        <v>Normal</v>
      </c>
      <c r="V186" t="s">
        <v>33</v>
      </c>
    </row>
    <row r="187" spans="1:22">
      <c r="A187" t="s">
        <v>592</v>
      </c>
      <c r="B187" t="s">
        <v>251</v>
      </c>
      <c r="C187" t="s">
        <v>593</v>
      </c>
      <c r="D187" s="16">
        <v>4715</v>
      </c>
      <c r="E187" t="s">
        <v>62</v>
      </c>
      <c r="F187" t="s">
        <v>26</v>
      </c>
      <c r="G187" t="s">
        <v>594</v>
      </c>
      <c r="H187" t="s">
        <v>64</v>
      </c>
      <c r="I187" t="s">
        <v>29</v>
      </c>
      <c r="J187" s="13">
        <v>46164</v>
      </c>
      <c r="K187" s="17" t="s">
        <v>57</v>
      </c>
      <c r="L187" s="13">
        <v>46194</v>
      </c>
      <c r="M187" t="s">
        <v>31</v>
      </c>
      <c r="N187" t="s">
        <v>32</v>
      </c>
      <c r="O187" s="13">
        <v>46173</v>
      </c>
      <c r="P187" s="13">
        <v>46180</v>
      </c>
      <c r="Q187">
        <f t="shared" ca="1" si="10"/>
        <v>25</v>
      </c>
      <c r="R187">
        <f t="shared" si="11"/>
        <v>9</v>
      </c>
      <c r="S187">
        <f t="shared" ca="1" si="12"/>
        <v>5</v>
      </c>
      <c r="T187" t="str">
        <f t="shared" ca="1" si="13"/>
        <v>On Track</v>
      </c>
      <c r="U187" t="str">
        <f t="shared" ca="1" si="14"/>
        <v>Normal</v>
      </c>
      <c r="V187" t="s">
        <v>33</v>
      </c>
    </row>
    <row r="188" spans="1:22">
      <c r="A188" t="s">
        <v>595</v>
      </c>
      <c r="B188" t="s">
        <v>76</v>
      </c>
      <c r="C188" t="s">
        <v>596</v>
      </c>
      <c r="D188" s="16">
        <v>2767.57</v>
      </c>
      <c r="E188" t="s">
        <v>46</v>
      </c>
      <c r="F188" t="s">
        <v>26</v>
      </c>
      <c r="G188" t="s">
        <v>597</v>
      </c>
      <c r="H188" t="s">
        <v>48</v>
      </c>
      <c r="I188" t="s">
        <v>29</v>
      </c>
      <c r="J188" s="13">
        <v>46170</v>
      </c>
      <c r="K188" s="17" t="s">
        <v>49</v>
      </c>
      <c r="L188" s="13">
        <v>46215</v>
      </c>
      <c r="M188" t="s">
        <v>31</v>
      </c>
      <c r="N188" t="s">
        <v>32</v>
      </c>
      <c r="O188" s="13">
        <v>46176</v>
      </c>
      <c r="P188" s="13">
        <v>46218</v>
      </c>
      <c r="Q188">
        <f t="shared" ca="1" si="10"/>
        <v>19</v>
      </c>
      <c r="R188">
        <f t="shared" si="11"/>
        <v>6</v>
      </c>
      <c r="S188">
        <f t="shared" ca="1" si="12"/>
        <v>26</v>
      </c>
      <c r="T188" t="str">
        <f t="shared" ca="1" si="13"/>
        <v>On Track</v>
      </c>
      <c r="U188" t="str">
        <f t="shared" ca="1" si="14"/>
        <v>Normal</v>
      </c>
      <c r="V188" t="s">
        <v>107</v>
      </c>
    </row>
    <row r="189" spans="1:22">
      <c r="A189" t="s">
        <v>598</v>
      </c>
      <c r="B189" t="s">
        <v>129</v>
      </c>
      <c r="C189" t="s">
        <v>599</v>
      </c>
      <c r="D189" s="16">
        <v>4542.76</v>
      </c>
      <c r="E189" t="s">
        <v>62</v>
      </c>
      <c r="F189" t="s">
        <v>26</v>
      </c>
      <c r="G189" t="s">
        <v>600</v>
      </c>
      <c r="H189" t="s">
        <v>64</v>
      </c>
      <c r="I189" t="s">
        <v>29</v>
      </c>
      <c r="J189" s="13">
        <v>46175</v>
      </c>
      <c r="K189" s="17" t="s">
        <v>40</v>
      </c>
      <c r="L189" s="13">
        <v>46205</v>
      </c>
      <c r="M189" t="s">
        <v>31</v>
      </c>
      <c r="N189" t="s">
        <v>32</v>
      </c>
      <c r="O189" s="13">
        <v>46182</v>
      </c>
      <c r="P189" s="13">
        <v>46188</v>
      </c>
      <c r="Q189">
        <f t="shared" ca="1" si="10"/>
        <v>14</v>
      </c>
      <c r="R189">
        <f t="shared" si="11"/>
        <v>7</v>
      </c>
      <c r="S189">
        <f t="shared" ca="1" si="12"/>
        <v>16</v>
      </c>
      <c r="T189" t="str">
        <f t="shared" ca="1" si="13"/>
        <v>On Track</v>
      </c>
      <c r="U189" t="str">
        <f t="shared" ca="1" si="14"/>
        <v>Normal</v>
      </c>
      <c r="V189" t="s">
        <v>33</v>
      </c>
    </row>
    <row r="190" spans="1:22">
      <c r="A190" t="s">
        <v>601</v>
      </c>
      <c r="B190" t="s">
        <v>251</v>
      </c>
      <c r="C190" t="s">
        <v>602</v>
      </c>
      <c r="D190" s="16">
        <v>15571.67</v>
      </c>
      <c r="E190" t="s">
        <v>46</v>
      </c>
      <c r="F190" t="s">
        <v>38</v>
      </c>
      <c r="H190" t="s">
        <v>161</v>
      </c>
      <c r="I190" t="s">
        <v>92</v>
      </c>
      <c r="J190" s="13">
        <v>46147</v>
      </c>
      <c r="K190" s="17" t="s">
        <v>30</v>
      </c>
      <c r="L190" s="13">
        <v>46162</v>
      </c>
      <c r="M190" t="s">
        <v>31</v>
      </c>
      <c r="N190" t="s">
        <v>50</v>
      </c>
      <c r="O190" s="13">
        <v>46159</v>
      </c>
      <c r="P190" s="13">
        <v>46161</v>
      </c>
      <c r="Q190">
        <f t="shared" ca="1" si="10"/>
        <v>42</v>
      </c>
      <c r="R190">
        <f t="shared" si="11"/>
        <v>12</v>
      </c>
      <c r="S190">
        <f t="shared" ca="1" si="12"/>
        <v>-27</v>
      </c>
      <c r="T190" t="str">
        <f t="shared" ca="1" si="13"/>
        <v>On Track</v>
      </c>
      <c r="U190" t="str">
        <f t="shared" ca="1" si="14"/>
        <v>Normal</v>
      </c>
      <c r="V190" t="s">
        <v>51</v>
      </c>
    </row>
    <row r="191" spans="1:22">
      <c r="A191" t="s">
        <v>603</v>
      </c>
      <c r="B191" t="s">
        <v>23</v>
      </c>
      <c r="C191" t="s">
        <v>604</v>
      </c>
      <c r="D191" s="16">
        <v>937.18</v>
      </c>
      <c r="E191" t="s">
        <v>126</v>
      </c>
      <c r="F191" t="s">
        <v>26</v>
      </c>
      <c r="G191" t="s">
        <v>605</v>
      </c>
      <c r="H191" t="s">
        <v>241</v>
      </c>
      <c r="I191" t="s">
        <v>29</v>
      </c>
      <c r="J191" s="13">
        <v>46167</v>
      </c>
      <c r="K191" s="17" t="s">
        <v>30</v>
      </c>
      <c r="L191" s="13">
        <v>46182</v>
      </c>
      <c r="M191" t="s">
        <v>31</v>
      </c>
      <c r="N191" t="s">
        <v>32</v>
      </c>
      <c r="O191" s="13">
        <v>46177</v>
      </c>
      <c r="P191" s="13">
        <v>46178</v>
      </c>
      <c r="Q191">
        <f t="shared" ca="1" si="10"/>
        <v>22</v>
      </c>
      <c r="R191">
        <f t="shared" si="11"/>
        <v>10</v>
      </c>
      <c r="S191">
        <f t="shared" ca="1" si="12"/>
        <v>-7</v>
      </c>
      <c r="T191" t="str">
        <f t="shared" ca="1" si="13"/>
        <v>On Track</v>
      </c>
      <c r="U191" t="str">
        <f t="shared" ca="1" si="14"/>
        <v>Normal</v>
      </c>
      <c r="V191" t="s">
        <v>33</v>
      </c>
    </row>
    <row r="192" spans="1:22">
      <c r="A192" t="s">
        <v>606</v>
      </c>
      <c r="B192" t="s">
        <v>67</v>
      </c>
      <c r="C192" t="s">
        <v>607</v>
      </c>
      <c r="D192" s="16">
        <v>326.10000000000002</v>
      </c>
      <c r="E192" t="s">
        <v>78</v>
      </c>
      <c r="F192" t="s">
        <v>38</v>
      </c>
      <c r="H192" t="s">
        <v>80</v>
      </c>
      <c r="I192" t="s">
        <v>29</v>
      </c>
      <c r="J192" s="13">
        <v>46178</v>
      </c>
      <c r="K192" s="17" t="s">
        <v>49</v>
      </c>
      <c r="L192" s="13">
        <v>46223</v>
      </c>
      <c r="M192" t="s">
        <v>31</v>
      </c>
      <c r="N192" t="s">
        <v>32</v>
      </c>
      <c r="O192" s="13">
        <v>46187</v>
      </c>
      <c r="P192" s="13">
        <v>46188</v>
      </c>
      <c r="Q192">
        <f t="shared" ca="1" si="10"/>
        <v>11</v>
      </c>
      <c r="R192">
        <f t="shared" si="11"/>
        <v>9</v>
      </c>
      <c r="S192">
        <f t="shared" ca="1" si="12"/>
        <v>34</v>
      </c>
      <c r="T192" t="str">
        <f t="shared" ca="1" si="13"/>
        <v>On Track</v>
      </c>
      <c r="U192" t="str">
        <f t="shared" ca="1" si="14"/>
        <v>Normal</v>
      </c>
      <c r="V192" t="s">
        <v>33</v>
      </c>
    </row>
    <row r="193" spans="1:22">
      <c r="A193" t="s">
        <v>608</v>
      </c>
      <c r="B193" t="s">
        <v>222</v>
      </c>
      <c r="C193" t="s">
        <v>609</v>
      </c>
      <c r="D193" s="16">
        <v>2645.37</v>
      </c>
      <c r="E193" t="s">
        <v>126</v>
      </c>
      <c r="F193" t="s">
        <v>38</v>
      </c>
      <c r="H193" t="s">
        <v>241</v>
      </c>
      <c r="I193" t="s">
        <v>29</v>
      </c>
      <c r="J193" s="13">
        <v>46161</v>
      </c>
      <c r="K193" s="17" t="s">
        <v>40</v>
      </c>
      <c r="L193" s="13">
        <v>46191</v>
      </c>
      <c r="M193" t="s">
        <v>84</v>
      </c>
      <c r="N193" t="s">
        <v>32</v>
      </c>
      <c r="O193" s="13">
        <v>46166</v>
      </c>
      <c r="Q193">
        <f t="shared" ca="1" si="10"/>
        <v>28</v>
      </c>
      <c r="R193">
        <f t="shared" si="11"/>
        <v>5</v>
      </c>
      <c r="S193">
        <f t="shared" ca="1" si="12"/>
        <v>2</v>
      </c>
      <c r="T193" t="str">
        <f t="shared" ca="1" si="13"/>
        <v>On Track</v>
      </c>
      <c r="U193" t="str">
        <f t="shared" ca="1" si="14"/>
        <v>At Risk</v>
      </c>
    </row>
    <row r="194" spans="1:22">
      <c r="A194" t="s">
        <v>610</v>
      </c>
      <c r="B194" t="s">
        <v>118</v>
      </c>
      <c r="C194" t="s">
        <v>611</v>
      </c>
      <c r="D194" s="16">
        <v>4154.8999999999996</v>
      </c>
      <c r="E194" t="s">
        <v>25</v>
      </c>
      <c r="F194" t="s">
        <v>38</v>
      </c>
      <c r="H194" t="s">
        <v>28</v>
      </c>
      <c r="I194" t="s">
        <v>29</v>
      </c>
      <c r="J194" s="13">
        <v>46149</v>
      </c>
      <c r="K194" s="17" t="s">
        <v>40</v>
      </c>
      <c r="L194" s="13">
        <v>46179</v>
      </c>
      <c r="M194" t="s">
        <v>31</v>
      </c>
      <c r="N194" t="s">
        <v>32</v>
      </c>
      <c r="O194" s="13">
        <v>46152</v>
      </c>
      <c r="P194" s="13">
        <v>46153</v>
      </c>
      <c r="Q194">
        <f t="shared" ref="Q194:Q257" ca="1" si="15">IF(J194="","",TODAY()-J194)</f>
        <v>40</v>
      </c>
      <c r="R194">
        <f t="shared" ref="R194:R257" si="16">IF(O194="","",O194-J194)</f>
        <v>3</v>
      </c>
      <c r="S194">
        <f t="shared" ref="S194:S257" ca="1" si="17">IF(L194="","",L194-TODAY())</f>
        <v>-10</v>
      </c>
      <c r="T194" t="str">
        <f t="shared" ref="T194:T257" ca="1" si="18">IF(AND(M194="Pending Approval",Q194&gt;5),"Overdue","On Track")</f>
        <v>On Track</v>
      </c>
      <c r="U194" t="str">
        <f t="shared" ref="U194:U257" ca="1" si="19">IF(AND(M194&lt;&gt;"Paid",S194&lt;=5),"At Risk","Normal")</f>
        <v>Normal</v>
      </c>
      <c r="V194" t="s">
        <v>33</v>
      </c>
    </row>
    <row r="195" spans="1:22">
      <c r="A195" t="s">
        <v>612</v>
      </c>
      <c r="B195" t="s">
        <v>168</v>
      </c>
      <c r="C195" t="s">
        <v>613</v>
      </c>
      <c r="D195" s="16">
        <v>16034.2</v>
      </c>
      <c r="E195" t="s">
        <v>111</v>
      </c>
      <c r="F195" t="s">
        <v>38</v>
      </c>
      <c r="H195" t="s">
        <v>122</v>
      </c>
      <c r="I195" t="s">
        <v>92</v>
      </c>
      <c r="J195" s="13">
        <v>46150</v>
      </c>
      <c r="K195" s="17" t="s">
        <v>30</v>
      </c>
      <c r="L195" s="13">
        <v>46165</v>
      </c>
      <c r="M195" t="s">
        <v>31</v>
      </c>
      <c r="N195" t="s">
        <v>32</v>
      </c>
      <c r="O195" s="13">
        <v>46161</v>
      </c>
      <c r="P195" s="13">
        <v>46162</v>
      </c>
      <c r="Q195">
        <f t="shared" ca="1" si="15"/>
        <v>39</v>
      </c>
      <c r="R195">
        <f t="shared" si="16"/>
        <v>11</v>
      </c>
      <c r="S195">
        <f t="shared" ca="1" si="17"/>
        <v>-24</v>
      </c>
      <c r="T195" t="str">
        <f t="shared" ca="1" si="18"/>
        <v>On Track</v>
      </c>
      <c r="U195" t="str">
        <f t="shared" ca="1" si="19"/>
        <v>Normal</v>
      </c>
      <c r="V195" t="s">
        <v>33</v>
      </c>
    </row>
    <row r="196" spans="1:22">
      <c r="A196" t="s">
        <v>614</v>
      </c>
      <c r="B196" t="s">
        <v>44</v>
      </c>
      <c r="C196" t="s">
        <v>615</v>
      </c>
      <c r="D196" s="16">
        <v>399.7</v>
      </c>
      <c r="E196" t="s">
        <v>78</v>
      </c>
      <c r="F196" t="s">
        <v>38</v>
      </c>
      <c r="H196" t="s">
        <v>80</v>
      </c>
      <c r="I196" t="s">
        <v>29</v>
      </c>
      <c r="J196" s="13">
        <v>46164</v>
      </c>
      <c r="K196" s="17" t="s">
        <v>30</v>
      </c>
      <c r="L196" s="13">
        <v>46179</v>
      </c>
      <c r="M196" t="s">
        <v>31</v>
      </c>
      <c r="N196" t="s">
        <v>100</v>
      </c>
      <c r="O196" s="13">
        <v>46174</v>
      </c>
      <c r="P196" s="13">
        <v>46179</v>
      </c>
      <c r="Q196">
        <f t="shared" ca="1" si="15"/>
        <v>25</v>
      </c>
      <c r="R196">
        <f t="shared" si="16"/>
        <v>10</v>
      </c>
      <c r="S196">
        <f t="shared" ca="1" si="17"/>
        <v>-10</v>
      </c>
      <c r="T196" t="str">
        <f t="shared" ca="1" si="18"/>
        <v>On Track</v>
      </c>
      <c r="U196" t="str">
        <f t="shared" ca="1" si="19"/>
        <v>Normal</v>
      </c>
      <c r="V196" t="s">
        <v>101</v>
      </c>
    </row>
    <row r="197" spans="1:22">
      <c r="A197" t="s">
        <v>616</v>
      </c>
      <c r="B197" t="s">
        <v>115</v>
      </c>
      <c r="C197" t="s">
        <v>617</v>
      </c>
      <c r="D197" s="16">
        <v>2709.56</v>
      </c>
      <c r="E197" t="s">
        <v>55</v>
      </c>
      <c r="F197" t="s">
        <v>26</v>
      </c>
      <c r="G197" t="s">
        <v>618</v>
      </c>
      <c r="H197" t="s">
        <v>56</v>
      </c>
      <c r="I197" t="s">
        <v>29</v>
      </c>
      <c r="J197" s="13">
        <v>46152</v>
      </c>
      <c r="K197" s="17" t="s">
        <v>30</v>
      </c>
      <c r="L197" s="13">
        <v>46167</v>
      </c>
      <c r="M197" t="s">
        <v>31</v>
      </c>
      <c r="N197" t="s">
        <v>32</v>
      </c>
      <c r="O197" s="13">
        <v>46158</v>
      </c>
      <c r="P197" s="13">
        <v>46162</v>
      </c>
      <c r="Q197">
        <f t="shared" ca="1" si="15"/>
        <v>37</v>
      </c>
      <c r="R197">
        <f t="shared" si="16"/>
        <v>6</v>
      </c>
      <c r="S197">
        <f t="shared" ca="1" si="17"/>
        <v>-22</v>
      </c>
      <c r="T197" t="str">
        <f t="shared" ca="1" si="18"/>
        <v>On Track</v>
      </c>
      <c r="U197" t="str">
        <f t="shared" ca="1" si="19"/>
        <v>Normal</v>
      </c>
      <c r="V197" t="s">
        <v>33</v>
      </c>
    </row>
    <row r="198" spans="1:22">
      <c r="A198" t="s">
        <v>619</v>
      </c>
      <c r="B198" t="s">
        <v>137</v>
      </c>
      <c r="C198" t="s">
        <v>620</v>
      </c>
      <c r="D198" s="16">
        <v>3043.09</v>
      </c>
      <c r="E198" t="s">
        <v>142</v>
      </c>
      <c r="F198" t="s">
        <v>26</v>
      </c>
      <c r="G198" t="s">
        <v>621</v>
      </c>
      <c r="H198" t="s">
        <v>335</v>
      </c>
      <c r="I198" t="s">
        <v>29</v>
      </c>
      <c r="J198" s="13">
        <v>46164</v>
      </c>
      <c r="K198" s="17" t="s">
        <v>30</v>
      </c>
      <c r="L198" s="13">
        <v>46179</v>
      </c>
      <c r="M198" t="s">
        <v>31</v>
      </c>
      <c r="N198" t="s">
        <v>32</v>
      </c>
      <c r="O198" s="13">
        <v>46172</v>
      </c>
      <c r="P198" s="13">
        <v>46175</v>
      </c>
      <c r="Q198">
        <f t="shared" ca="1" si="15"/>
        <v>25</v>
      </c>
      <c r="R198">
        <f t="shared" si="16"/>
        <v>8</v>
      </c>
      <c r="S198">
        <f t="shared" ca="1" si="17"/>
        <v>-10</v>
      </c>
      <c r="T198" t="str">
        <f t="shared" ca="1" si="18"/>
        <v>On Track</v>
      </c>
      <c r="U198" t="str">
        <f t="shared" ca="1" si="19"/>
        <v>Normal</v>
      </c>
      <c r="V198" t="s">
        <v>33</v>
      </c>
    </row>
    <row r="199" spans="1:22">
      <c r="A199" t="s">
        <v>622</v>
      </c>
      <c r="B199" t="s">
        <v>208</v>
      </c>
      <c r="C199" t="s">
        <v>623</v>
      </c>
      <c r="D199" s="16">
        <v>2915.73</v>
      </c>
      <c r="E199" t="s">
        <v>55</v>
      </c>
      <c r="F199" t="s">
        <v>26</v>
      </c>
      <c r="G199" t="s">
        <v>624</v>
      </c>
      <c r="H199" t="s">
        <v>56</v>
      </c>
      <c r="I199" t="s">
        <v>29</v>
      </c>
      <c r="J199" s="13">
        <v>46183</v>
      </c>
      <c r="K199" s="17" t="s">
        <v>49</v>
      </c>
      <c r="L199" s="13">
        <v>46228</v>
      </c>
      <c r="M199" t="s">
        <v>41</v>
      </c>
      <c r="N199" t="s">
        <v>50</v>
      </c>
      <c r="Q199">
        <f t="shared" ca="1" si="15"/>
        <v>6</v>
      </c>
      <c r="R199" t="str">
        <f t="shared" si="16"/>
        <v/>
      </c>
      <c r="S199">
        <f t="shared" ca="1" si="17"/>
        <v>39</v>
      </c>
      <c r="T199" t="str">
        <f t="shared" ca="1" si="18"/>
        <v>Overdue</v>
      </c>
      <c r="U199" t="str">
        <f t="shared" ca="1" si="19"/>
        <v>Normal</v>
      </c>
      <c r="V199" t="s">
        <v>51</v>
      </c>
    </row>
    <row r="200" spans="1:22">
      <c r="A200" t="s">
        <v>625</v>
      </c>
      <c r="B200" t="s">
        <v>23</v>
      </c>
      <c r="C200" t="s">
        <v>626</v>
      </c>
      <c r="D200" s="16">
        <v>11175.23</v>
      </c>
      <c r="E200" t="s">
        <v>46</v>
      </c>
      <c r="F200" t="s">
        <v>26</v>
      </c>
      <c r="G200" t="s">
        <v>627</v>
      </c>
      <c r="H200" t="s">
        <v>161</v>
      </c>
      <c r="I200" t="s">
        <v>92</v>
      </c>
      <c r="J200" s="13">
        <v>46163</v>
      </c>
      <c r="K200" s="17" t="s">
        <v>40</v>
      </c>
      <c r="L200" s="13">
        <v>46193</v>
      </c>
      <c r="M200" t="s">
        <v>31</v>
      </c>
      <c r="N200" t="s">
        <v>32</v>
      </c>
      <c r="O200" s="13">
        <v>46168</v>
      </c>
      <c r="P200" s="13">
        <v>46169</v>
      </c>
      <c r="Q200">
        <f t="shared" ca="1" si="15"/>
        <v>26</v>
      </c>
      <c r="R200">
        <f t="shared" si="16"/>
        <v>5</v>
      </c>
      <c r="S200">
        <f t="shared" ca="1" si="17"/>
        <v>4</v>
      </c>
      <c r="T200" t="str">
        <f t="shared" ca="1" si="18"/>
        <v>On Track</v>
      </c>
      <c r="U200" t="str">
        <f t="shared" ca="1" si="19"/>
        <v>Normal</v>
      </c>
      <c r="V200" t="s">
        <v>33</v>
      </c>
    </row>
    <row r="201" spans="1:22">
      <c r="A201" t="s">
        <v>628</v>
      </c>
      <c r="B201" t="s">
        <v>168</v>
      </c>
      <c r="C201" t="s">
        <v>629</v>
      </c>
      <c r="D201" s="16">
        <v>2581.61</v>
      </c>
      <c r="E201" t="s">
        <v>62</v>
      </c>
      <c r="F201" t="s">
        <v>26</v>
      </c>
      <c r="G201" t="s">
        <v>630</v>
      </c>
      <c r="H201" t="s">
        <v>64</v>
      </c>
      <c r="I201" t="s">
        <v>29</v>
      </c>
      <c r="J201" s="13">
        <v>46166</v>
      </c>
      <c r="K201" s="17" t="s">
        <v>30</v>
      </c>
      <c r="L201" s="13">
        <v>46181</v>
      </c>
      <c r="M201" t="s">
        <v>145</v>
      </c>
      <c r="N201" t="s">
        <v>32</v>
      </c>
      <c r="O201" s="13">
        <v>46173</v>
      </c>
      <c r="Q201">
        <f t="shared" ca="1" si="15"/>
        <v>23</v>
      </c>
      <c r="R201">
        <f t="shared" si="16"/>
        <v>7</v>
      </c>
      <c r="S201">
        <f t="shared" ca="1" si="17"/>
        <v>-8</v>
      </c>
      <c r="T201" t="str">
        <f t="shared" ca="1" si="18"/>
        <v>On Track</v>
      </c>
      <c r="U201" t="str">
        <f t="shared" ca="1" si="19"/>
        <v>At Risk</v>
      </c>
    </row>
    <row r="202" spans="1:22">
      <c r="A202" t="s">
        <v>631</v>
      </c>
      <c r="B202" t="s">
        <v>151</v>
      </c>
      <c r="C202" t="s">
        <v>632</v>
      </c>
      <c r="D202" s="16">
        <v>635.38</v>
      </c>
      <c r="E202" t="s">
        <v>55</v>
      </c>
      <c r="F202" t="s">
        <v>38</v>
      </c>
      <c r="H202" t="s">
        <v>56</v>
      </c>
      <c r="I202" t="s">
        <v>29</v>
      </c>
      <c r="J202" s="13">
        <v>46159</v>
      </c>
      <c r="K202" s="17" t="s">
        <v>57</v>
      </c>
      <c r="L202" s="13">
        <v>46189</v>
      </c>
      <c r="M202" t="s">
        <v>31</v>
      </c>
      <c r="N202" t="s">
        <v>50</v>
      </c>
      <c r="O202" s="13">
        <v>46173</v>
      </c>
      <c r="P202" s="13">
        <v>46175</v>
      </c>
      <c r="Q202">
        <f t="shared" ca="1" si="15"/>
        <v>30</v>
      </c>
      <c r="R202">
        <f t="shared" si="16"/>
        <v>14</v>
      </c>
      <c r="S202">
        <f t="shared" ca="1" si="17"/>
        <v>0</v>
      </c>
      <c r="T202" t="str">
        <f t="shared" ca="1" si="18"/>
        <v>On Track</v>
      </c>
      <c r="U202" t="str">
        <f t="shared" ca="1" si="19"/>
        <v>Normal</v>
      </c>
      <c r="V202" t="s">
        <v>51</v>
      </c>
    </row>
    <row r="203" spans="1:22">
      <c r="A203" t="s">
        <v>633</v>
      </c>
      <c r="B203" t="s">
        <v>44</v>
      </c>
      <c r="C203" t="s">
        <v>634</v>
      </c>
      <c r="D203" s="16">
        <v>3811.13</v>
      </c>
      <c r="E203" t="s">
        <v>55</v>
      </c>
      <c r="F203" t="s">
        <v>26</v>
      </c>
      <c r="G203" t="s">
        <v>635</v>
      </c>
      <c r="H203" t="s">
        <v>56</v>
      </c>
      <c r="I203" t="s">
        <v>29</v>
      </c>
      <c r="J203" s="13">
        <v>46184</v>
      </c>
      <c r="K203" s="17" t="s">
        <v>40</v>
      </c>
      <c r="L203" s="13">
        <v>46214</v>
      </c>
      <c r="M203" t="s">
        <v>41</v>
      </c>
      <c r="N203" t="s">
        <v>32</v>
      </c>
      <c r="Q203">
        <f t="shared" ca="1" si="15"/>
        <v>5</v>
      </c>
      <c r="R203" t="str">
        <f t="shared" si="16"/>
        <v/>
      </c>
      <c r="S203">
        <f t="shared" ca="1" si="17"/>
        <v>25</v>
      </c>
      <c r="T203" t="str">
        <f t="shared" ca="1" si="18"/>
        <v>On Track</v>
      </c>
      <c r="U203" t="str">
        <f t="shared" ca="1" si="19"/>
        <v>Normal</v>
      </c>
      <c r="V203" t="s">
        <v>42</v>
      </c>
    </row>
    <row r="204" spans="1:22">
      <c r="A204" t="s">
        <v>636</v>
      </c>
      <c r="B204" t="s">
        <v>151</v>
      </c>
      <c r="C204" t="s">
        <v>637</v>
      </c>
      <c r="D204" s="16">
        <v>48589.1</v>
      </c>
      <c r="E204" t="s">
        <v>302</v>
      </c>
      <c r="F204" t="s">
        <v>38</v>
      </c>
      <c r="H204" t="s">
        <v>121</v>
      </c>
      <c r="I204" t="s">
        <v>122</v>
      </c>
      <c r="J204" s="13">
        <v>46165</v>
      </c>
      <c r="K204" s="17" t="s">
        <v>40</v>
      </c>
      <c r="L204" s="13">
        <v>46195</v>
      </c>
      <c r="M204" t="s">
        <v>31</v>
      </c>
      <c r="N204" t="s">
        <v>32</v>
      </c>
      <c r="O204" s="13">
        <v>46175</v>
      </c>
      <c r="P204" s="13">
        <v>46181</v>
      </c>
      <c r="Q204">
        <f t="shared" ca="1" si="15"/>
        <v>24</v>
      </c>
      <c r="R204">
        <f t="shared" si="16"/>
        <v>10</v>
      </c>
      <c r="S204">
        <f t="shared" ca="1" si="17"/>
        <v>6</v>
      </c>
      <c r="T204" t="str">
        <f t="shared" ca="1" si="18"/>
        <v>On Track</v>
      </c>
      <c r="U204" t="str">
        <f t="shared" ca="1" si="19"/>
        <v>Normal</v>
      </c>
      <c r="V204" t="s">
        <v>33</v>
      </c>
    </row>
    <row r="205" spans="1:22">
      <c r="A205" t="s">
        <v>638</v>
      </c>
      <c r="B205" t="s">
        <v>251</v>
      </c>
      <c r="C205" t="s">
        <v>639</v>
      </c>
      <c r="D205" s="16">
        <v>2061.9899999999998</v>
      </c>
      <c r="E205" t="s">
        <v>142</v>
      </c>
      <c r="F205" t="s">
        <v>26</v>
      </c>
      <c r="G205" t="s">
        <v>640</v>
      </c>
      <c r="H205" t="s">
        <v>335</v>
      </c>
      <c r="I205" t="s">
        <v>29</v>
      </c>
      <c r="J205" s="13">
        <v>46188</v>
      </c>
      <c r="K205" s="17" t="s">
        <v>40</v>
      </c>
      <c r="L205" s="13">
        <v>46218</v>
      </c>
      <c r="M205" t="s">
        <v>41</v>
      </c>
      <c r="N205" t="s">
        <v>100</v>
      </c>
      <c r="Q205">
        <f t="shared" ca="1" si="15"/>
        <v>1</v>
      </c>
      <c r="R205" t="str">
        <f t="shared" si="16"/>
        <v/>
      </c>
      <c r="S205">
        <f t="shared" ca="1" si="17"/>
        <v>29</v>
      </c>
      <c r="T205" t="str">
        <f t="shared" ca="1" si="18"/>
        <v>On Track</v>
      </c>
      <c r="U205" t="str">
        <f t="shared" ca="1" si="19"/>
        <v>Normal</v>
      </c>
      <c r="V205" t="s">
        <v>101</v>
      </c>
    </row>
    <row r="206" spans="1:22">
      <c r="A206" t="s">
        <v>641</v>
      </c>
      <c r="B206" t="s">
        <v>208</v>
      </c>
      <c r="C206" t="s">
        <v>642</v>
      </c>
      <c r="D206" s="16">
        <v>2815.52</v>
      </c>
      <c r="E206" t="s">
        <v>142</v>
      </c>
      <c r="F206" t="s">
        <v>26</v>
      </c>
      <c r="G206" t="s">
        <v>643</v>
      </c>
      <c r="H206" t="s">
        <v>335</v>
      </c>
      <c r="I206" t="s">
        <v>29</v>
      </c>
      <c r="J206" s="13">
        <v>46155</v>
      </c>
      <c r="K206" s="17" t="s">
        <v>30</v>
      </c>
      <c r="L206" s="13">
        <v>46170</v>
      </c>
      <c r="M206" t="s">
        <v>31</v>
      </c>
      <c r="N206" t="s">
        <v>100</v>
      </c>
      <c r="O206" s="13">
        <v>46171</v>
      </c>
      <c r="P206" s="13">
        <v>46178</v>
      </c>
      <c r="Q206">
        <f t="shared" ca="1" si="15"/>
        <v>34</v>
      </c>
      <c r="R206">
        <f t="shared" si="16"/>
        <v>16</v>
      </c>
      <c r="S206">
        <f t="shared" ca="1" si="17"/>
        <v>-19</v>
      </c>
      <c r="T206" t="str">
        <f t="shared" ca="1" si="18"/>
        <v>On Track</v>
      </c>
      <c r="U206" t="str">
        <f t="shared" ca="1" si="19"/>
        <v>Normal</v>
      </c>
      <c r="V206" t="s">
        <v>101</v>
      </c>
    </row>
    <row r="207" spans="1:22">
      <c r="A207" t="s">
        <v>644</v>
      </c>
      <c r="B207" t="s">
        <v>109</v>
      </c>
      <c r="C207" t="s">
        <v>645</v>
      </c>
      <c r="D207" s="16">
        <v>20515.310000000001</v>
      </c>
      <c r="E207" t="s">
        <v>25</v>
      </c>
      <c r="F207" t="s">
        <v>26</v>
      </c>
      <c r="G207" t="s">
        <v>646</v>
      </c>
      <c r="H207" t="s">
        <v>149</v>
      </c>
      <c r="I207" t="s">
        <v>92</v>
      </c>
      <c r="J207" s="13">
        <v>46152</v>
      </c>
      <c r="K207" s="17" t="s">
        <v>49</v>
      </c>
      <c r="L207" s="13">
        <v>46197</v>
      </c>
      <c r="M207" t="s">
        <v>31</v>
      </c>
      <c r="N207" t="s">
        <v>32</v>
      </c>
      <c r="O207" s="13">
        <v>46159</v>
      </c>
      <c r="P207" s="13">
        <v>46166</v>
      </c>
      <c r="Q207">
        <f t="shared" ca="1" si="15"/>
        <v>37</v>
      </c>
      <c r="R207">
        <f t="shared" si="16"/>
        <v>7</v>
      </c>
      <c r="S207">
        <f t="shared" ca="1" si="17"/>
        <v>8</v>
      </c>
      <c r="T207" t="str">
        <f t="shared" ca="1" si="18"/>
        <v>On Track</v>
      </c>
      <c r="U207" t="str">
        <f t="shared" ca="1" si="19"/>
        <v>Normal</v>
      </c>
      <c r="V207" t="s">
        <v>33</v>
      </c>
    </row>
    <row r="208" spans="1:22">
      <c r="A208" t="s">
        <v>647</v>
      </c>
      <c r="B208" t="s">
        <v>137</v>
      </c>
      <c r="C208" t="s">
        <v>648</v>
      </c>
      <c r="D208" s="16">
        <v>58806.81</v>
      </c>
      <c r="E208" t="s">
        <v>62</v>
      </c>
      <c r="F208" t="s">
        <v>26</v>
      </c>
      <c r="G208" t="s">
        <v>649</v>
      </c>
      <c r="H208" t="s">
        <v>121</v>
      </c>
      <c r="I208" t="s">
        <v>122</v>
      </c>
      <c r="J208" s="13">
        <v>46188</v>
      </c>
      <c r="K208" s="17" t="s">
        <v>40</v>
      </c>
      <c r="L208" s="13">
        <v>46218</v>
      </c>
      <c r="M208" t="s">
        <v>145</v>
      </c>
      <c r="N208" t="s">
        <v>32</v>
      </c>
      <c r="O208" s="13">
        <v>46189</v>
      </c>
      <c r="Q208">
        <f t="shared" ca="1" si="15"/>
        <v>1</v>
      </c>
      <c r="R208">
        <f t="shared" si="16"/>
        <v>1</v>
      </c>
      <c r="S208">
        <f t="shared" ca="1" si="17"/>
        <v>29</v>
      </c>
      <c r="T208" t="str">
        <f t="shared" ca="1" si="18"/>
        <v>On Track</v>
      </c>
      <c r="U208" t="str">
        <f t="shared" ca="1" si="19"/>
        <v>Normal</v>
      </c>
    </row>
    <row r="209" spans="1:22">
      <c r="A209" t="s">
        <v>650</v>
      </c>
      <c r="B209" t="s">
        <v>67</v>
      </c>
      <c r="C209" t="s">
        <v>651</v>
      </c>
      <c r="D209" s="16">
        <v>636.66999999999996</v>
      </c>
      <c r="E209" t="s">
        <v>37</v>
      </c>
      <c r="F209" t="s">
        <v>38</v>
      </c>
      <c r="H209" t="s">
        <v>39</v>
      </c>
      <c r="I209" t="s">
        <v>29</v>
      </c>
      <c r="J209" s="13">
        <v>46186</v>
      </c>
      <c r="K209" s="17" t="s">
        <v>49</v>
      </c>
      <c r="L209" s="13">
        <v>46231</v>
      </c>
      <c r="M209" t="s">
        <v>99</v>
      </c>
      <c r="N209" t="s">
        <v>32</v>
      </c>
      <c r="O209" s="13">
        <v>46189</v>
      </c>
      <c r="Q209">
        <f t="shared" ca="1" si="15"/>
        <v>3</v>
      </c>
      <c r="R209">
        <f t="shared" si="16"/>
        <v>3</v>
      </c>
      <c r="S209">
        <f t="shared" ca="1" si="17"/>
        <v>42</v>
      </c>
      <c r="T209" t="str">
        <f t="shared" ca="1" si="18"/>
        <v>On Track</v>
      </c>
      <c r="U209" t="str">
        <f t="shared" ca="1" si="19"/>
        <v>Normal</v>
      </c>
    </row>
    <row r="210" spans="1:22">
      <c r="A210" t="s">
        <v>652</v>
      </c>
      <c r="B210" t="s">
        <v>53</v>
      </c>
      <c r="C210" t="s">
        <v>653</v>
      </c>
      <c r="D210" s="16">
        <v>1260.0999999999999</v>
      </c>
      <c r="E210" t="s">
        <v>302</v>
      </c>
      <c r="F210" t="s">
        <v>38</v>
      </c>
      <c r="H210" t="s">
        <v>304</v>
      </c>
      <c r="I210" t="s">
        <v>29</v>
      </c>
      <c r="J210" s="13">
        <v>46179</v>
      </c>
      <c r="K210" s="17" t="s">
        <v>57</v>
      </c>
      <c r="L210" s="13">
        <v>46209</v>
      </c>
      <c r="M210" t="s">
        <v>84</v>
      </c>
      <c r="N210" t="s">
        <v>32</v>
      </c>
      <c r="O210" s="13">
        <v>46188</v>
      </c>
      <c r="Q210">
        <f t="shared" ca="1" si="15"/>
        <v>10</v>
      </c>
      <c r="R210">
        <f t="shared" si="16"/>
        <v>9</v>
      </c>
      <c r="S210">
        <f t="shared" ca="1" si="17"/>
        <v>20</v>
      </c>
      <c r="T210" t="str">
        <f t="shared" ca="1" si="18"/>
        <v>On Track</v>
      </c>
      <c r="U210" t="str">
        <f t="shared" ca="1" si="19"/>
        <v>Normal</v>
      </c>
    </row>
    <row r="211" spans="1:22">
      <c r="A211" t="s">
        <v>654</v>
      </c>
      <c r="B211" t="s">
        <v>151</v>
      </c>
      <c r="C211" t="s">
        <v>655</v>
      </c>
      <c r="D211" s="16">
        <v>6674.17</v>
      </c>
      <c r="E211" t="s">
        <v>55</v>
      </c>
      <c r="F211" t="s">
        <v>38</v>
      </c>
      <c r="H211" t="s">
        <v>579</v>
      </c>
      <c r="I211" t="s">
        <v>92</v>
      </c>
      <c r="J211" s="13">
        <v>46153</v>
      </c>
      <c r="K211" s="17" t="s">
        <v>49</v>
      </c>
      <c r="L211" s="13">
        <v>46198</v>
      </c>
      <c r="M211" t="s">
        <v>31</v>
      </c>
      <c r="N211" t="s">
        <v>32</v>
      </c>
      <c r="O211" s="13">
        <v>46161</v>
      </c>
      <c r="P211" s="13">
        <v>46162</v>
      </c>
      <c r="Q211">
        <f t="shared" ca="1" si="15"/>
        <v>36</v>
      </c>
      <c r="R211">
        <f t="shared" si="16"/>
        <v>8</v>
      </c>
      <c r="S211">
        <f t="shared" ca="1" si="17"/>
        <v>9</v>
      </c>
      <c r="T211" t="str">
        <f t="shared" ca="1" si="18"/>
        <v>On Track</v>
      </c>
      <c r="U211" t="str">
        <f t="shared" ca="1" si="19"/>
        <v>Normal</v>
      </c>
      <c r="V211" t="s">
        <v>33</v>
      </c>
    </row>
    <row r="212" spans="1:22">
      <c r="A212" t="s">
        <v>656</v>
      </c>
      <c r="B212" t="s">
        <v>76</v>
      </c>
      <c r="C212" t="s">
        <v>657</v>
      </c>
      <c r="D212" s="16">
        <v>555.64</v>
      </c>
      <c r="E212" t="s">
        <v>69</v>
      </c>
      <c r="F212" t="s">
        <v>26</v>
      </c>
      <c r="G212" t="s">
        <v>658</v>
      </c>
      <c r="H212" t="s">
        <v>71</v>
      </c>
      <c r="I212" t="s">
        <v>29</v>
      </c>
      <c r="J212" s="13">
        <v>46151</v>
      </c>
      <c r="K212" s="17" t="s">
        <v>30</v>
      </c>
      <c r="L212" s="13">
        <v>46166</v>
      </c>
      <c r="M212" t="s">
        <v>99</v>
      </c>
      <c r="N212" t="s">
        <v>50</v>
      </c>
      <c r="O212" s="13">
        <v>46161</v>
      </c>
      <c r="Q212">
        <f t="shared" ca="1" si="15"/>
        <v>38</v>
      </c>
      <c r="R212">
        <f t="shared" si="16"/>
        <v>10</v>
      </c>
      <c r="S212">
        <f t="shared" ca="1" si="17"/>
        <v>-23</v>
      </c>
      <c r="T212" t="str">
        <f t="shared" ca="1" si="18"/>
        <v>On Track</v>
      </c>
      <c r="U212" t="str">
        <f t="shared" ca="1" si="19"/>
        <v>At Risk</v>
      </c>
      <c r="V212" t="s">
        <v>51</v>
      </c>
    </row>
    <row r="213" spans="1:22">
      <c r="A213" t="s">
        <v>659</v>
      </c>
      <c r="B213" t="s">
        <v>129</v>
      </c>
      <c r="C213" t="s">
        <v>660</v>
      </c>
      <c r="D213" s="16">
        <v>978.62</v>
      </c>
      <c r="E213" t="s">
        <v>78</v>
      </c>
      <c r="F213" t="s">
        <v>26</v>
      </c>
      <c r="G213" t="s">
        <v>661</v>
      </c>
      <c r="H213" t="s">
        <v>80</v>
      </c>
      <c r="I213" t="s">
        <v>29</v>
      </c>
      <c r="J213" s="13">
        <v>46158</v>
      </c>
      <c r="K213" s="17" t="s">
        <v>40</v>
      </c>
      <c r="L213" s="13">
        <v>46188</v>
      </c>
      <c r="M213" t="s">
        <v>31</v>
      </c>
      <c r="N213" t="s">
        <v>32</v>
      </c>
      <c r="O213" s="13">
        <v>46161</v>
      </c>
      <c r="P213" s="13">
        <v>46165</v>
      </c>
      <c r="Q213">
        <f t="shared" ca="1" si="15"/>
        <v>31</v>
      </c>
      <c r="R213">
        <f t="shared" si="16"/>
        <v>3</v>
      </c>
      <c r="S213">
        <f t="shared" ca="1" si="17"/>
        <v>-1</v>
      </c>
      <c r="T213" t="str">
        <f t="shared" ca="1" si="18"/>
        <v>On Track</v>
      </c>
      <c r="U213" t="str">
        <f t="shared" ca="1" si="19"/>
        <v>Normal</v>
      </c>
      <c r="V213" t="s">
        <v>33</v>
      </c>
    </row>
    <row r="214" spans="1:22">
      <c r="A214" t="s">
        <v>662</v>
      </c>
      <c r="B214" t="s">
        <v>94</v>
      </c>
      <c r="C214" t="s">
        <v>663</v>
      </c>
      <c r="D214" s="16">
        <v>1147.83</v>
      </c>
      <c r="E214" t="s">
        <v>69</v>
      </c>
      <c r="F214" t="s">
        <v>26</v>
      </c>
      <c r="G214" t="s">
        <v>664</v>
      </c>
      <c r="H214" t="s">
        <v>71</v>
      </c>
      <c r="I214" t="s">
        <v>29</v>
      </c>
      <c r="J214" s="13">
        <v>46144</v>
      </c>
      <c r="K214" s="17" t="s">
        <v>57</v>
      </c>
      <c r="L214" s="13">
        <v>46174</v>
      </c>
      <c r="M214" t="s">
        <v>31</v>
      </c>
      <c r="N214" t="s">
        <v>32</v>
      </c>
      <c r="O214" s="13">
        <v>46146</v>
      </c>
      <c r="P214" s="13">
        <v>46153</v>
      </c>
      <c r="Q214">
        <f t="shared" ca="1" si="15"/>
        <v>45</v>
      </c>
      <c r="R214">
        <f t="shared" si="16"/>
        <v>2</v>
      </c>
      <c r="S214">
        <f t="shared" ca="1" si="17"/>
        <v>-15</v>
      </c>
      <c r="T214" t="str">
        <f t="shared" ca="1" si="18"/>
        <v>On Track</v>
      </c>
      <c r="U214" t="str">
        <f t="shared" ca="1" si="19"/>
        <v>Normal</v>
      </c>
      <c r="V214" t="s">
        <v>33</v>
      </c>
    </row>
    <row r="215" spans="1:22">
      <c r="A215" t="s">
        <v>665</v>
      </c>
      <c r="B215" t="s">
        <v>271</v>
      </c>
      <c r="C215" t="s">
        <v>666</v>
      </c>
      <c r="D215" s="16">
        <v>2331.85</v>
      </c>
      <c r="E215" t="s">
        <v>142</v>
      </c>
      <c r="F215" t="s">
        <v>26</v>
      </c>
      <c r="G215" t="s">
        <v>667</v>
      </c>
      <c r="H215" t="s">
        <v>335</v>
      </c>
      <c r="I215" t="s">
        <v>29</v>
      </c>
      <c r="J215" s="13">
        <v>46175</v>
      </c>
      <c r="K215" s="17" t="s">
        <v>49</v>
      </c>
      <c r="L215" s="13">
        <v>46220</v>
      </c>
      <c r="M215" t="s">
        <v>41</v>
      </c>
      <c r="N215" t="s">
        <v>32</v>
      </c>
      <c r="Q215">
        <f t="shared" ca="1" si="15"/>
        <v>14</v>
      </c>
      <c r="R215" t="str">
        <f t="shared" si="16"/>
        <v/>
      </c>
      <c r="S215">
        <f t="shared" ca="1" si="17"/>
        <v>31</v>
      </c>
      <c r="T215" t="str">
        <f t="shared" ca="1" si="18"/>
        <v>Overdue</v>
      </c>
      <c r="U215" t="str">
        <f t="shared" ca="1" si="19"/>
        <v>Normal</v>
      </c>
      <c r="V215" t="s">
        <v>42</v>
      </c>
    </row>
    <row r="216" spans="1:22">
      <c r="A216" t="s">
        <v>668</v>
      </c>
      <c r="B216" t="s">
        <v>103</v>
      </c>
      <c r="C216" t="s">
        <v>669</v>
      </c>
      <c r="D216" s="16">
        <v>3952.51</v>
      </c>
      <c r="E216" t="s">
        <v>62</v>
      </c>
      <c r="F216" t="s">
        <v>38</v>
      </c>
      <c r="H216" t="s">
        <v>64</v>
      </c>
      <c r="I216" t="s">
        <v>29</v>
      </c>
      <c r="J216" s="13">
        <v>46163</v>
      </c>
      <c r="K216" s="17" t="s">
        <v>30</v>
      </c>
      <c r="L216" s="13">
        <v>46178</v>
      </c>
      <c r="M216" t="s">
        <v>31</v>
      </c>
      <c r="N216" t="s">
        <v>32</v>
      </c>
      <c r="O216" s="13">
        <v>46172</v>
      </c>
      <c r="P216" s="13">
        <v>46175</v>
      </c>
      <c r="Q216">
        <f t="shared" ca="1" si="15"/>
        <v>26</v>
      </c>
      <c r="R216">
        <f t="shared" si="16"/>
        <v>9</v>
      </c>
      <c r="S216">
        <f t="shared" ca="1" si="17"/>
        <v>-11</v>
      </c>
      <c r="T216" t="str">
        <f t="shared" ca="1" si="18"/>
        <v>On Track</v>
      </c>
      <c r="U216" t="str">
        <f t="shared" ca="1" si="19"/>
        <v>Normal</v>
      </c>
      <c r="V216" t="s">
        <v>33</v>
      </c>
    </row>
    <row r="217" spans="1:22">
      <c r="A217" t="s">
        <v>670</v>
      </c>
      <c r="B217" t="s">
        <v>222</v>
      </c>
      <c r="C217" t="s">
        <v>671</v>
      </c>
      <c r="D217" s="16">
        <v>2963.74</v>
      </c>
      <c r="E217" t="s">
        <v>78</v>
      </c>
      <c r="F217" t="s">
        <v>26</v>
      </c>
      <c r="G217" t="s">
        <v>672</v>
      </c>
      <c r="H217" t="s">
        <v>80</v>
      </c>
      <c r="I217" t="s">
        <v>29</v>
      </c>
      <c r="J217" s="13">
        <v>46155</v>
      </c>
      <c r="K217" s="17" t="s">
        <v>40</v>
      </c>
      <c r="L217" s="13">
        <v>46185</v>
      </c>
      <c r="M217" t="s">
        <v>31</v>
      </c>
      <c r="N217" t="s">
        <v>32</v>
      </c>
      <c r="O217" s="13">
        <v>46158</v>
      </c>
      <c r="P217" s="13">
        <v>46162</v>
      </c>
      <c r="Q217">
        <f t="shared" ca="1" si="15"/>
        <v>34</v>
      </c>
      <c r="R217">
        <f t="shared" si="16"/>
        <v>3</v>
      </c>
      <c r="S217">
        <f t="shared" ca="1" si="17"/>
        <v>-4</v>
      </c>
      <c r="T217" t="str">
        <f t="shared" ca="1" si="18"/>
        <v>On Track</v>
      </c>
      <c r="U217" t="str">
        <f t="shared" ca="1" si="19"/>
        <v>Normal</v>
      </c>
      <c r="V217" t="s">
        <v>33</v>
      </c>
    </row>
    <row r="218" spans="1:22">
      <c r="A218" t="s">
        <v>673</v>
      </c>
      <c r="B218" t="s">
        <v>222</v>
      </c>
      <c r="C218" t="s">
        <v>674</v>
      </c>
      <c r="D218" s="16">
        <v>2302.0500000000002</v>
      </c>
      <c r="E218" t="s">
        <v>46</v>
      </c>
      <c r="F218" t="s">
        <v>26</v>
      </c>
      <c r="G218" t="s">
        <v>675</v>
      </c>
      <c r="H218" t="s">
        <v>48</v>
      </c>
      <c r="I218" t="s">
        <v>29</v>
      </c>
      <c r="J218" s="13">
        <v>46144</v>
      </c>
      <c r="K218" s="17" t="s">
        <v>40</v>
      </c>
      <c r="L218" s="13">
        <v>46174</v>
      </c>
      <c r="M218" t="s">
        <v>65</v>
      </c>
      <c r="N218" t="s">
        <v>32</v>
      </c>
      <c r="Q218">
        <f t="shared" ca="1" si="15"/>
        <v>45</v>
      </c>
      <c r="R218" t="str">
        <f t="shared" si="16"/>
        <v/>
      </c>
      <c r="S218">
        <f t="shared" ca="1" si="17"/>
        <v>-15</v>
      </c>
      <c r="T218" t="str">
        <f t="shared" ca="1" si="18"/>
        <v>On Track</v>
      </c>
      <c r="U218" t="str">
        <f t="shared" ca="1" si="19"/>
        <v>At Risk</v>
      </c>
    </row>
    <row r="219" spans="1:22">
      <c r="A219" t="s">
        <v>676</v>
      </c>
      <c r="B219" t="s">
        <v>23</v>
      </c>
      <c r="C219" t="s">
        <v>677</v>
      </c>
      <c r="D219" s="16">
        <v>2487.35</v>
      </c>
      <c r="E219" t="s">
        <v>62</v>
      </c>
      <c r="F219" t="s">
        <v>38</v>
      </c>
      <c r="H219" t="s">
        <v>64</v>
      </c>
      <c r="I219" t="s">
        <v>29</v>
      </c>
      <c r="J219" s="13">
        <v>46172</v>
      </c>
      <c r="K219" s="17" t="s">
        <v>40</v>
      </c>
      <c r="L219" s="13">
        <v>46202</v>
      </c>
      <c r="M219" t="s">
        <v>31</v>
      </c>
      <c r="N219" t="s">
        <v>32</v>
      </c>
      <c r="O219" s="13">
        <v>46181</v>
      </c>
      <c r="P219" s="13">
        <v>46183</v>
      </c>
      <c r="Q219">
        <f t="shared" ca="1" si="15"/>
        <v>17</v>
      </c>
      <c r="R219">
        <f t="shared" si="16"/>
        <v>9</v>
      </c>
      <c r="S219">
        <f t="shared" ca="1" si="17"/>
        <v>13</v>
      </c>
      <c r="T219" t="str">
        <f t="shared" ca="1" si="18"/>
        <v>On Track</v>
      </c>
      <c r="U219" t="str">
        <f t="shared" ca="1" si="19"/>
        <v>Normal</v>
      </c>
      <c r="V219" t="s">
        <v>33</v>
      </c>
    </row>
    <row r="220" spans="1:22">
      <c r="A220" t="s">
        <v>678</v>
      </c>
      <c r="B220" t="s">
        <v>151</v>
      </c>
      <c r="C220" t="s">
        <v>679</v>
      </c>
      <c r="D220" s="16">
        <v>16030.18</v>
      </c>
      <c r="E220" t="s">
        <v>46</v>
      </c>
      <c r="F220" t="s">
        <v>38</v>
      </c>
      <c r="H220" t="s">
        <v>161</v>
      </c>
      <c r="I220" t="s">
        <v>92</v>
      </c>
      <c r="J220" s="13">
        <v>46175</v>
      </c>
      <c r="K220" s="17" t="s">
        <v>30</v>
      </c>
      <c r="L220" s="13">
        <v>46190</v>
      </c>
      <c r="M220" t="s">
        <v>41</v>
      </c>
      <c r="N220" t="s">
        <v>32</v>
      </c>
      <c r="Q220">
        <f t="shared" ca="1" si="15"/>
        <v>14</v>
      </c>
      <c r="R220" t="str">
        <f t="shared" si="16"/>
        <v/>
      </c>
      <c r="S220">
        <f t="shared" ca="1" si="17"/>
        <v>1</v>
      </c>
      <c r="T220" t="str">
        <f t="shared" ca="1" si="18"/>
        <v>Overdue</v>
      </c>
      <c r="U220" t="str">
        <f t="shared" ca="1" si="19"/>
        <v>At Risk</v>
      </c>
      <c r="V220" t="s">
        <v>42</v>
      </c>
    </row>
    <row r="221" spans="1:22">
      <c r="A221" t="s">
        <v>680</v>
      </c>
      <c r="B221" t="s">
        <v>67</v>
      </c>
      <c r="C221" t="s">
        <v>681</v>
      </c>
      <c r="D221" s="16">
        <v>32617.94</v>
      </c>
      <c r="E221" t="s">
        <v>126</v>
      </c>
      <c r="F221" t="s">
        <v>38</v>
      </c>
      <c r="H221" t="s">
        <v>121</v>
      </c>
      <c r="I221" t="s">
        <v>122</v>
      </c>
      <c r="J221" s="13">
        <v>46159</v>
      </c>
      <c r="K221" s="17" t="s">
        <v>49</v>
      </c>
      <c r="L221" s="13">
        <v>46204</v>
      </c>
      <c r="M221" t="s">
        <v>31</v>
      </c>
      <c r="N221" t="s">
        <v>179</v>
      </c>
      <c r="O221" s="13">
        <v>46177</v>
      </c>
      <c r="P221" s="13">
        <v>46184</v>
      </c>
      <c r="Q221">
        <f t="shared" ca="1" si="15"/>
        <v>30</v>
      </c>
      <c r="R221">
        <f t="shared" si="16"/>
        <v>18</v>
      </c>
      <c r="S221">
        <f t="shared" ca="1" si="17"/>
        <v>15</v>
      </c>
      <c r="T221" t="str">
        <f t="shared" ca="1" si="18"/>
        <v>On Track</v>
      </c>
      <c r="U221" t="str">
        <f t="shared" ca="1" si="19"/>
        <v>Normal</v>
      </c>
      <c r="V221" t="s">
        <v>180</v>
      </c>
    </row>
    <row r="222" spans="1:22">
      <c r="A222" t="s">
        <v>682</v>
      </c>
      <c r="B222" t="s">
        <v>124</v>
      </c>
      <c r="C222" t="s">
        <v>683</v>
      </c>
      <c r="D222" s="16">
        <v>9620.4500000000007</v>
      </c>
      <c r="E222" t="s">
        <v>25</v>
      </c>
      <c r="F222" t="s">
        <v>38</v>
      </c>
      <c r="H222" t="s">
        <v>149</v>
      </c>
      <c r="I222" t="s">
        <v>92</v>
      </c>
      <c r="J222" s="13">
        <v>46181</v>
      </c>
      <c r="K222" s="17" t="s">
        <v>49</v>
      </c>
      <c r="L222" s="13">
        <v>46226</v>
      </c>
      <c r="M222" t="s">
        <v>99</v>
      </c>
      <c r="N222" t="s">
        <v>50</v>
      </c>
      <c r="O222" s="13">
        <v>46189</v>
      </c>
      <c r="Q222">
        <f t="shared" ca="1" si="15"/>
        <v>8</v>
      </c>
      <c r="R222">
        <f t="shared" si="16"/>
        <v>8</v>
      </c>
      <c r="S222">
        <f t="shared" ca="1" si="17"/>
        <v>37</v>
      </c>
      <c r="T222" t="str">
        <f t="shared" ca="1" si="18"/>
        <v>On Track</v>
      </c>
      <c r="U222" t="str">
        <f t="shared" ca="1" si="19"/>
        <v>Normal</v>
      </c>
      <c r="V222" t="s">
        <v>51</v>
      </c>
    </row>
    <row r="223" spans="1:22">
      <c r="A223" t="s">
        <v>684</v>
      </c>
      <c r="B223" t="s">
        <v>172</v>
      </c>
      <c r="C223" t="s">
        <v>685</v>
      </c>
      <c r="D223" s="16">
        <v>2671.88</v>
      </c>
      <c r="E223" t="s">
        <v>302</v>
      </c>
      <c r="F223" t="s">
        <v>26</v>
      </c>
      <c r="G223" t="s">
        <v>686</v>
      </c>
      <c r="H223" t="s">
        <v>304</v>
      </c>
      <c r="I223" t="s">
        <v>29</v>
      </c>
      <c r="J223" s="13">
        <v>46164</v>
      </c>
      <c r="K223" s="17" t="s">
        <v>49</v>
      </c>
      <c r="L223" s="13">
        <v>46209</v>
      </c>
      <c r="M223" t="s">
        <v>65</v>
      </c>
      <c r="N223" t="s">
        <v>32</v>
      </c>
      <c r="Q223">
        <f t="shared" ca="1" si="15"/>
        <v>25</v>
      </c>
      <c r="R223" t="str">
        <f t="shared" si="16"/>
        <v/>
      </c>
      <c r="S223">
        <f t="shared" ca="1" si="17"/>
        <v>20</v>
      </c>
      <c r="T223" t="str">
        <f t="shared" ca="1" si="18"/>
        <v>On Track</v>
      </c>
      <c r="U223" t="str">
        <f t="shared" ca="1" si="19"/>
        <v>Normal</v>
      </c>
    </row>
    <row r="224" spans="1:22">
      <c r="A224" t="s">
        <v>687</v>
      </c>
      <c r="B224" t="s">
        <v>118</v>
      </c>
      <c r="C224" t="s">
        <v>688</v>
      </c>
      <c r="D224" s="16">
        <v>3662.93</v>
      </c>
      <c r="E224" t="s">
        <v>25</v>
      </c>
      <c r="F224" t="s">
        <v>26</v>
      </c>
      <c r="G224" t="s">
        <v>689</v>
      </c>
      <c r="H224" t="s">
        <v>28</v>
      </c>
      <c r="I224" t="s">
        <v>29</v>
      </c>
      <c r="J224" s="13">
        <v>46161</v>
      </c>
      <c r="K224" s="17" t="s">
        <v>57</v>
      </c>
      <c r="L224" s="13">
        <v>46191</v>
      </c>
      <c r="M224" t="s">
        <v>31</v>
      </c>
      <c r="N224" t="s">
        <v>32</v>
      </c>
      <c r="O224" s="13">
        <v>46166</v>
      </c>
      <c r="P224" s="13">
        <v>46172</v>
      </c>
      <c r="Q224">
        <f t="shared" ca="1" si="15"/>
        <v>28</v>
      </c>
      <c r="R224">
        <f t="shared" si="16"/>
        <v>5</v>
      </c>
      <c r="S224">
        <f t="shared" ca="1" si="17"/>
        <v>2</v>
      </c>
      <c r="T224" t="str">
        <f t="shared" ca="1" si="18"/>
        <v>On Track</v>
      </c>
      <c r="U224" t="str">
        <f t="shared" ca="1" si="19"/>
        <v>Normal</v>
      </c>
      <c r="V224" t="s">
        <v>33</v>
      </c>
    </row>
    <row r="225" spans="1:22">
      <c r="A225" t="s">
        <v>690</v>
      </c>
      <c r="B225" t="s">
        <v>129</v>
      </c>
      <c r="C225" t="s">
        <v>691</v>
      </c>
      <c r="D225" s="16">
        <v>896.88</v>
      </c>
      <c r="E225" t="s">
        <v>111</v>
      </c>
      <c r="F225" t="s">
        <v>38</v>
      </c>
      <c r="H225" t="s">
        <v>113</v>
      </c>
      <c r="I225" t="s">
        <v>29</v>
      </c>
      <c r="J225" s="13">
        <v>46184</v>
      </c>
      <c r="K225" s="17" t="s">
        <v>40</v>
      </c>
      <c r="L225" s="13">
        <v>46214</v>
      </c>
      <c r="M225" t="s">
        <v>99</v>
      </c>
      <c r="N225" t="s">
        <v>58</v>
      </c>
      <c r="O225" s="13">
        <v>46189</v>
      </c>
      <c r="Q225">
        <f t="shared" ca="1" si="15"/>
        <v>5</v>
      </c>
      <c r="R225">
        <f t="shared" si="16"/>
        <v>5</v>
      </c>
      <c r="S225">
        <f t="shared" ca="1" si="17"/>
        <v>25</v>
      </c>
      <c r="T225" t="str">
        <f t="shared" ca="1" si="18"/>
        <v>On Track</v>
      </c>
      <c r="U225" t="str">
        <f t="shared" ca="1" si="19"/>
        <v>Normal</v>
      </c>
      <c r="V225" t="s">
        <v>59</v>
      </c>
    </row>
    <row r="226" spans="1:22">
      <c r="A226" t="s">
        <v>692</v>
      </c>
      <c r="B226" t="s">
        <v>124</v>
      </c>
      <c r="C226" t="s">
        <v>693</v>
      </c>
      <c r="D226" s="16">
        <v>261.25</v>
      </c>
      <c r="E226" t="s">
        <v>62</v>
      </c>
      <c r="F226" t="s">
        <v>38</v>
      </c>
      <c r="H226" t="s">
        <v>64</v>
      </c>
      <c r="I226" t="s">
        <v>29</v>
      </c>
      <c r="J226" s="13">
        <v>46149</v>
      </c>
      <c r="K226" s="17" t="s">
        <v>40</v>
      </c>
      <c r="L226" s="13">
        <v>46179</v>
      </c>
      <c r="M226" t="s">
        <v>31</v>
      </c>
      <c r="N226" t="s">
        <v>32</v>
      </c>
      <c r="O226" s="13">
        <v>46156</v>
      </c>
      <c r="P226" s="13">
        <v>46160</v>
      </c>
      <c r="Q226">
        <f t="shared" ca="1" si="15"/>
        <v>40</v>
      </c>
      <c r="R226">
        <f t="shared" si="16"/>
        <v>7</v>
      </c>
      <c r="S226">
        <f t="shared" ca="1" si="17"/>
        <v>-10</v>
      </c>
      <c r="T226" t="str">
        <f t="shared" ca="1" si="18"/>
        <v>On Track</v>
      </c>
      <c r="U226" t="str">
        <f t="shared" ca="1" si="19"/>
        <v>Normal</v>
      </c>
      <c r="V226" t="s">
        <v>33</v>
      </c>
    </row>
    <row r="227" spans="1:22">
      <c r="A227" t="s">
        <v>694</v>
      </c>
      <c r="B227" t="s">
        <v>172</v>
      </c>
      <c r="C227" t="s">
        <v>695</v>
      </c>
      <c r="D227" s="16">
        <v>4018.96</v>
      </c>
      <c r="E227" t="s">
        <v>62</v>
      </c>
      <c r="F227" t="s">
        <v>26</v>
      </c>
      <c r="G227" t="s">
        <v>696</v>
      </c>
      <c r="H227" t="s">
        <v>64</v>
      </c>
      <c r="I227" t="s">
        <v>29</v>
      </c>
      <c r="J227" s="13">
        <v>46152</v>
      </c>
      <c r="K227" s="17" t="s">
        <v>40</v>
      </c>
      <c r="L227" s="13">
        <v>46182</v>
      </c>
      <c r="M227" t="s">
        <v>31</v>
      </c>
      <c r="N227" t="s">
        <v>50</v>
      </c>
      <c r="O227" s="13">
        <v>46157</v>
      </c>
      <c r="P227" s="13">
        <v>46164</v>
      </c>
      <c r="Q227">
        <f t="shared" ca="1" si="15"/>
        <v>37</v>
      </c>
      <c r="R227">
        <f t="shared" si="16"/>
        <v>5</v>
      </c>
      <c r="S227">
        <f t="shared" ca="1" si="17"/>
        <v>-7</v>
      </c>
      <c r="T227" t="str">
        <f t="shared" ca="1" si="18"/>
        <v>On Track</v>
      </c>
      <c r="U227" t="str">
        <f t="shared" ca="1" si="19"/>
        <v>Normal</v>
      </c>
      <c r="V227" t="s">
        <v>51</v>
      </c>
    </row>
    <row r="228" spans="1:22">
      <c r="A228" t="s">
        <v>697</v>
      </c>
      <c r="B228" t="s">
        <v>124</v>
      </c>
      <c r="C228" t="s">
        <v>698</v>
      </c>
      <c r="D228" s="16">
        <v>4152.3100000000004</v>
      </c>
      <c r="E228" t="s">
        <v>302</v>
      </c>
      <c r="F228" t="s">
        <v>26</v>
      </c>
      <c r="G228" t="s">
        <v>699</v>
      </c>
      <c r="H228" t="s">
        <v>304</v>
      </c>
      <c r="I228" t="s">
        <v>29</v>
      </c>
      <c r="J228" s="13">
        <v>46171</v>
      </c>
      <c r="K228" s="17" t="s">
        <v>57</v>
      </c>
      <c r="L228" s="13">
        <v>46201</v>
      </c>
      <c r="M228" t="s">
        <v>99</v>
      </c>
      <c r="N228" t="s">
        <v>100</v>
      </c>
      <c r="O228" s="13">
        <v>46184</v>
      </c>
      <c r="Q228">
        <f t="shared" ca="1" si="15"/>
        <v>18</v>
      </c>
      <c r="R228">
        <f t="shared" si="16"/>
        <v>13</v>
      </c>
      <c r="S228">
        <f t="shared" ca="1" si="17"/>
        <v>12</v>
      </c>
      <c r="T228" t="str">
        <f t="shared" ca="1" si="18"/>
        <v>On Track</v>
      </c>
      <c r="U228" t="str">
        <f t="shared" ca="1" si="19"/>
        <v>Normal</v>
      </c>
      <c r="V228" t="s">
        <v>101</v>
      </c>
    </row>
    <row r="229" spans="1:22">
      <c r="A229" t="s">
        <v>700</v>
      </c>
      <c r="B229" t="s">
        <v>137</v>
      </c>
      <c r="C229" t="s">
        <v>701</v>
      </c>
      <c r="D229" s="16">
        <v>625.01</v>
      </c>
      <c r="E229" t="s">
        <v>111</v>
      </c>
      <c r="F229" t="s">
        <v>38</v>
      </c>
      <c r="H229" t="s">
        <v>113</v>
      </c>
      <c r="I229" t="s">
        <v>29</v>
      </c>
      <c r="J229" s="13">
        <v>46185</v>
      </c>
      <c r="K229" s="17" t="s">
        <v>57</v>
      </c>
      <c r="L229" s="13">
        <v>46215</v>
      </c>
      <c r="M229" t="s">
        <v>65</v>
      </c>
      <c r="N229" t="s">
        <v>32</v>
      </c>
      <c r="Q229">
        <f t="shared" ca="1" si="15"/>
        <v>4</v>
      </c>
      <c r="R229" t="str">
        <f t="shared" si="16"/>
        <v/>
      </c>
      <c r="S229">
        <f t="shared" ca="1" si="17"/>
        <v>26</v>
      </c>
      <c r="T229" t="str">
        <f t="shared" ca="1" si="18"/>
        <v>On Track</v>
      </c>
      <c r="U229" t="str">
        <f t="shared" ca="1" si="19"/>
        <v>Normal</v>
      </c>
    </row>
    <row r="230" spans="1:22">
      <c r="A230" t="s">
        <v>702</v>
      </c>
      <c r="B230" t="s">
        <v>53</v>
      </c>
      <c r="C230" t="s">
        <v>703</v>
      </c>
      <c r="D230" s="16">
        <v>604.62</v>
      </c>
      <c r="E230" t="s">
        <v>302</v>
      </c>
      <c r="F230" t="s">
        <v>26</v>
      </c>
      <c r="G230" t="s">
        <v>704</v>
      </c>
      <c r="H230" t="s">
        <v>304</v>
      </c>
      <c r="I230" t="s">
        <v>29</v>
      </c>
      <c r="J230" s="13">
        <v>46187</v>
      </c>
      <c r="K230" s="17" t="s">
        <v>40</v>
      </c>
      <c r="L230" s="13">
        <v>46217</v>
      </c>
      <c r="M230" t="s">
        <v>145</v>
      </c>
      <c r="N230" t="s">
        <v>32</v>
      </c>
      <c r="O230" s="13">
        <v>46189</v>
      </c>
      <c r="Q230">
        <f t="shared" ca="1" si="15"/>
        <v>2</v>
      </c>
      <c r="R230">
        <f t="shared" si="16"/>
        <v>2</v>
      </c>
      <c r="S230">
        <f t="shared" ca="1" si="17"/>
        <v>28</v>
      </c>
      <c r="T230" t="str">
        <f t="shared" ca="1" si="18"/>
        <v>On Track</v>
      </c>
      <c r="U230" t="str">
        <f t="shared" ca="1" si="19"/>
        <v>Normal</v>
      </c>
    </row>
    <row r="231" spans="1:22">
      <c r="A231" t="s">
        <v>705</v>
      </c>
      <c r="B231" t="s">
        <v>109</v>
      </c>
      <c r="C231" t="s">
        <v>706</v>
      </c>
      <c r="D231" s="16">
        <v>1291.71</v>
      </c>
      <c r="E231" t="s">
        <v>46</v>
      </c>
      <c r="F231" t="s">
        <v>26</v>
      </c>
      <c r="G231" t="s">
        <v>707</v>
      </c>
      <c r="H231" t="s">
        <v>48</v>
      </c>
      <c r="I231" t="s">
        <v>29</v>
      </c>
      <c r="J231" s="13">
        <v>46150</v>
      </c>
      <c r="K231" s="17" t="s">
        <v>30</v>
      </c>
      <c r="L231" s="13">
        <v>46165</v>
      </c>
      <c r="M231" t="s">
        <v>31</v>
      </c>
      <c r="N231" t="s">
        <v>32</v>
      </c>
      <c r="O231" s="13">
        <v>46155</v>
      </c>
      <c r="P231" s="13">
        <v>46162</v>
      </c>
      <c r="Q231">
        <f t="shared" ca="1" si="15"/>
        <v>39</v>
      </c>
      <c r="R231">
        <f t="shared" si="16"/>
        <v>5</v>
      </c>
      <c r="S231">
        <f t="shared" ca="1" si="17"/>
        <v>-24</v>
      </c>
      <c r="T231" t="str">
        <f t="shared" ca="1" si="18"/>
        <v>On Track</v>
      </c>
      <c r="U231" t="str">
        <f t="shared" ca="1" si="19"/>
        <v>Normal</v>
      </c>
      <c r="V231" t="s">
        <v>33</v>
      </c>
    </row>
    <row r="232" spans="1:22">
      <c r="A232" t="s">
        <v>708</v>
      </c>
      <c r="B232" t="s">
        <v>222</v>
      </c>
      <c r="C232" t="s">
        <v>709</v>
      </c>
      <c r="D232" s="16">
        <v>35428.29</v>
      </c>
      <c r="E232" t="s">
        <v>111</v>
      </c>
      <c r="F232" t="s">
        <v>26</v>
      </c>
      <c r="G232" t="s">
        <v>710</v>
      </c>
      <c r="H232" t="s">
        <v>121</v>
      </c>
      <c r="I232" t="s">
        <v>122</v>
      </c>
      <c r="J232" s="13">
        <v>46183</v>
      </c>
      <c r="K232" s="17" t="s">
        <v>57</v>
      </c>
      <c r="L232" s="13">
        <v>46213</v>
      </c>
      <c r="M232" t="s">
        <v>65</v>
      </c>
      <c r="N232" t="s">
        <v>32</v>
      </c>
      <c r="Q232">
        <f t="shared" ca="1" si="15"/>
        <v>6</v>
      </c>
      <c r="R232" t="str">
        <f t="shared" si="16"/>
        <v/>
      </c>
      <c r="S232">
        <f t="shared" ca="1" si="17"/>
        <v>24</v>
      </c>
      <c r="T232" t="str">
        <f t="shared" ca="1" si="18"/>
        <v>On Track</v>
      </c>
      <c r="U232" t="str">
        <f t="shared" ca="1" si="19"/>
        <v>Normal</v>
      </c>
    </row>
    <row r="233" spans="1:22">
      <c r="A233" t="s">
        <v>711</v>
      </c>
      <c r="B233" t="s">
        <v>168</v>
      </c>
      <c r="C233" t="s">
        <v>712</v>
      </c>
      <c r="D233" s="16">
        <v>4162.83</v>
      </c>
      <c r="E233" t="s">
        <v>37</v>
      </c>
      <c r="F233" t="s">
        <v>26</v>
      </c>
      <c r="G233" t="s">
        <v>713</v>
      </c>
      <c r="H233" t="s">
        <v>39</v>
      </c>
      <c r="I233" t="s">
        <v>29</v>
      </c>
      <c r="J233" s="13">
        <v>46152</v>
      </c>
      <c r="K233" s="17" t="s">
        <v>30</v>
      </c>
      <c r="L233" s="13">
        <v>46167</v>
      </c>
      <c r="M233" t="s">
        <v>31</v>
      </c>
      <c r="N233" t="s">
        <v>32</v>
      </c>
      <c r="O233" s="13">
        <v>46159</v>
      </c>
      <c r="P233" s="13">
        <v>46163</v>
      </c>
      <c r="Q233">
        <f t="shared" ca="1" si="15"/>
        <v>37</v>
      </c>
      <c r="R233">
        <f t="shared" si="16"/>
        <v>7</v>
      </c>
      <c r="S233">
        <f t="shared" ca="1" si="17"/>
        <v>-22</v>
      </c>
      <c r="T233" t="str">
        <f t="shared" ca="1" si="18"/>
        <v>On Track</v>
      </c>
      <c r="U233" t="str">
        <f t="shared" ca="1" si="19"/>
        <v>Normal</v>
      </c>
      <c r="V233" t="s">
        <v>33</v>
      </c>
    </row>
    <row r="234" spans="1:22">
      <c r="A234" t="s">
        <v>714</v>
      </c>
      <c r="B234" t="s">
        <v>222</v>
      </c>
      <c r="C234" t="s">
        <v>715</v>
      </c>
      <c r="D234" s="16">
        <v>633.33000000000004</v>
      </c>
      <c r="E234" t="s">
        <v>126</v>
      </c>
      <c r="F234" t="s">
        <v>26</v>
      </c>
      <c r="G234" t="s">
        <v>716</v>
      </c>
      <c r="H234" t="s">
        <v>241</v>
      </c>
      <c r="I234" t="s">
        <v>29</v>
      </c>
      <c r="J234" s="13">
        <v>46182</v>
      </c>
      <c r="K234" s="17" t="s">
        <v>49</v>
      </c>
      <c r="L234" s="13">
        <v>46227</v>
      </c>
      <c r="M234" t="s">
        <v>145</v>
      </c>
      <c r="N234" t="s">
        <v>50</v>
      </c>
      <c r="O234" s="13">
        <v>46189</v>
      </c>
      <c r="Q234">
        <f t="shared" ca="1" si="15"/>
        <v>7</v>
      </c>
      <c r="R234">
        <f t="shared" si="16"/>
        <v>7</v>
      </c>
      <c r="S234">
        <f t="shared" ca="1" si="17"/>
        <v>38</v>
      </c>
      <c r="T234" t="str">
        <f t="shared" ca="1" si="18"/>
        <v>On Track</v>
      </c>
      <c r="U234" t="str">
        <f t="shared" ca="1" si="19"/>
        <v>Normal</v>
      </c>
      <c r="V234" t="s">
        <v>51</v>
      </c>
    </row>
    <row r="235" spans="1:22">
      <c r="A235" t="s">
        <v>717</v>
      </c>
      <c r="B235" t="s">
        <v>172</v>
      </c>
      <c r="C235" t="s">
        <v>718</v>
      </c>
      <c r="D235" s="16">
        <v>3190.07</v>
      </c>
      <c r="E235" t="s">
        <v>69</v>
      </c>
      <c r="F235" t="s">
        <v>38</v>
      </c>
      <c r="H235" t="s">
        <v>71</v>
      </c>
      <c r="I235" t="s">
        <v>29</v>
      </c>
      <c r="J235" s="13">
        <v>46159</v>
      </c>
      <c r="K235" s="17" t="s">
        <v>40</v>
      </c>
      <c r="L235" s="13">
        <v>46189</v>
      </c>
      <c r="M235" t="s">
        <v>84</v>
      </c>
      <c r="N235" t="s">
        <v>32</v>
      </c>
      <c r="O235" s="13">
        <v>46166</v>
      </c>
      <c r="Q235">
        <f t="shared" ca="1" si="15"/>
        <v>30</v>
      </c>
      <c r="R235">
        <f t="shared" si="16"/>
        <v>7</v>
      </c>
      <c r="S235">
        <f t="shared" ca="1" si="17"/>
        <v>0</v>
      </c>
      <c r="T235" t="str">
        <f t="shared" ca="1" si="18"/>
        <v>On Track</v>
      </c>
      <c r="U235" t="str">
        <f t="shared" ca="1" si="19"/>
        <v>At Risk</v>
      </c>
    </row>
    <row r="236" spans="1:22">
      <c r="A236" t="s">
        <v>719</v>
      </c>
      <c r="B236" t="s">
        <v>208</v>
      </c>
      <c r="C236" t="s">
        <v>720</v>
      </c>
      <c r="D236" s="16">
        <v>2735.92</v>
      </c>
      <c r="E236" t="s">
        <v>37</v>
      </c>
      <c r="F236" t="s">
        <v>26</v>
      </c>
      <c r="G236" t="s">
        <v>721</v>
      </c>
      <c r="H236" t="s">
        <v>39</v>
      </c>
      <c r="I236" t="s">
        <v>29</v>
      </c>
      <c r="J236" s="13">
        <v>46148</v>
      </c>
      <c r="K236" s="17" t="s">
        <v>30</v>
      </c>
      <c r="L236" s="13">
        <v>46163</v>
      </c>
      <c r="M236" t="s">
        <v>31</v>
      </c>
      <c r="N236" t="s">
        <v>32</v>
      </c>
      <c r="O236" s="13">
        <v>46149</v>
      </c>
      <c r="P236" s="13">
        <v>46150</v>
      </c>
      <c r="Q236">
        <f t="shared" ca="1" si="15"/>
        <v>41</v>
      </c>
      <c r="R236">
        <f t="shared" si="16"/>
        <v>1</v>
      </c>
      <c r="S236">
        <f t="shared" ca="1" si="17"/>
        <v>-26</v>
      </c>
      <c r="T236" t="str">
        <f t="shared" ca="1" si="18"/>
        <v>On Track</v>
      </c>
      <c r="U236" t="str">
        <f t="shared" ca="1" si="19"/>
        <v>Normal</v>
      </c>
      <c r="V236" t="s">
        <v>33</v>
      </c>
    </row>
    <row r="237" spans="1:22">
      <c r="A237" t="s">
        <v>722</v>
      </c>
      <c r="B237" t="s">
        <v>208</v>
      </c>
      <c r="C237" t="s">
        <v>723</v>
      </c>
      <c r="D237" s="16">
        <v>3492.46</v>
      </c>
      <c r="E237" t="s">
        <v>78</v>
      </c>
      <c r="F237" t="s">
        <v>38</v>
      </c>
      <c r="H237" t="s">
        <v>80</v>
      </c>
      <c r="I237" t="s">
        <v>29</v>
      </c>
      <c r="J237" s="13">
        <v>46171</v>
      </c>
      <c r="K237" s="17" t="s">
        <v>40</v>
      </c>
      <c r="L237" s="13">
        <v>46201</v>
      </c>
      <c r="M237" t="s">
        <v>31</v>
      </c>
      <c r="N237" t="s">
        <v>32</v>
      </c>
      <c r="O237" s="13">
        <v>46177</v>
      </c>
      <c r="P237" s="13">
        <v>46178</v>
      </c>
      <c r="Q237">
        <f t="shared" ca="1" si="15"/>
        <v>18</v>
      </c>
      <c r="R237">
        <f t="shared" si="16"/>
        <v>6</v>
      </c>
      <c r="S237">
        <f t="shared" ca="1" si="17"/>
        <v>12</v>
      </c>
      <c r="T237" t="str">
        <f t="shared" ca="1" si="18"/>
        <v>On Track</v>
      </c>
      <c r="U237" t="str">
        <f t="shared" ca="1" si="19"/>
        <v>Normal</v>
      </c>
      <c r="V237" t="s">
        <v>33</v>
      </c>
    </row>
    <row r="238" spans="1:22">
      <c r="A238" t="s">
        <v>724</v>
      </c>
      <c r="B238" t="s">
        <v>172</v>
      </c>
      <c r="C238" t="s">
        <v>725</v>
      </c>
      <c r="D238" s="16">
        <v>2027.83</v>
      </c>
      <c r="E238" t="s">
        <v>46</v>
      </c>
      <c r="F238" t="s">
        <v>38</v>
      </c>
      <c r="H238" t="s">
        <v>48</v>
      </c>
      <c r="I238" t="s">
        <v>29</v>
      </c>
      <c r="J238" s="13">
        <v>46185</v>
      </c>
      <c r="K238" s="17" t="s">
        <v>30</v>
      </c>
      <c r="L238" s="13">
        <v>46200</v>
      </c>
      <c r="M238" t="s">
        <v>41</v>
      </c>
      <c r="N238" t="s">
        <v>32</v>
      </c>
      <c r="Q238">
        <f t="shared" ca="1" si="15"/>
        <v>4</v>
      </c>
      <c r="R238" t="str">
        <f t="shared" si="16"/>
        <v/>
      </c>
      <c r="S238">
        <f t="shared" ca="1" si="17"/>
        <v>11</v>
      </c>
      <c r="T238" t="str">
        <f t="shared" ca="1" si="18"/>
        <v>On Track</v>
      </c>
      <c r="U238" t="str">
        <f t="shared" ca="1" si="19"/>
        <v>Normal</v>
      </c>
      <c r="V238" t="s">
        <v>42</v>
      </c>
    </row>
    <row r="239" spans="1:22">
      <c r="A239" t="s">
        <v>726</v>
      </c>
      <c r="B239" t="s">
        <v>53</v>
      </c>
      <c r="C239" t="s">
        <v>727</v>
      </c>
      <c r="D239" s="16">
        <v>500.38</v>
      </c>
      <c r="E239" t="s">
        <v>62</v>
      </c>
      <c r="F239" t="s">
        <v>38</v>
      </c>
      <c r="H239" t="s">
        <v>64</v>
      </c>
      <c r="I239" t="s">
        <v>29</v>
      </c>
      <c r="J239" s="13">
        <v>46186</v>
      </c>
      <c r="K239" s="17" t="s">
        <v>57</v>
      </c>
      <c r="L239" s="13">
        <v>46216</v>
      </c>
      <c r="M239" t="s">
        <v>65</v>
      </c>
      <c r="N239" t="s">
        <v>32</v>
      </c>
      <c r="Q239">
        <f t="shared" ca="1" si="15"/>
        <v>3</v>
      </c>
      <c r="R239" t="str">
        <f t="shared" si="16"/>
        <v/>
      </c>
      <c r="S239">
        <f t="shared" ca="1" si="17"/>
        <v>27</v>
      </c>
      <c r="T239" t="str">
        <f t="shared" ca="1" si="18"/>
        <v>On Track</v>
      </c>
      <c r="U239" t="str">
        <f t="shared" ca="1" si="19"/>
        <v>Normal</v>
      </c>
    </row>
    <row r="240" spans="1:22">
      <c r="A240" t="s">
        <v>728</v>
      </c>
      <c r="B240" t="s">
        <v>35</v>
      </c>
      <c r="C240" t="s">
        <v>729</v>
      </c>
      <c r="D240" s="16">
        <v>19054.93</v>
      </c>
      <c r="E240" t="s">
        <v>78</v>
      </c>
      <c r="F240" t="s">
        <v>26</v>
      </c>
      <c r="G240" t="s">
        <v>730</v>
      </c>
      <c r="H240" t="s">
        <v>91</v>
      </c>
      <c r="I240" t="s">
        <v>92</v>
      </c>
      <c r="J240" s="13">
        <v>46161</v>
      </c>
      <c r="K240" s="17" t="s">
        <v>30</v>
      </c>
      <c r="L240" s="13">
        <v>46176</v>
      </c>
      <c r="M240" t="s">
        <v>31</v>
      </c>
      <c r="N240" t="s">
        <v>32</v>
      </c>
      <c r="O240" s="13">
        <v>46168</v>
      </c>
      <c r="P240" s="13">
        <v>46169</v>
      </c>
      <c r="Q240">
        <f t="shared" ca="1" si="15"/>
        <v>28</v>
      </c>
      <c r="R240">
        <f t="shared" si="16"/>
        <v>7</v>
      </c>
      <c r="S240">
        <f t="shared" ca="1" si="17"/>
        <v>-13</v>
      </c>
      <c r="T240" t="str">
        <f t="shared" ca="1" si="18"/>
        <v>On Track</v>
      </c>
      <c r="U240" t="str">
        <f t="shared" ca="1" si="19"/>
        <v>Normal</v>
      </c>
      <c r="V240" t="s">
        <v>33</v>
      </c>
    </row>
    <row r="241" spans="1:22">
      <c r="A241" t="s">
        <v>731</v>
      </c>
      <c r="B241" t="s">
        <v>109</v>
      </c>
      <c r="C241" t="s">
        <v>732</v>
      </c>
      <c r="D241" s="16">
        <v>2507.4699999999998</v>
      </c>
      <c r="E241" t="s">
        <v>37</v>
      </c>
      <c r="F241" t="s">
        <v>26</v>
      </c>
      <c r="G241" t="s">
        <v>733</v>
      </c>
      <c r="H241" t="s">
        <v>39</v>
      </c>
      <c r="I241" t="s">
        <v>29</v>
      </c>
      <c r="J241" s="13">
        <v>46175</v>
      </c>
      <c r="K241" s="17" t="s">
        <v>57</v>
      </c>
      <c r="L241" s="13">
        <v>46205</v>
      </c>
      <c r="M241" t="s">
        <v>41</v>
      </c>
      <c r="N241" t="s">
        <v>32</v>
      </c>
      <c r="Q241">
        <f t="shared" ca="1" si="15"/>
        <v>14</v>
      </c>
      <c r="R241" t="str">
        <f t="shared" si="16"/>
        <v/>
      </c>
      <c r="S241">
        <f t="shared" ca="1" si="17"/>
        <v>16</v>
      </c>
      <c r="T241" t="str">
        <f t="shared" ca="1" si="18"/>
        <v>Overdue</v>
      </c>
      <c r="U241" t="str">
        <f t="shared" ca="1" si="19"/>
        <v>Normal</v>
      </c>
      <c r="V241" t="s">
        <v>42</v>
      </c>
    </row>
    <row r="242" spans="1:22">
      <c r="A242" t="s">
        <v>734</v>
      </c>
      <c r="B242" t="s">
        <v>118</v>
      </c>
      <c r="C242" t="s">
        <v>735</v>
      </c>
      <c r="D242" s="16">
        <v>3620.55</v>
      </c>
      <c r="E242" t="s">
        <v>69</v>
      </c>
      <c r="F242" t="s">
        <v>26</v>
      </c>
      <c r="G242" t="s">
        <v>736</v>
      </c>
      <c r="H242" t="s">
        <v>71</v>
      </c>
      <c r="I242" t="s">
        <v>29</v>
      </c>
      <c r="J242" s="13">
        <v>46144</v>
      </c>
      <c r="K242" s="17" t="s">
        <v>57</v>
      </c>
      <c r="L242" s="13">
        <v>46174</v>
      </c>
      <c r="M242" t="s">
        <v>31</v>
      </c>
      <c r="N242" t="s">
        <v>32</v>
      </c>
      <c r="O242" s="13">
        <v>46150</v>
      </c>
      <c r="P242" s="13">
        <v>46152</v>
      </c>
      <c r="Q242">
        <f t="shared" ca="1" si="15"/>
        <v>45</v>
      </c>
      <c r="R242">
        <f t="shared" si="16"/>
        <v>6</v>
      </c>
      <c r="S242">
        <f t="shared" ca="1" si="17"/>
        <v>-15</v>
      </c>
      <c r="T242" t="str">
        <f t="shared" ca="1" si="18"/>
        <v>On Track</v>
      </c>
      <c r="U242" t="str">
        <f t="shared" ca="1" si="19"/>
        <v>Normal</v>
      </c>
      <c r="V242" t="s">
        <v>33</v>
      </c>
    </row>
    <row r="243" spans="1:22">
      <c r="A243" t="s">
        <v>737</v>
      </c>
      <c r="B243" t="s">
        <v>82</v>
      </c>
      <c r="C243" t="s">
        <v>738</v>
      </c>
      <c r="D243" s="16">
        <v>18923.41</v>
      </c>
      <c r="E243" t="s">
        <v>78</v>
      </c>
      <c r="F243" t="s">
        <v>38</v>
      </c>
      <c r="H243" t="s">
        <v>91</v>
      </c>
      <c r="I243" t="s">
        <v>92</v>
      </c>
      <c r="J243" s="13">
        <v>46158</v>
      </c>
      <c r="K243" s="17" t="s">
        <v>49</v>
      </c>
      <c r="L243" s="13">
        <v>46203</v>
      </c>
      <c r="M243" t="s">
        <v>99</v>
      </c>
      <c r="N243" t="s">
        <v>32</v>
      </c>
      <c r="O243" s="13">
        <v>46167</v>
      </c>
      <c r="Q243">
        <f t="shared" ca="1" si="15"/>
        <v>31</v>
      </c>
      <c r="R243">
        <f t="shared" si="16"/>
        <v>9</v>
      </c>
      <c r="S243">
        <f t="shared" ca="1" si="17"/>
        <v>14</v>
      </c>
      <c r="T243" t="str">
        <f t="shared" ca="1" si="18"/>
        <v>On Track</v>
      </c>
      <c r="U243" t="str">
        <f t="shared" ca="1" si="19"/>
        <v>Normal</v>
      </c>
    </row>
    <row r="244" spans="1:22">
      <c r="A244" t="s">
        <v>739</v>
      </c>
      <c r="B244" t="s">
        <v>103</v>
      </c>
      <c r="C244" t="s">
        <v>740</v>
      </c>
      <c r="D244" s="16">
        <v>4353.83</v>
      </c>
      <c r="E244" t="s">
        <v>25</v>
      </c>
      <c r="F244" t="s">
        <v>26</v>
      </c>
      <c r="G244" t="s">
        <v>741</v>
      </c>
      <c r="H244" t="s">
        <v>28</v>
      </c>
      <c r="I244" t="s">
        <v>29</v>
      </c>
      <c r="J244" s="13">
        <v>46177</v>
      </c>
      <c r="K244" s="17" t="s">
        <v>30</v>
      </c>
      <c r="L244" s="13">
        <v>46192</v>
      </c>
      <c r="M244" t="s">
        <v>65</v>
      </c>
      <c r="N244" t="s">
        <v>100</v>
      </c>
      <c r="Q244">
        <f t="shared" ca="1" si="15"/>
        <v>12</v>
      </c>
      <c r="R244" t="str">
        <f t="shared" si="16"/>
        <v/>
      </c>
      <c r="S244">
        <f t="shared" ca="1" si="17"/>
        <v>3</v>
      </c>
      <c r="T244" t="str">
        <f t="shared" ca="1" si="18"/>
        <v>On Track</v>
      </c>
      <c r="U244" t="str">
        <f t="shared" ca="1" si="19"/>
        <v>At Risk</v>
      </c>
      <c r="V244" t="s">
        <v>101</v>
      </c>
    </row>
    <row r="245" spans="1:22">
      <c r="A245" t="s">
        <v>742</v>
      </c>
      <c r="B245" t="s">
        <v>151</v>
      </c>
      <c r="C245" t="s">
        <v>743</v>
      </c>
      <c r="D245" s="16">
        <v>2328.1999999999998</v>
      </c>
      <c r="E245" t="s">
        <v>142</v>
      </c>
      <c r="F245" t="s">
        <v>26</v>
      </c>
      <c r="G245" t="s">
        <v>744</v>
      </c>
      <c r="H245" t="s">
        <v>335</v>
      </c>
      <c r="I245" t="s">
        <v>29</v>
      </c>
      <c r="J245" s="13">
        <v>46180</v>
      </c>
      <c r="K245" s="17" t="s">
        <v>49</v>
      </c>
      <c r="L245" s="13">
        <v>46225</v>
      </c>
      <c r="M245" t="s">
        <v>99</v>
      </c>
      <c r="N245" t="s">
        <v>32</v>
      </c>
      <c r="O245" s="13">
        <v>46184</v>
      </c>
      <c r="Q245">
        <f t="shared" ca="1" si="15"/>
        <v>9</v>
      </c>
      <c r="R245">
        <f t="shared" si="16"/>
        <v>4</v>
      </c>
      <c r="S245">
        <f t="shared" ca="1" si="17"/>
        <v>36</v>
      </c>
      <c r="T245" t="str">
        <f t="shared" ca="1" si="18"/>
        <v>On Track</v>
      </c>
      <c r="U245" t="str">
        <f t="shared" ca="1" si="19"/>
        <v>Normal</v>
      </c>
    </row>
    <row r="246" spans="1:22">
      <c r="A246" t="s">
        <v>745</v>
      </c>
      <c r="B246" t="s">
        <v>251</v>
      </c>
      <c r="C246" t="s">
        <v>746</v>
      </c>
      <c r="D246" s="16">
        <v>15657.91</v>
      </c>
      <c r="E246" t="s">
        <v>126</v>
      </c>
      <c r="F246" t="s">
        <v>38</v>
      </c>
      <c r="H246" t="s">
        <v>127</v>
      </c>
      <c r="I246" t="s">
        <v>92</v>
      </c>
      <c r="J246" s="13">
        <v>46153</v>
      </c>
      <c r="K246" s="17" t="s">
        <v>30</v>
      </c>
      <c r="L246" s="13">
        <v>46168</v>
      </c>
      <c r="M246" t="s">
        <v>31</v>
      </c>
      <c r="N246" t="s">
        <v>100</v>
      </c>
      <c r="O246" s="13">
        <v>46172</v>
      </c>
      <c r="P246" s="13">
        <v>46179</v>
      </c>
      <c r="Q246">
        <f t="shared" ca="1" si="15"/>
        <v>36</v>
      </c>
      <c r="R246">
        <f t="shared" si="16"/>
        <v>19</v>
      </c>
      <c r="S246">
        <f t="shared" ca="1" si="17"/>
        <v>-21</v>
      </c>
      <c r="T246" t="str">
        <f t="shared" ca="1" si="18"/>
        <v>On Track</v>
      </c>
      <c r="U246" t="str">
        <f t="shared" ca="1" si="19"/>
        <v>Normal</v>
      </c>
      <c r="V246" t="s">
        <v>101</v>
      </c>
    </row>
    <row r="247" spans="1:22">
      <c r="A247" t="s">
        <v>747</v>
      </c>
      <c r="B247" t="s">
        <v>94</v>
      </c>
      <c r="C247" t="s">
        <v>748</v>
      </c>
      <c r="D247" s="16">
        <v>3240.73</v>
      </c>
      <c r="E247" t="s">
        <v>142</v>
      </c>
      <c r="F247" t="s">
        <v>38</v>
      </c>
      <c r="H247" t="s">
        <v>335</v>
      </c>
      <c r="I247" t="s">
        <v>29</v>
      </c>
      <c r="J247" s="13">
        <v>46163</v>
      </c>
      <c r="K247" s="17" t="s">
        <v>30</v>
      </c>
      <c r="L247" s="13">
        <v>46178</v>
      </c>
      <c r="M247" t="s">
        <v>65</v>
      </c>
      <c r="N247" t="s">
        <v>32</v>
      </c>
      <c r="Q247">
        <f t="shared" ca="1" si="15"/>
        <v>26</v>
      </c>
      <c r="R247" t="str">
        <f t="shared" si="16"/>
        <v/>
      </c>
      <c r="S247">
        <f t="shared" ca="1" si="17"/>
        <v>-11</v>
      </c>
      <c r="T247" t="str">
        <f t="shared" ca="1" si="18"/>
        <v>On Track</v>
      </c>
      <c r="U247" t="str">
        <f t="shared" ca="1" si="19"/>
        <v>At Risk</v>
      </c>
    </row>
    <row r="248" spans="1:22">
      <c r="A248" t="s">
        <v>749</v>
      </c>
      <c r="B248" t="s">
        <v>109</v>
      </c>
      <c r="C248" t="s">
        <v>750</v>
      </c>
      <c r="D248" s="16">
        <v>4441.8</v>
      </c>
      <c r="E248" t="s">
        <v>156</v>
      </c>
      <c r="F248" t="s">
        <v>38</v>
      </c>
      <c r="H248" t="s">
        <v>157</v>
      </c>
      <c r="I248" t="s">
        <v>29</v>
      </c>
      <c r="J248" s="13">
        <v>46177</v>
      </c>
      <c r="K248" s="17" t="s">
        <v>40</v>
      </c>
      <c r="L248" s="13">
        <v>46207</v>
      </c>
      <c r="M248" t="s">
        <v>145</v>
      </c>
      <c r="N248" t="s">
        <v>32</v>
      </c>
      <c r="O248" s="13">
        <v>46180</v>
      </c>
      <c r="Q248">
        <f t="shared" ca="1" si="15"/>
        <v>12</v>
      </c>
      <c r="R248">
        <f t="shared" si="16"/>
        <v>3</v>
      </c>
      <c r="S248">
        <f t="shared" ca="1" si="17"/>
        <v>18</v>
      </c>
      <c r="T248" t="str">
        <f t="shared" ca="1" si="18"/>
        <v>On Track</v>
      </c>
      <c r="U248" t="str">
        <f t="shared" ca="1" si="19"/>
        <v>Normal</v>
      </c>
    </row>
    <row r="249" spans="1:22">
      <c r="A249" t="s">
        <v>751</v>
      </c>
      <c r="B249" t="s">
        <v>208</v>
      </c>
      <c r="C249" t="s">
        <v>752</v>
      </c>
      <c r="D249" s="16">
        <v>533.39</v>
      </c>
      <c r="E249" t="s">
        <v>25</v>
      </c>
      <c r="F249" t="s">
        <v>38</v>
      </c>
      <c r="H249" t="s">
        <v>28</v>
      </c>
      <c r="I249" t="s">
        <v>29</v>
      </c>
      <c r="J249" s="13">
        <v>46152</v>
      </c>
      <c r="K249" s="17" t="s">
        <v>57</v>
      </c>
      <c r="L249" s="13">
        <v>46182</v>
      </c>
      <c r="M249" t="s">
        <v>31</v>
      </c>
      <c r="N249" t="s">
        <v>32</v>
      </c>
      <c r="O249" s="13">
        <v>46166</v>
      </c>
      <c r="P249" s="13">
        <v>46169</v>
      </c>
      <c r="Q249">
        <f t="shared" ca="1" si="15"/>
        <v>37</v>
      </c>
      <c r="R249">
        <f t="shared" si="16"/>
        <v>14</v>
      </c>
      <c r="S249">
        <f t="shared" ca="1" si="17"/>
        <v>-7</v>
      </c>
      <c r="T249" t="str">
        <f t="shared" ca="1" si="18"/>
        <v>On Track</v>
      </c>
      <c r="U249" t="str">
        <f t="shared" ca="1" si="19"/>
        <v>Normal</v>
      </c>
      <c r="V249" t="s">
        <v>33</v>
      </c>
    </row>
    <row r="250" spans="1:22">
      <c r="A250" t="s">
        <v>753</v>
      </c>
      <c r="B250" t="s">
        <v>137</v>
      </c>
      <c r="C250" t="s">
        <v>754</v>
      </c>
      <c r="D250" s="16">
        <v>3754.17</v>
      </c>
      <c r="E250" t="s">
        <v>126</v>
      </c>
      <c r="F250" t="s">
        <v>26</v>
      </c>
      <c r="G250" t="s">
        <v>755</v>
      </c>
      <c r="H250" t="s">
        <v>241</v>
      </c>
      <c r="I250" t="s">
        <v>29</v>
      </c>
      <c r="J250" s="13">
        <v>46154</v>
      </c>
      <c r="K250" s="17" t="s">
        <v>40</v>
      </c>
      <c r="L250" s="13">
        <v>46184</v>
      </c>
      <c r="M250" t="s">
        <v>31</v>
      </c>
      <c r="N250" t="s">
        <v>32</v>
      </c>
      <c r="O250" s="13">
        <v>46163</v>
      </c>
      <c r="P250" s="13">
        <v>46166</v>
      </c>
      <c r="Q250">
        <f t="shared" ca="1" si="15"/>
        <v>35</v>
      </c>
      <c r="R250">
        <f t="shared" si="16"/>
        <v>9</v>
      </c>
      <c r="S250">
        <f t="shared" ca="1" si="17"/>
        <v>-5</v>
      </c>
      <c r="T250" t="str">
        <f t="shared" ca="1" si="18"/>
        <v>On Track</v>
      </c>
      <c r="U250" t="str">
        <f t="shared" ca="1" si="19"/>
        <v>Normal</v>
      </c>
      <c r="V250" t="s">
        <v>33</v>
      </c>
    </row>
    <row r="251" spans="1:22">
      <c r="A251" t="s">
        <v>756</v>
      </c>
      <c r="B251" t="s">
        <v>172</v>
      </c>
      <c r="C251" t="s">
        <v>757</v>
      </c>
      <c r="D251" s="16">
        <v>1455.79</v>
      </c>
      <c r="E251" t="s">
        <v>62</v>
      </c>
      <c r="F251" t="s">
        <v>26</v>
      </c>
      <c r="G251" t="s">
        <v>758</v>
      </c>
      <c r="H251" t="s">
        <v>64</v>
      </c>
      <c r="I251" t="s">
        <v>29</v>
      </c>
      <c r="J251" s="13">
        <v>46187</v>
      </c>
      <c r="K251" s="17" t="s">
        <v>49</v>
      </c>
      <c r="L251" s="13">
        <v>46232</v>
      </c>
      <c r="M251" t="s">
        <v>145</v>
      </c>
      <c r="N251" t="s">
        <v>50</v>
      </c>
      <c r="O251" s="13">
        <v>46189</v>
      </c>
      <c r="Q251">
        <f t="shared" ca="1" si="15"/>
        <v>2</v>
      </c>
      <c r="R251">
        <f t="shared" si="16"/>
        <v>2</v>
      </c>
      <c r="S251">
        <f t="shared" ca="1" si="17"/>
        <v>43</v>
      </c>
      <c r="T251" t="str">
        <f t="shared" ca="1" si="18"/>
        <v>On Track</v>
      </c>
      <c r="U251" t="str">
        <f t="shared" ca="1" si="19"/>
        <v>Normal</v>
      </c>
      <c r="V251" t="s">
        <v>51</v>
      </c>
    </row>
    <row r="252" spans="1:22">
      <c r="A252" t="s">
        <v>759</v>
      </c>
      <c r="B252" t="s">
        <v>222</v>
      </c>
      <c r="C252" t="s">
        <v>760</v>
      </c>
      <c r="D252" s="16">
        <v>4656.22</v>
      </c>
      <c r="E252" t="s">
        <v>25</v>
      </c>
      <c r="F252" t="s">
        <v>26</v>
      </c>
      <c r="G252" t="s">
        <v>761</v>
      </c>
      <c r="H252" t="s">
        <v>28</v>
      </c>
      <c r="I252" t="s">
        <v>29</v>
      </c>
      <c r="J252" s="13">
        <v>46187</v>
      </c>
      <c r="K252" s="17" t="s">
        <v>49</v>
      </c>
      <c r="L252" s="13">
        <v>46232</v>
      </c>
      <c r="M252" t="s">
        <v>41</v>
      </c>
      <c r="N252" t="s">
        <v>32</v>
      </c>
      <c r="Q252">
        <f t="shared" ca="1" si="15"/>
        <v>2</v>
      </c>
      <c r="R252" t="str">
        <f t="shared" si="16"/>
        <v/>
      </c>
      <c r="S252">
        <f t="shared" ca="1" si="17"/>
        <v>43</v>
      </c>
      <c r="T252" t="str">
        <f t="shared" ca="1" si="18"/>
        <v>On Track</v>
      </c>
      <c r="U252" t="str">
        <f t="shared" ca="1" si="19"/>
        <v>Normal</v>
      </c>
      <c r="V252" t="s">
        <v>42</v>
      </c>
    </row>
    <row r="253" spans="1:22">
      <c r="A253" t="s">
        <v>762</v>
      </c>
      <c r="B253" t="s">
        <v>124</v>
      </c>
      <c r="C253" t="s">
        <v>763</v>
      </c>
      <c r="D253" s="16">
        <v>9872.1299999999992</v>
      </c>
      <c r="E253" t="s">
        <v>78</v>
      </c>
      <c r="F253" t="s">
        <v>26</v>
      </c>
      <c r="G253" t="s">
        <v>764</v>
      </c>
      <c r="H253" t="s">
        <v>91</v>
      </c>
      <c r="I253" t="s">
        <v>92</v>
      </c>
      <c r="J253" s="13">
        <v>46152</v>
      </c>
      <c r="K253" s="17" t="s">
        <v>30</v>
      </c>
      <c r="L253" s="13">
        <v>46167</v>
      </c>
      <c r="M253" t="s">
        <v>31</v>
      </c>
      <c r="N253" t="s">
        <v>32</v>
      </c>
      <c r="O253" s="13">
        <v>46156</v>
      </c>
      <c r="P253" s="13">
        <v>46163</v>
      </c>
      <c r="Q253">
        <f t="shared" ca="1" si="15"/>
        <v>37</v>
      </c>
      <c r="R253">
        <f t="shared" si="16"/>
        <v>4</v>
      </c>
      <c r="S253">
        <f t="shared" ca="1" si="17"/>
        <v>-22</v>
      </c>
      <c r="T253" t="str">
        <f t="shared" ca="1" si="18"/>
        <v>On Track</v>
      </c>
      <c r="U253" t="str">
        <f t="shared" ca="1" si="19"/>
        <v>Normal</v>
      </c>
      <c r="V253" t="s">
        <v>33</v>
      </c>
    </row>
    <row r="254" spans="1:22">
      <c r="A254" t="s">
        <v>765</v>
      </c>
      <c r="B254" t="s">
        <v>103</v>
      </c>
      <c r="C254" t="s">
        <v>766</v>
      </c>
      <c r="D254" s="16">
        <v>3183.32</v>
      </c>
      <c r="E254" t="s">
        <v>111</v>
      </c>
      <c r="F254" t="s">
        <v>26</v>
      </c>
      <c r="G254" t="s">
        <v>767</v>
      </c>
      <c r="H254" t="s">
        <v>113</v>
      </c>
      <c r="I254" t="s">
        <v>29</v>
      </c>
      <c r="J254" s="13">
        <v>46148</v>
      </c>
      <c r="K254" s="17" t="s">
        <v>30</v>
      </c>
      <c r="L254" s="13">
        <v>46163</v>
      </c>
      <c r="M254" t="s">
        <v>31</v>
      </c>
      <c r="N254" t="s">
        <v>100</v>
      </c>
      <c r="O254" s="13">
        <v>46160</v>
      </c>
      <c r="P254" s="13">
        <v>46162</v>
      </c>
      <c r="Q254">
        <f t="shared" ca="1" si="15"/>
        <v>41</v>
      </c>
      <c r="R254">
        <f t="shared" si="16"/>
        <v>12</v>
      </c>
      <c r="S254">
        <f t="shared" ca="1" si="17"/>
        <v>-26</v>
      </c>
      <c r="T254" t="str">
        <f t="shared" ca="1" si="18"/>
        <v>On Track</v>
      </c>
      <c r="U254" t="str">
        <f t="shared" ca="1" si="19"/>
        <v>Normal</v>
      </c>
      <c r="V254" t="s">
        <v>101</v>
      </c>
    </row>
    <row r="255" spans="1:22">
      <c r="A255" t="s">
        <v>768</v>
      </c>
      <c r="B255" t="s">
        <v>73</v>
      </c>
      <c r="C255" t="s">
        <v>769</v>
      </c>
      <c r="D255" s="16">
        <v>2347.5300000000002</v>
      </c>
      <c r="E255" t="s">
        <v>25</v>
      </c>
      <c r="F255" t="s">
        <v>26</v>
      </c>
      <c r="G255" t="s">
        <v>770</v>
      </c>
      <c r="H255" t="s">
        <v>28</v>
      </c>
      <c r="I255" t="s">
        <v>29</v>
      </c>
      <c r="J255" s="13">
        <v>46171</v>
      </c>
      <c r="K255" s="17" t="s">
        <v>40</v>
      </c>
      <c r="L255" s="13">
        <v>46201</v>
      </c>
      <c r="M255" t="s">
        <v>41</v>
      </c>
      <c r="N255" t="s">
        <v>32</v>
      </c>
      <c r="Q255">
        <f t="shared" ca="1" si="15"/>
        <v>18</v>
      </c>
      <c r="R255" t="str">
        <f t="shared" si="16"/>
        <v/>
      </c>
      <c r="S255">
        <f t="shared" ca="1" si="17"/>
        <v>12</v>
      </c>
      <c r="T255" t="str">
        <f t="shared" ca="1" si="18"/>
        <v>Overdue</v>
      </c>
      <c r="U255" t="str">
        <f t="shared" ca="1" si="19"/>
        <v>Normal</v>
      </c>
      <c r="V255" t="s">
        <v>42</v>
      </c>
    </row>
    <row r="256" spans="1:22">
      <c r="A256" t="s">
        <v>771</v>
      </c>
      <c r="B256" t="s">
        <v>103</v>
      </c>
      <c r="C256" t="s">
        <v>772</v>
      </c>
      <c r="D256" s="16">
        <v>10362.14</v>
      </c>
      <c r="E256" t="s">
        <v>126</v>
      </c>
      <c r="F256" t="s">
        <v>26</v>
      </c>
      <c r="G256" t="s">
        <v>773</v>
      </c>
      <c r="H256" t="s">
        <v>127</v>
      </c>
      <c r="I256" t="s">
        <v>92</v>
      </c>
      <c r="J256" s="13">
        <v>46146</v>
      </c>
      <c r="K256" s="17" t="s">
        <v>57</v>
      </c>
      <c r="L256" s="13">
        <v>46176</v>
      </c>
      <c r="M256" t="s">
        <v>31</v>
      </c>
      <c r="N256" t="s">
        <v>32</v>
      </c>
      <c r="O256" s="13">
        <v>46161</v>
      </c>
      <c r="P256" s="13">
        <v>46166</v>
      </c>
      <c r="Q256">
        <f t="shared" ca="1" si="15"/>
        <v>43</v>
      </c>
      <c r="R256">
        <f t="shared" si="16"/>
        <v>15</v>
      </c>
      <c r="S256">
        <f t="shared" ca="1" si="17"/>
        <v>-13</v>
      </c>
      <c r="T256" t="str">
        <f t="shared" ca="1" si="18"/>
        <v>On Track</v>
      </c>
      <c r="U256" t="str">
        <f t="shared" ca="1" si="19"/>
        <v>Normal</v>
      </c>
      <c r="V256" t="s">
        <v>33</v>
      </c>
    </row>
    <row r="257" spans="1:22">
      <c r="A257" t="s">
        <v>774</v>
      </c>
      <c r="B257" t="s">
        <v>82</v>
      </c>
      <c r="C257" t="s">
        <v>775</v>
      </c>
      <c r="D257" s="16">
        <v>874.42</v>
      </c>
      <c r="E257" t="s">
        <v>25</v>
      </c>
      <c r="F257" t="s">
        <v>26</v>
      </c>
      <c r="G257" t="s">
        <v>776</v>
      </c>
      <c r="H257" t="s">
        <v>28</v>
      </c>
      <c r="I257" t="s">
        <v>29</v>
      </c>
      <c r="J257" s="13">
        <v>46177</v>
      </c>
      <c r="K257" s="17" t="s">
        <v>57</v>
      </c>
      <c r="L257" s="13">
        <v>46207</v>
      </c>
      <c r="M257" t="s">
        <v>84</v>
      </c>
      <c r="N257" t="s">
        <v>32</v>
      </c>
      <c r="O257" s="13">
        <v>46184</v>
      </c>
      <c r="Q257">
        <f t="shared" ca="1" si="15"/>
        <v>12</v>
      </c>
      <c r="R257">
        <f t="shared" si="16"/>
        <v>7</v>
      </c>
      <c r="S257">
        <f t="shared" ca="1" si="17"/>
        <v>18</v>
      </c>
      <c r="T257" t="str">
        <f t="shared" ca="1" si="18"/>
        <v>On Track</v>
      </c>
      <c r="U257" t="str">
        <f t="shared" ca="1" si="19"/>
        <v>Normal</v>
      </c>
    </row>
    <row r="258" spans="1:22">
      <c r="A258" t="s">
        <v>777</v>
      </c>
      <c r="B258" t="s">
        <v>67</v>
      </c>
      <c r="C258" t="s">
        <v>778</v>
      </c>
      <c r="D258" s="16">
        <v>2823.71</v>
      </c>
      <c r="E258" t="s">
        <v>62</v>
      </c>
      <c r="F258" t="s">
        <v>26</v>
      </c>
      <c r="G258" t="s">
        <v>779</v>
      </c>
      <c r="H258" t="s">
        <v>64</v>
      </c>
      <c r="I258" t="s">
        <v>29</v>
      </c>
      <c r="J258" s="13">
        <v>46155</v>
      </c>
      <c r="K258" s="17" t="s">
        <v>30</v>
      </c>
      <c r="L258" s="13">
        <v>46170</v>
      </c>
      <c r="M258" t="s">
        <v>31</v>
      </c>
      <c r="N258" t="s">
        <v>32</v>
      </c>
      <c r="O258" s="13">
        <v>46160</v>
      </c>
      <c r="P258" s="13">
        <v>46167</v>
      </c>
      <c r="Q258">
        <f t="shared" ref="Q258:Q321" ca="1" si="20">IF(J258="","",TODAY()-J258)</f>
        <v>34</v>
      </c>
      <c r="R258">
        <f t="shared" ref="R258:R321" si="21">IF(O258="","",O258-J258)</f>
        <v>5</v>
      </c>
      <c r="S258">
        <f t="shared" ref="S258:S321" ca="1" si="22">IF(L258="","",L258-TODAY())</f>
        <v>-19</v>
      </c>
      <c r="T258" t="str">
        <f t="shared" ref="T258:T321" ca="1" si="23">IF(AND(M258="Pending Approval",Q258&gt;5),"Overdue","On Track")</f>
        <v>On Track</v>
      </c>
      <c r="U258" t="str">
        <f t="shared" ref="U258:U321" ca="1" si="24">IF(AND(M258&lt;&gt;"Paid",S258&lt;=5),"At Risk","Normal")</f>
        <v>Normal</v>
      </c>
      <c r="V258" t="s">
        <v>33</v>
      </c>
    </row>
    <row r="259" spans="1:22">
      <c r="A259" t="s">
        <v>780</v>
      </c>
      <c r="B259" t="s">
        <v>44</v>
      </c>
      <c r="C259" t="s">
        <v>781</v>
      </c>
      <c r="D259" s="16">
        <v>14197.85</v>
      </c>
      <c r="E259" t="s">
        <v>302</v>
      </c>
      <c r="F259" t="s">
        <v>26</v>
      </c>
      <c r="G259" t="s">
        <v>782</v>
      </c>
      <c r="H259" t="s">
        <v>429</v>
      </c>
      <c r="I259" t="s">
        <v>92</v>
      </c>
      <c r="J259" s="13">
        <v>46158</v>
      </c>
      <c r="K259" s="17" t="s">
        <v>57</v>
      </c>
      <c r="L259" s="13">
        <v>46188</v>
      </c>
      <c r="M259" t="s">
        <v>31</v>
      </c>
      <c r="N259" t="s">
        <v>32</v>
      </c>
      <c r="O259" s="13">
        <v>46164</v>
      </c>
      <c r="P259" s="13">
        <v>46171</v>
      </c>
      <c r="Q259">
        <f t="shared" ca="1" si="20"/>
        <v>31</v>
      </c>
      <c r="R259">
        <f t="shared" si="21"/>
        <v>6</v>
      </c>
      <c r="S259">
        <f t="shared" ca="1" si="22"/>
        <v>-1</v>
      </c>
      <c r="T259" t="str">
        <f t="shared" ca="1" si="23"/>
        <v>On Track</v>
      </c>
      <c r="U259" t="str">
        <f t="shared" ca="1" si="24"/>
        <v>Normal</v>
      </c>
      <c r="V259" t="s">
        <v>33</v>
      </c>
    </row>
    <row r="260" spans="1:22">
      <c r="A260" t="s">
        <v>783</v>
      </c>
      <c r="B260" t="s">
        <v>76</v>
      </c>
      <c r="C260" t="s">
        <v>784</v>
      </c>
      <c r="D260" s="16">
        <v>23482.15</v>
      </c>
      <c r="E260" t="s">
        <v>302</v>
      </c>
      <c r="F260" t="s">
        <v>26</v>
      </c>
      <c r="G260" t="s">
        <v>785</v>
      </c>
      <c r="H260" t="s">
        <v>429</v>
      </c>
      <c r="I260" t="s">
        <v>92</v>
      </c>
      <c r="J260" s="13">
        <v>46168</v>
      </c>
      <c r="K260" s="17" t="s">
        <v>49</v>
      </c>
      <c r="L260" s="13">
        <v>46213</v>
      </c>
      <c r="M260" t="s">
        <v>31</v>
      </c>
      <c r="N260" t="s">
        <v>100</v>
      </c>
      <c r="O260" s="13">
        <v>46178</v>
      </c>
      <c r="P260" s="13">
        <v>46181</v>
      </c>
      <c r="Q260">
        <f t="shared" ca="1" si="20"/>
        <v>21</v>
      </c>
      <c r="R260">
        <f t="shared" si="21"/>
        <v>10</v>
      </c>
      <c r="S260">
        <f t="shared" ca="1" si="22"/>
        <v>24</v>
      </c>
      <c r="T260" t="str">
        <f t="shared" ca="1" si="23"/>
        <v>On Track</v>
      </c>
      <c r="U260" t="str">
        <f t="shared" ca="1" si="24"/>
        <v>Normal</v>
      </c>
      <c r="V260" t="s">
        <v>101</v>
      </c>
    </row>
    <row r="261" spans="1:22">
      <c r="A261" t="s">
        <v>786</v>
      </c>
      <c r="B261" t="s">
        <v>76</v>
      </c>
      <c r="C261" t="s">
        <v>787</v>
      </c>
      <c r="D261" s="16">
        <v>2941.61</v>
      </c>
      <c r="E261" t="s">
        <v>69</v>
      </c>
      <c r="F261" t="s">
        <v>38</v>
      </c>
      <c r="H261" t="s">
        <v>71</v>
      </c>
      <c r="I261" t="s">
        <v>29</v>
      </c>
      <c r="J261" s="13">
        <v>46166</v>
      </c>
      <c r="K261" s="17" t="s">
        <v>57</v>
      </c>
      <c r="L261" s="13">
        <v>46196</v>
      </c>
      <c r="M261" t="s">
        <v>31</v>
      </c>
      <c r="N261" t="s">
        <v>32</v>
      </c>
      <c r="O261" s="13">
        <v>46177</v>
      </c>
      <c r="P261" s="13">
        <v>46178</v>
      </c>
      <c r="Q261">
        <f t="shared" ca="1" si="20"/>
        <v>23</v>
      </c>
      <c r="R261">
        <f t="shared" si="21"/>
        <v>11</v>
      </c>
      <c r="S261">
        <f t="shared" ca="1" si="22"/>
        <v>7</v>
      </c>
      <c r="T261" t="str">
        <f t="shared" ca="1" si="23"/>
        <v>On Track</v>
      </c>
      <c r="U261" t="str">
        <f t="shared" ca="1" si="24"/>
        <v>Normal</v>
      </c>
      <c r="V261" t="s">
        <v>33</v>
      </c>
    </row>
    <row r="262" spans="1:22">
      <c r="A262" t="s">
        <v>788</v>
      </c>
      <c r="B262" t="s">
        <v>82</v>
      </c>
      <c r="C262" t="s">
        <v>789</v>
      </c>
      <c r="D262" s="16">
        <v>340.67</v>
      </c>
      <c r="E262" t="s">
        <v>126</v>
      </c>
      <c r="F262" t="s">
        <v>26</v>
      </c>
      <c r="G262" t="s">
        <v>790</v>
      </c>
      <c r="H262" t="s">
        <v>241</v>
      </c>
      <c r="I262" t="s">
        <v>29</v>
      </c>
      <c r="J262" s="13">
        <v>46183</v>
      </c>
      <c r="K262" s="17" t="s">
        <v>57</v>
      </c>
      <c r="L262" s="13">
        <v>46213</v>
      </c>
      <c r="M262" t="s">
        <v>99</v>
      </c>
      <c r="N262" t="s">
        <v>32</v>
      </c>
      <c r="O262" s="13">
        <v>46187</v>
      </c>
      <c r="Q262">
        <f t="shared" ca="1" si="20"/>
        <v>6</v>
      </c>
      <c r="R262">
        <f t="shared" si="21"/>
        <v>4</v>
      </c>
      <c r="S262">
        <f t="shared" ca="1" si="22"/>
        <v>24</v>
      </c>
      <c r="T262" t="str">
        <f t="shared" ca="1" si="23"/>
        <v>On Track</v>
      </c>
      <c r="U262" t="str">
        <f t="shared" ca="1" si="24"/>
        <v>Normal</v>
      </c>
    </row>
    <row r="263" spans="1:22">
      <c r="A263" t="s">
        <v>791</v>
      </c>
      <c r="B263" t="s">
        <v>73</v>
      </c>
      <c r="C263" t="s">
        <v>792</v>
      </c>
      <c r="D263" s="16">
        <v>2919.07</v>
      </c>
      <c r="E263" t="s">
        <v>302</v>
      </c>
      <c r="F263" t="s">
        <v>38</v>
      </c>
      <c r="H263" t="s">
        <v>304</v>
      </c>
      <c r="I263" t="s">
        <v>29</v>
      </c>
      <c r="J263" s="13">
        <v>46151</v>
      </c>
      <c r="K263" s="17" t="s">
        <v>49</v>
      </c>
      <c r="L263" s="13">
        <v>46196</v>
      </c>
      <c r="M263" t="s">
        <v>31</v>
      </c>
      <c r="N263" t="s">
        <v>100</v>
      </c>
      <c r="O263" s="13">
        <v>46170</v>
      </c>
      <c r="P263" s="13">
        <v>46173</v>
      </c>
      <c r="Q263">
        <f t="shared" ca="1" si="20"/>
        <v>38</v>
      </c>
      <c r="R263">
        <f t="shared" si="21"/>
        <v>19</v>
      </c>
      <c r="S263">
        <f t="shared" ca="1" si="22"/>
        <v>7</v>
      </c>
      <c r="T263" t="str">
        <f t="shared" ca="1" si="23"/>
        <v>On Track</v>
      </c>
      <c r="U263" t="str">
        <f t="shared" ca="1" si="24"/>
        <v>Normal</v>
      </c>
      <c r="V263" t="s">
        <v>101</v>
      </c>
    </row>
    <row r="264" spans="1:22">
      <c r="A264" t="s">
        <v>793</v>
      </c>
      <c r="B264" t="s">
        <v>222</v>
      </c>
      <c r="C264" t="s">
        <v>794</v>
      </c>
      <c r="D264" s="16">
        <v>13518.93</v>
      </c>
      <c r="E264" t="s">
        <v>46</v>
      </c>
      <c r="F264" t="s">
        <v>38</v>
      </c>
      <c r="H264" t="s">
        <v>161</v>
      </c>
      <c r="I264" t="s">
        <v>92</v>
      </c>
      <c r="J264" s="13">
        <v>46175</v>
      </c>
      <c r="K264" s="17" t="s">
        <v>49</v>
      </c>
      <c r="L264" s="13">
        <v>46220</v>
      </c>
      <c r="M264" t="s">
        <v>41</v>
      </c>
      <c r="N264" t="s">
        <v>32</v>
      </c>
      <c r="Q264">
        <f t="shared" ca="1" si="20"/>
        <v>14</v>
      </c>
      <c r="R264" t="str">
        <f t="shared" si="21"/>
        <v/>
      </c>
      <c r="S264">
        <f t="shared" ca="1" si="22"/>
        <v>31</v>
      </c>
      <c r="T264" t="str">
        <f t="shared" ca="1" si="23"/>
        <v>Overdue</v>
      </c>
      <c r="U264" t="str">
        <f t="shared" ca="1" si="24"/>
        <v>Normal</v>
      </c>
      <c r="V264" t="s">
        <v>42</v>
      </c>
    </row>
    <row r="265" spans="1:22">
      <c r="A265" t="s">
        <v>795</v>
      </c>
      <c r="B265" t="s">
        <v>271</v>
      </c>
      <c r="C265" t="s">
        <v>796</v>
      </c>
      <c r="D265" s="16">
        <v>3382.67</v>
      </c>
      <c r="E265" t="s">
        <v>55</v>
      </c>
      <c r="F265" t="s">
        <v>26</v>
      </c>
      <c r="G265" t="s">
        <v>797</v>
      </c>
      <c r="H265" t="s">
        <v>56</v>
      </c>
      <c r="I265" t="s">
        <v>29</v>
      </c>
      <c r="J265" s="13">
        <v>46144</v>
      </c>
      <c r="K265" s="17" t="s">
        <v>40</v>
      </c>
      <c r="L265" s="13">
        <v>46174</v>
      </c>
      <c r="M265" t="s">
        <v>31</v>
      </c>
      <c r="N265" t="s">
        <v>50</v>
      </c>
      <c r="O265" s="13">
        <v>46149</v>
      </c>
      <c r="P265" s="13">
        <v>46156</v>
      </c>
      <c r="Q265">
        <f t="shared" ca="1" si="20"/>
        <v>45</v>
      </c>
      <c r="R265">
        <f t="shared" si="21"/>
        <v>5</v>
      </c>
      <c r="S265">
        <f t="shared" ca="1" si="22"/>
        <v>-15</v>
      </c>
      <c r="T265" t="str">
        <f t="shared" ca="1" si="23"/>
        <v>On Track</v>
      </c>
      <c r="U265" t="str">
        <f t="shared" ca="1" si="24"/>
        <v>Normal</v>
      </c>
      <c r="V265" t="s">
        <v>51</v>
      </c>
    </row>
    <row r="266" spans="1:22">
      <c r="A266" t="s">
        <v>798</v>
      </c>
      <c r="B266" t="s">
        <v>129</v>
      </c>
      <c r="C266" t="s">
        <v>799</v>
      </c>
      <c r="D266" s="16">
        <v>4511.93</v>
      </c>
      <c r="E266" t="s">
        <v>111</v>
      </c>
      <c r="F266" t="s">
        <v>26</v>
      </c>
      <c r="G266" t="s">
        <v>800</v>
      </c>
      <c r="H266" t="s">
        <v>113</v>
      </c>
      <c r="I266" t="s">
        <v>29</v>
      </c>
      <c r="J266" s="13">
        <v>46148</v>
      </c>
      <c r="K266" s="17" t="s">
        <v>57</v>
      </c>
      <c r="L266" s="13">
        <v>46178</v>
      </c>
      <c r="M266" t="s">
        <v>31</v>
      </c>
      <c r="N266" t="s">
        <v>32</v>
      </c>
      <c r="O266" s="13">
        <v>46154</v>
      </c>
      <c r="P266" s="13">
        <v>46155</v>
      </c>
      <c r="Q266">
        <f t="shared" ca="1" si="20"/>
        <v>41</v>
      </c>
      <c r="R266">
        <f t="shared" si="21"/>
        <v>6</v>
      </c>
      <c r="S266">
        <f t="shared" ca="1" si="22"/>
        <v>-11</v>
      </c>
      <c r="T266" t="str">
        <f t="shared" ca="1" si="23"/>
        <v>On Track</v>
      </c>
      <c r="U266" t="str">
        <f t="shared" ca="1" si="24"/>
        <v>Normal</v>
      </c>
      <c r="V266" t="s">
        <v>33</v>
      </c>
    </row>
    <row r="267" spans="1:22">
      <c r="A267" t="s">
        <v>801</v>
      </c>
      <c r="B267" t="s">
        <v>109</v>
      </c>
      <c r="C267" t="s">
        <v>802</v>
      </c>
      <c r="D267" s="16">
        <v>4284.2700000000004</v>
      </c>
      <c r="E267" t="s">
        <v>111</v>
      </c>
      <c r="F267" t="s">
        <v>26</v>
      </c>
      <c r="G267" t="s">
        <v>803</v>
      </c>
      <c r="H267" t="s">
        <v>113</v>
      </c>
      <c r="I267" t="s">
        <v>29</v>
      </c>
      <c r="J267" s="13">
        <v>46157</v>
      </c>
      <c r="K267" s="17" t="s">
        <v>57</v>
      </c>
      <c r="L267" s="13">
        <v>46187</v>
      </c>
      <c r="M267" t="s">
        <v>31</v>
      </c>
      <c r="N267" t="s">
        <v>32</v>
      </c>
      <c r="O267" s="13">
        <v>46163</v>
      </c>
      <c r="P267" s="13">
        <v>46164</v>
      </c>
      <c r="Q267">
        <f t="shared" ca="1" si="20"/>
        <v>32</v>
      </c>
      <c r="R267">
        <f t="shared" si="21"/>
        <v>6</v>
      </c>
      <c r="S267">
        <f t="shared" ca="1" si="22"/>
        <v>-2</v>
      </c>
      <c r="T267" t="str">
        <f t="shared" ca="1" si="23"/>
        <v>On Track</v>
      </c>
      <c r="U267" t="str">
        <f t="shared" ca="1" si="24"/>
        <v>Normal</v>
      </c>
      <c r="V267" t="s">
        <v>33</v>
      </c>
    </row>
    <row r="268" spans="1:22">
      <c r="A268" t="s">
        <v>804</v>
      </c>
      <c r="B268" t="s">
        <v>94</v>
      </c>
      <c r="C268" t="s">
        <v>805</v>
      </c>
      <c r="D268" s="16">
        <v>3583.26</v>
      </c>
      <c r="E268" t="s">
        <v>302</v>
      </c>
      <c r="F268" t="s">
        <v>38</v>
      </c>
      <c r="H268" t="s">
        <v>304</v>
      </c>
      <c r="I268" t="s">
        <v>29</v>
      </c>
      <c r="J268" s="13">
        <v>46170</v>
      </c>
      <c r="K268" s="17" t="s">
        <v>40</v>
      </c>
      <c r="L268" s="13">
        <v>46200</v>
      </c>
      <c r="M268" t="s">
        <v>41</v>
      </c>
      <c r="N268" t="s">
        <v>179</v>
      </c>
      <c r="Q268">
        <f t="shared" ca="1" si="20"/>
        <v>19</v>
      </c>
      <c r="R268" t="str">
        <f t="shared" si="21"/>
        <v/>
      </c>
      <c r="S268">
        <f t="shared" ca="1" si="22"/>
        <v>11</v>
      </c>
      <c r="T268" t="str">
        <f t="shared" ca="1" si="23"/>
        <v>Overdue</v>
      </c>
      <c r="U268" t="str">
        <f t="shared" ca="1" si="24"/>
        <v>Normal</v>
      </c>
      <c r="V268" t="s">
        <v>180</v>
      </c>
    </row>
    <row r="269" spans="1:22">
      <c r="A269" t="s">
        <v>806</v>
      </c>
      <c r="B269" t="s">
        <v>115</v>
      </c>
      <c r="C269" t="s">
        <v>807</v>
      </c>
      <c r="D269" s="16">
        <v>9398.86</v>
      </c>
      <c r="E269" t="s">
        <v>111</v>
      </c>
      <c r="F269" t="s">
        <v>26</v>
      </c>
      <c r="G269" t="s">
        <v>808</v>
      </c>
      <c r="H269" t="s">
        <v>122</v>
      </c>
      <c r="I269" t="s">
        <v>92</v>
      </c>
      <c r="J269" s="13">
        <v>46146</v>
      </c>
      <c r="K269" s="17" t="s">
        <v>49</v>
      </c>
      <c r="L269" s="13">
        <v>46191</v>
      </c>
      <c r="M269" t="s">
        <v>65</v>
      </c>
      <c r="N269" t="s">
        <v>32</v>
      </c>
      <c r="Q269">
        <f t="shared" ca="1" si="20"/>
        <v>43</v>
      </c>
      <c r="R269" t="str">
        <f t="shared" si="21"/>
        <v/>
      </c>
      <c r="S269">
        <f t="shared" ca="1" si="22"/>
        <v>2</v>
      </c>
      <c r="T269" t="str">
        <f t="shared" ca="1" si="23"/>
        <v>On Track</v>
      </c>
      <c r="U269" t="str">
        <f t="shared" ca="1" si="24"/>
        <v>At Risk</v>
      </c>
    </row>
    <row r="270" spans="1:22">
      <c r="A270" t="s">
        <v>809</v>
      </c>
      <c r="B270" t="s">
        <v>73</v>
      </c>
      <c r="C270" t="s">
        <v>810</v>
      </c>
      <c r="D270" s="16">
        <v>8137.64</v>
      </c>
      <c r="E270" t="s">
        <v>46</v>
      </c>
      <c r="F270" t="s">
        <v>26</v>
      </c>
      <c r="G270" t="s">
        <v>811</v>
      </c>
      <c r="H270" t="s">
        <v>161</v>
      </c>
      <c r="I270" t="s">
        <v>92</v>
      </c>
      <c r="J270" s="13">
        <v>46149</v>
      </c>
      <c r="K270" s="17" t="s">
        <v>49</v>
      </c>
      <c r="L270" s="13">
        <v>46194</v>
      </c>
      <c r="M270" t="s">
        <v>31</v>
      </c>
      <c r="N270" t="s">
        <v>32</v>
      </c>
      <c r="O270" s="13">
        <v>46157</v>
      </c>
      <c r="P270" s="13">
        <v>46161</v>
      </c>
      <c r="Q270">
        <f t="shared" ca="1" si="20"/>
        <v>40</v>
      </c>
      <c r="R270">
        <f t="shared" si="21"/>
        <v>8</v>
      </c>
      <c r="S270">
        <f t="shared" ca="1" si="22"/>
        <v>5</v>
      </c>
      <c r="T270" t="str">
        <f t="shared" ca="1" si="23"/>
        <v>On Track</v>
      </c>
      <c r="U270" t="str">
        <f t="shared" ca="1" si="24"/>
        <v>Normal</v>
      </c>
      <c r="V270" t="s">
        <v>33</v>
      </c>
    </row>
    <row r="271" spans="1:22">
      <c r="A271" t="s">
        <v>812</v>
      </c>
      <c r="B271" t="s">
        <v>271</v>
      </c>
      <c r="C271" t="s">
        <v>813</v>
      </c>
      <c r="D271" s="16">
        <v>8063.52</v>
      </c>
      <c r="E271" t="s">
        <v>37</v>
      </c>
      <c r="F271" t="s">
        <v>26</v>
      </c>
      <c r="G271" t="s">
        <v>814</v>
      </c>
      <c r="H271" t="s">
        <v>815</v>
      </c>
      <c r="I271" t="s">
        <v>92</v>
      </c>
      <c r="J271" s="13">
        <v>46156</v>
      </c>
      <c r="K271" s="17" t="s">
        <v>40</v>
      </c>
      <c r="L271" s="13">
        <v>46186</v>
      </c>
      <c r="M271" t="s">
        <v>31</v>
      </c>
      <c r="N271" t="s">
        <v>32</v>
      </c>
      <c r="O271" s="13">
        <v>46161</v>
      </c>
      <c r="P271" s="13">
        <v>46164</v>
      </c>
      <c r="Q271">
        <f t="shared" ca="1" si="20"/>
        <v>33</v>
      </c>
      <c r="R271">
        <f t="shared" si="21"/>
        <v>5</v>
      </c>
      <c r="S271">
        <f t="shared" ca="1" si="22"/>
        <v>-3</v>
      </c>
      <c r="T271" t="str">
        <f t="shared" ca="1" si="23"/>
        <v>On Track</v>
      </c>
      <c r="U271" t="str">
        <f t="shared" ca="1" si="24"/>
        <v>Normal</v>
      </c>
      <c r="V271" t="s">
        <v>33</v>
      </c>
    </row>
    <row r="272" spans="1:22">
      <c r="A272" t="s">
        <v>816</v>
      </c>
      <c r="B272" t="s">
        <v>53</v>
      </c>
      <c r="C272" t="s">
        <v>817</v>
      </c>
      <c r="D272" s="16">
        <v>2750.96</v>
      </c>
      <c r="E272" t="s">
        <v>302</v>
      </c>
      <c r="F272" t="s">
        <v>26</v>
      </c>
      <c r="G272" t="s">
        <v>818</v>
      </c>
      <c r="H272" t="s">
        <v>304</v>
      </c>
      <c r="I272" t="s">
        <v>29</v>
      </c>
      <c r="J272" s="13">
        <v>46167</v>
      </c>
      <c r="K272" s="17" t="s">
        <v>30</v>
      </c>
      <c r="L272" s="13">
        <v>46182</v>
      </c>
      <c r="M272" t="s">
        <v>99</v>
      </c>
      <c r="N272" t="s">
        <v>32</v>
      </c>
      <c r="O272" s="13">
        <v>46173</v>
      </c>
      <c r="Q272">
        <f t="shared" ca="1" si="20"/>
        <v>22</v>
      </c>
      <c r="R272">
        <f t="shared" si="21"/>
        <v>6</v>
      </c>
      <c r="S272">
        <f t="shared" ca="1" si="22"/>
        <v>-7</v>
      </c>
      <c r="T272" t="str">
        <f t="shared" ca="1" si="23"/>
        <v>On Track</v>
      </c>
      <c r="U272" t="str">
        <f t="shared" ca="1" si="24"/>
        <v>At Risk</v>
      </c>
    </row>
    <row r="273" spans="1:22">
      <c r="A273" t="s">
        <v>819</v>
      </c>
      <c r="B273" t="s">
        <v>187</v>
      </c>
      <c r="C273" t="s">
        <v>820</v>
      </c>
      <c r="D273" s="16">
        <v>367.1</v>
      </c>
      <c r="E273" t="s">
        <v>62</v>
      </c>
      <c r="F273" t="s">
        <v>26</v>
      </c>
      <c r="G273" t="s">
        <v>821</v>
      </c>
      <c r="H273" t="s">
        <v>64</v>
      </c>
      <c r="I273" t="s">
        <v>29</v>
      </c>
      <c r="J273" s="13">
        <v>46149</v>
      </c>
      <c r="K273" s="17" t="s">
        <v>40</v>
      </c>
      <c r="L273" s="13">
        <v>46179</v>
      </c>
      <c r="M273" t="s">
        <v>31</v>
      </c>
      <c r="N273" t="s">
        <v>50</v>
      </c>
      <c r="O273" s="13">
        <v>46166</v>
      </c>
      <c r="P273" s="13">
        <v>46170</v>
      </c>
      <c r="Q273">
        <f t="shared" ca="1" si="20"/>
        <v>40</v>
      </c>
      <c r="R273">
        <f t="shared" si="21"/>
        <v>17</v>
      </c>
      <c r="S273">
        <f t="shared" ca="1" si="22"/>
        <v>-10</v>
      </c>
      <c r="T273" t="str">
        <f t="shared" ca="1" si="23"/>
        <v>On Track</v>
      </c>
      <c r="U273" t="str">
        <f t="shared" ca="1" si="24"/>
        <v>Normal</v>
      </c>
      <c r="V273" t="s">
        <v>51</v>
      </c>
    </row>
    <row r="274" spans="1:22">
      <c r="A274" t="s">
        <v>822</v>
      </c>
      <c r="B274" t="s">
        <v>44</v>
      </c>
      <c r="C274" t="s">
        <v>823</v>
      </c>
      <c r="D274" s="16">
        <v>2013.25</v>
      </c>
      <c r="E274" t="s">
        <v>25</v>
      </c>
      <c r="F274" t="s">
        <v>26</v>
      </c>
      <c r="G274" t="s">
        <v>824</v>
      </c>
      <c r="H274" t="s">
        <v>28</v>
      </c>
      <c r="I274" t="s">
        <v>29</v>
      </c>
      <c r="J274" s="13">
        <v>46167</v>
      </c>
      <c r="K274" s="17" t="s">
        <v>57</v>
      </c>
      <c r="L274" s="13">
        <v>46197</v>
      </c>
      <c r="M274" t="s">
        <v>31</v>
      </c>
      <c r="N274" t="s">
        <v>32</v>
      </c>
      <c r="O274" s="13">
        <v>46174</v>
      </c>
      <c r="P274" s="13">
        <v>46177</v>
      </c>
      <c r="Q274">
        <f t="shared" ca="1" si="20"/>
        <v>22</v>
      </c>
      <c r="R274">
        <f t="shared" si="21"/>
        <v>7</v>
      </c>
      <c r="S274">
        <f t="shared" ca="1" si="22"/>
        <v>8</v>
      </c>
      <c r="T274" t="str">
        <f t="shared" ca="1" si="23"/>
        <v>On Track</v>
      </c>
      <c r="U274" t="str">
        <f t="shared" ca="1" si="24"/>
        <v>Normal</v>
      </c>
      <c r="V274" t="s">
        <v>33</v>
      </c>
    </row>
    <row r="275" spans="1:22">
      <c r="A275" t="s">
        <v>825</v>
      </c>
      <c r="B275" t="s">
        <v>44</v>
      </c>
      <c r="C275" t="s">
        <v>826</v>
      </c>
      <c r="D275" s="16">
        <v>3672.67</v>
      </c>
      <c r="E275" t="s">
        <v>37</v>
      </c>
      <c r="F275" t="s">
        <v>38</v>
      </c>
      <c r="H275" t="s">
        <v>39</v>
      </c>
      <c r="I275" t="s">
        <v>29</v>
      </c>
      <c r="J275" s="13">
        <v>46149</v>
      </c>
      <c r="K275" s="17" t="s">
        <v>49</v>
      </c>
      <c r="L275" s="13">
        <v>46194</v>
      </c>
      <c r="M275" t="s">
        <v>31</v>
      </c>
      <c r="N275" t="s">
        <v>58</v>
      </c>
      <c r="O275" s="13">
        <v>46165</v>
      </c>
      <c r="P275" s="13">
        <v>46169</v>
      </c>
      <c r="Q275">
        <f t="shared" ca="1" si="20"/>
        <v>40</v>
      </c>
      <c r="R275">
        <f t="shared" si="21"/>
        <v>16</v>
      </c>
      <c r="S275">
        <f t="shared" ca="1" si="22"/>
        <v>5</v>
      </c>
      <c r="T275" t="str">
        <f t="shared" ca="1" si="23"/>
        <v>On Track</v>
      </c>
      <c r="U275" t="str">
        <f t="shared" ca="1" si="24"/>
        <v>Normal</v>
      </c>
      <c r="V275" t="s">
        <v>59</v>
      </c>
    </row>
    <row r="276" spans="1:22">
      <c r="A276" t="s">
        <v>827</v>
      </c>
      <c r="B276" t="s">
        <v>35</v>
      </c>
      <c r="C276" t="s">
        <v>828</v>
      </c>
      <c r="D276" s="16">
        <v>73251.22</v>
      </c>
      <c r="E276" t="s">
        <v>55</v>
      </c>
      <c r="F276" t="s">
        <v>38</v>
      </c>
      <c r="H276" t="s">
        <v>121</v>
      </c>
      <c r="I276" t="s">
        <v>122</v>
      </c>
      <c r="J276" s="13">
        <v>46180</v>
      </c>
      <c r="K276" s="17" t="s">
        <v>57</v>
      </c>
      <c r="L276" s="13">
        <v>46210</v>
      </c>
      <c r="M276" t="s">
        <v>65</v>
      </c>
      <c r="N276" t="s">
        <v>100</v>
      </c>
      <c r="Q276">
        <f t="shared" ca="1" si="20"/>
        <v>9</v>
      </c>
      <c r="R276" t="str">
        <f t="shared" si="21"/>
        <v/>
      </c>
      <c r="S276">
        <f t="shared" ca="1" si="22"/>
        <v>21</v>
      </c>
      <c r="T276" t="str">
        <f t="shared" ca="1" si="23"/>
        <v>On Track</v>
      </c>
      <c r="U276" t="str">
        <f t="shared" ca="1" si="24"/>
        <v>Normal</v>
      </c>
      <c r="V276" t="s">
        <v>101</v>
      </c>
    </row>
    <row r="277" spans="1:22">
      <c r="A277" t="s">
        <v>829</v>
      </c>
      <c r="B277" t="s">
        <v>271</v>
      </c>
      <c r="C277" t="s">
        <v>830</v>
      </c>
      <c r="D277" s="16">
        <v>81688.02</v>
      </c>
      <c r="E277" t="s">
        <v>46</v>
      </c>
      <c r="F277" t="s">
        <v>26</v>
      </c>
      <c r="G277" t="s">
        <v>831</v>
      </c>
      <c r="H277" t="s">
        <v>121</v>
      </c>
      <c r="I277" t="s">
        <v>122</v>
      </c>
      <c r="J277" s="13">
        <v>46149</v>
      </c>
      <c r="K277" s="17" t="s">
        <v>40</v>
      </c>
      <c r="L277" s="13">
        <v>46179</v>
      </c>
      <c r="M277" t="s">
        <v>99</v>
      </c>
      <c r="N277" t="s">
        <v>32</v>
      </c>
      <c r="O277" s="13">
        <v>46154</v>
      </c>
      <c r="Q277">
        <f t="shared" ca="1" si="20"/>
        <v>40</v>
      </c>
      <c r="R277">
        <f t="shared" si="21"/>
        <v>5</v>
      </c>
      <c r="S277">
        <f t="shared" ca="1" si="22"/>
        <v>-10</v>
      </c>
      <c r="T277" t="str">
        <f t="shared" ca="1" si="23"/>
        <v>On Track</v>
      </c>
      <c r="U277" t="str">
        <f t="shared" ca="1" si="24"/>
        <v>At Risk</v>
      </c>
    </row>
    <row r="278" spans="1:22">
      <c r="A278" t="s">
        <v>832</v>
      </c>
      <c r="B278" t="s">
        <v>73</v>
      </c>
      <c r="C278" t="s">
        <v>833</v>
      </c>
      <c r="D278" s="16">
        <v>6306.73</v>
      </c>
      <c r="E278" t="s">
        <v>69</v>
      </c>
      <c r="F278" t="s">
        <v>26</v>
      </c>
      <c r="G278" t="s">
        <v>834</v>
      </c>
      <c r="H278" t="s">
        <v>178</v>
      </c>
      <c r="I278" t="s">
        <v>92</v>
      </c>
      <c r="J278" s="13">
        <v>46179</v>
      </c>
      <c r="K278" s="17" t="s">
        <v>49</v>
      </c>
      <c r="L278" s="13">
        <v>46224</v>
      </c>
      <c r="M278" t="s">
        <v>99</v>
      </c>
      <c r="N278" t="s">
        <v>50</v>
      </c>
      <c r="O278" s="13">
        <v>46189</v>
      </c>
      <c r="Q278">
        <f t="shared" ca="1" si="20"/>
        <v>10</v>
      </c>
      <c r="R278">
        <f t="shared" si="21"/>
        <v>10</v>
      </c>
      <c r="S278">
        <f t="shared" ca="1" si="22"/>
        <v>35</v>
      </c>
      <c r="T278" t="str">
        <f t="shared" ca="1" si="23"/>
        <v>On Track</v>
      </c>
      <c r="U278" t="str">
        <f t="shared" ca="1" si="24"/>
        <v>Normal</v>
      </c>
      <c r="V278" t="s">
        <v>51</v>
      </c>
    </row>
    <row r="279" spans="1:22">
      <c r="A279" t="s">
        <v>835</v>
      </c>
      <c r="B279" t="s">
        <v>115</v>
      </c>
      <c r="C279" t="s">
        <v>836</v>
      </c>
      <c r="D279" s="16">
        <v>7194.12</v>
      </c>
      <c r="E279" t="s">
        <v>78</v>
      </c>
      <c r="F279" t="s">
        <v>26</v>
      </c>
      <c r="G279" t="s">
        <v>837</v>
      </c>
      <c r="H279" t="s">
        <v>91</v>
      </c>
      <c r="I279" t="s">
        <v>92</v>
      </c>
      <c r="J279" s="13">
        <v>46181</v>
      </c>
      <c r="K279" s="17" t="s">
        <v>30</v>
      </c>
      <c r="L279" s="13">
        <v>46196</v>
      </c>
      <c r="M279" t="s">
        <v>99</v>
      </c>
      <c r="N279" t="s">
        <v>213</v>
      </c>
      <c r="O279" s="13">
        <v>46189</v>
      </c>
      <c r="Q279">
        <f t="shared" ca="1" si="20"/>
        <v>8</v>
      </c>
      <c r="R279">
        <f t="shared" si="21"/>
        <v>8</v>
      </c>
      <c r="S279">
        <f t="shared" ca="1" si="22"/>
        <v>7</v>
      </c>
      <c r="T279" t="str">
        <f t="shared" ca="1" si="23"/>
        <v>On Track</v>
      </c>
      <c r="U279" t="str">
        <f t="shared" ca="1" si="24"/>
        <v>Normal</v>
      </c>
      <c r="V279" t="s">
        <v>214</v>
      </c>
    </row>
    <row r="280" spans="1:22">
      <c r="A280" t="s">
        <v>838</v>
      </c>
      <c r="B280" t="s">
        <v>168</v>
      </c>
      <c r="C280" t="s">
        <v>839</v>
      </c>
      <c r="D280" s="16">
        <v>2459.41</v>
      </c>
      <c r="E280" t="s">
        <v>156</v>
      </c>
      <c r="F280" t="s">
        <v>38</v>
      </c>
      <c r="H280" t="s">
        <v>157</v>
      </c>
      <c r="I280" t="s">
        <v>29</v>
      </c>
      <c r="J280" s="13">
        <v>46146</v>
      </c>
      <c r="K280" s="17" t="s">
        <v>57</v>
      </c>
      <c r="L280" s="13">
        <v>46176</v>
      </c>
      <c r="M280" t="s">
        <v>145</v>
      </c>
      <c r="N280" t="s">
        <v>100</v>
      </c>
      <c r="O280" s="13">
        <v>46160</v>
      </c>
      <c r="Q280">
        <f t="shared" ca="1" si="20"/>
        <v>43</v>
      </c>
      <c r="R280">
        <f t="shared" si="21"/>
        <v>14</v>
      </c>
      <c r="S280">
        <f t="shared" ca="1" si="22"/>
        <v>-13</v>
      </c>
      <c r="T280" t="str">
        <f t="shared" ca="1" si="23"/>
        <v>On Track</v>
      </c>
      <c r="U280" t="str">
        <f t="shared" ca="1" si="24"/>
        <v>At Risk</v>
      </c>
      <c r="V280" t="s">
        <v>101</v>
      </c>
    </row>
    <row r="281" spans="1:22">
      <c r="A281" t="s">
        <v>840</v>
      </c>
      <c r="B281" t="s">
        <v>109</v>
      </c>
      <c r="C281" t="s">
        <v>841</v>
      </c>
      <c r="D281" s="16">
        <v>2412.2399999999998</v>
      </c>
      <c r="E281" t="s">
        <v>126</v>
      </c>
      <c r="F281" t="s">
        <v>26</v>
      </c>
      <c r="G281" t="s">
        <v>842</v>
      </c>
      <c r="H281" t="s">
        <v>241</v>
      </c>
      <c r="I281" t="s">
        <v>29</v>
      </c>
      <c r="J281" s="13">
        <v>46145</v>
      </c>
      <c r="K281" s="17" t="s">
        <v>49</v>
      </c>
      <c r="L281" s="13">
        <v>46190</v>
      </c>
      <c r="M281" t="s">
        <v>31</v>
      </c>
      <c r="N281" t="s">
        <v>50</v>
      </c>
      <c r="O281" s="13">
        <v>46158</v>
      </c>
      <c r="P281" s="13">
        <v>46162</v>
      </c>
      <c r="Q281">
        <f t="shared" ca="1" si="20"/>
        <v>44</v>
      </c>
      <c r="R281">
        <f t="shared" si="21"/>
        <v>13</v>
      </c>
      <c r="S281">
        <f t="shared" ca="1" si="22"/>
        <v>1</v>
      </c>
      <c r="T281" t="str">
        <f t="shared" ca="1" si="23"/>
        <v>On Track</v>
      </c>
      <c r="U281" t="str">
        <f t="shared" ca="1" si="24"/>
        <v>Normal</v>
      </c>
      <c r="V281" t="s">
        <v>51</v>
      </c>
    </row>
    <row r="282" spans="1:22">
      <c r="A282" t="s">
        <v>843</v>
      </c>
      <c r="B282" t="s">
        <v>109</v>
      </c>
      <c r="C282" t="s">
        <v>844</v>
      </c>
      <c r="D282" s="16">
        <v>4203.5</v>
      </c>
      <c r="E282" t="s">
        <v>111</v>
      </c>
      <c r="F282" t="s">
        <v>26</v>
      </c>
      <c r="G282" t="s">
        <v>845</v>
      </c>
      <c r="H282" t="s">
        <v>113</v>
      </c>
      <c r="I282" t="s">
        <v>29</v>
      </c>
      <c r="J282" s="13">
        <v>46172</v>
      </c>
      <c r="K282" s="17" t="s">
        <v>49</v>
      </c>
      <c r="L282" s="13">
        <v>46217</v>
      </c>
      <c r="M282" t="s">
        <v>41</v>
      </c>
      <c r="N282" t="s">
        <v>32</v>
      </c>
      <c r="Q282">
        <f t="shared" ca="1" si="20"/>
        <v>17</v>
      </c>
      <c r="R282" t="str">
        <f t="shared" si="21"/>
        <v/>
      </c>
      <c r="S282">
        <f t="shared" ca="1" si="22"/>
        <v>28</v>
      </c>
      <c r="T282" t="str">
        <f t="shared" ca="1" si="23"/>
        <v>Overdue</v>
      </c>
      <c r="U282" t="str">
        <f t="shared" ca="1" si="24"/>
        <v>Normal</v>
      </c>
      <c r="V282" t="s">
        <v>42</v>
      </c>
    </row>
    <row r="283" spans="1:22">
      <c r="A283" t="s">
        <v>846</v>
      </c>
      <c r="B283" t="s">
        <v>172</v>
      </c>
      <c r="C283" t="s">
        <v>847</v>
      </c>
      <c r="D283" s="16">
        <v>3999.06</v>
      </c>
      <c r="E283" t="s">
        <v>62</v>
      </c>
      <c r="F283" t="s">
        <v>38</v>
      </c>
      <c r="H283" t="s">
        <v>64</v>
      </c>
      <c r="I283" t="s">
        <v>29</v>
      </c>
      <c r="J283" s="13">
        <v>46177</v>
      </c>
      <c r="K283" s="17" t="s">
        <v>49</v>
      </c>
      <c r="L283" s="13">
        <v>46222</v>
      </c>
      <c r="M283" t="s">
        <v>41</v>
      </c>
      <c r="N283" t="s">
        <v>50</v>
      </c>
      <c r="Q283">
        <f t="shared" ca="1" si="20"/>
        <v>12</v>
      </c>
      <c r="R283" t="str">
        <f t="shared" si="21"/>
        <v/>
      </c>
      <c r="S283">
        <f t="shared" ca="1" si="22"/>
        <v>33</v>
      </c>
      <c r="T283" t="str">
        <f t="shared" ca="1" si="23"/>
        <v>Overdue</v>
      </c>
      <c r="U283" t="str">
        <f t="shared" ca="1" si="24"/>
        <v>Normal</v>
      </c>
      <c r="V283" t="s">
        <v>51</v>
      </c>
    </row>
    <row r="284" spans="1:22">
      <c r="A284" t="s">
        <v>848</v>
      </c>
      <c r="B284" t="s">
        <v>222</v>
      </c>
      <c r="C284" t="s">
        <v>849</v>
      </c>
      <c r="D284" s="16">
        <v>5564.49</v>
      </c>
      <c r="E284" t="s">
        <v>78</v>
      </c>
      <c r="F284" t="s">
        <v>26</v>
      </c>
      <c r="G284" t="s">
        <v>850</v>
      </c>
      <c r="H284" t="s">
        <v>91</v>
      </c>
      <c r="I284" t="s">
        <v>92</v>
      </c>
      <c r="J284" s="13">
        <v>46156</v>
      </c>
      <c r="K284" s="17" t="s">
        <v>30</v>
      </c>
      <c r="L284" s="13">
        <v>46171</v>
      </c>
      <c r="M284" t="s">
        <v>31</v>
      </c>
      <c r="N284" t="s">
        <v>32</v>
      </c>
      <c r="O284" s="13">
        <v>46164</v>
      </c>
      <c r="P284" s="13">
        <v>46167</v>
      </c>
      <c r="Q284">
        <f t="shared" ca="1" si="20"/>
        <v>33</v>
      </c>
      <c r="R284">
        <f t="shared" si="21"/>
        <v>8</v>
      </c>
      <c r="S284">
        <f t="shared" ca="1" si="22"/>
        <v>-18</v>
      </c>
      <c r="T284" t="str">
        <f t="shared" ca="1" si="23"/>
        <v>On Track</v>
      </c>
      <c r="U284" t="str">
        <f t="shared" ca="1" si="24"/>
        <v>Normal</v>
      </c>
      <c r="V284" t="s">
        <v>33</v>
      </c>
    </row>
    <row r="285" spans="1:22">
      <c r="A285" t="s">
        <v>851</v>
      </c>
      <c r="B285" t="s">
        <v>172</v>
      </c>
      <c r="C285" t="s">
        <v>852</v>
      </c>
      <c r="D285" s="16">
        <v>2362.19</v>
      </c>
      <c r="E285" t="s">
        <v>156</v>
      </c>
      <c r="F285" t="s">
        <v>26</v>
      </c>
      <c r="G285" t="s">
        <v>853</v>
      </c>
      <c r="H285" t="s">
        <v>157</v>
      </c>
      <c r="I285" t="s">
        <v>29</v>
      </c>
      <c r="J285" s="13">
        <v>46187</v>
      </c>
      <c r="K285" s="17" t="s">
        <v>30</v>
      </c>
      <c r="L285" s="13">
        <v>46202</v>
      </c>
      <c r="M285" t="s">
        <v>65</v>
      </c>
      <c r="N285" t="s">
        <v>32</v>
      </c>
      <c r="Q285">
        <f t="shared" ca="1" si="20"/>
        <v>2</v>
      </c>
      <c r="R285" t="str">
        <f t="shared" si="21"/>
        <v/>
      </c>
      <c r="S285">
        <f t="shared" ca="1" si="22"/>
        <v>13</v>
      </c>
      <c r="T285" t="str">
        <f t="shared" ca="1" si="23"/>
        <v>On Track</v>
      </c>
      <c r="U285" t="str">
        <f t="shared" ca="1" si="24"/>
        <v>Normal</v>
      </c>
    </row>
    <row r="286" spans="1:22">
      <c r="A286" t="s">
        <v>854</v>
      </c>
      <c r="B286" t="s">
        <v>251</v>
      </c>
      <c r="C286" t="s">
        <v>855</v>
      </c>
      <c r="D286" s="16">
        <v>1816.33</v>
      </c>
      <c r="E286" t="s">
        <v>37</v>
      </c>
      <c r="F286" t="s">
        <v>38</v>
      </c>
      <c r="H286" t="s">
        <v>39</v>
      </c>
      <c r="I286" t="s">
        <v>29</v>
      </c>
      <c r="J286" s="13">
        <v>46160</v>
      </c>
      <c r="K286" s="17" t="s">
        <v>30</v>
      </c>
      <c r="L286" s="13">
        <v>46175</v>
      </c>
      <c r="M286" t="s">
        <v>145</v>
      </c>
      <c r="N286" t="s">
        <v>32</v>
      </c>
      <c r="O286" s="13">
        <v>46165</v>
      </c>
      <c r="Q286">
        <f t="shared" ca="1" si="20"/>
        <v>29</v>
      </c>
      <c r="R286">
        <f t="shared" si="21"/>
        <v>5</v>
      </c>
      <c r="S286">
        <f t="shared" ca="1" si="22"/>
        <v>-14</v>
      </c>
      <c r="T286" t="str">
        <f t="shared" ca="1" si="23"/>
        <v>On Track</v>
      </c>
      <c r="U286" t="str">
        <f t="shared" ca="1" si="24"/>
        <v>At Risk</v>
      </c>
    </row>
    <row r="287" spans="1:22">
      <c r="A287" t="s">
        <v>856</v>
      </c>
      <c r="B287" t="s">
        <v>129</v>
      </c>
      <c r="C287" t="s">
        <v>857</v>
      </c>
      <c r="D287" s="16">
        <v>3214.72</v>
      </c>
      <c r="E287" t="s">
        <v>111</v>
      </c>
      <c r="F287" t="s">
        <v>26</v>
      </c>
      <c r="G287" t="s">
        <v>858</v>
      </c>
      <c r="H287" t="s">
        <v>113</v>
      </c>
      <c r="I287" t="s">
        <v>29</v>
      </c>
      <c r="J287" s="13">
        <v>46187</v>
      </c>
      <c r="K287" s="17" t="s">
        <v>30</v>
      </c>
      <c r="L287" s="13">
        <v>46202</v>
      </c>
      <c r="M287" t="s">
        <v>65</v>
      </c>
      <c r="N287" t="s">
        <v>32</v>
      </c>
      <c r="Q287">
        <f t="shared" ca="1" si="20"/>
        <v>2</v>
      </c>
      <c r="R287" t="str">
        <f t="shared" si="21"/>
        <v/>
      </c>
      <c r="S287">
        <f t="shared" ca="1" si="22"/>
        <v>13</v>
      </c>
      <c r="T287" t="str">
        <f t="shared" ca="1" si="23"/>
        <v>On Track</v>
      </c>
      <c r="U287" t="str">
        <f t="shared" ca="1" si="24"/>
        <v>Normal</v>
      </c>
    </row>
    <row r="288" spans="1:22">
      <c r="A288" t="s">
        <v>859</v>
      </c>
      <c r="B288" t="s">
        <v>94</v>
      </c>
      <c r="C288" t="s">
        <v>860</v>
      </c>
      <c r="D288" s="16">
        <v>3913.14</v>
      </c>
      <c r="E288" t="s">
        <v>126</v>
      </c>
      <c r="F288" t="s">
        <v>26</v>
      </c>
      <c r="G288" t="s">
        <v>861</v>
      </c>
      <c r="H288" t="s">
        <v>241</v>
      </c>
      <c r="I288" t="s">
        <v>29</v>
      </c>
      <c r="J288" s="13">
        <v>46185</v>
      </c>
      <c r="K288" s="17" t="s">
        <v>49</v>
      </c>
      <c r="L288" s="13">
        <v>46230</v>
      </c>
      <c r="M288" t="s">
        <v>145</v>
      </c>
      <c r="N288" t="s">
        <v>32</v>
      </c>
      <c r="O288" s="13">
        <v>46189</v>
      </c>
      <c r="Q288">
        <f t="shared" ca="1" si="20"/>
        <v>4</v>
      </c>
      <c r="R288">
        <f t="shared" si="21"/>
        <v>4</v>
      </c>
      <c r="S288">
        <f t="shared" ca="1" si="22"/>
        <v>41</v>
      </c>
      <c r="T288" t="str">
        <f t="shared" ca="1" si="23"/>
        <v>On Track</v>
      </c>
      <c r="U288" t="str">
        <f t="shared" ca="1" si="24"/>
        <v>Normal</v>
      </c>
    </row>
    <row r="289" spans="1:22">
      <c r="A289" t="s">
        <v>862</v>
      </c>
      <c r="B289" t="s">
        <v>44</v>
      </c>
      <c r="C289" t="s">
        <v>863</v>
      </c>
      <c r="D289" s="16">
        <v>3331.24</v>
      </c>
      <c r="E289" t="s">
        <v>126</v>
      </c>
      <c r="F289" t="s">
        <v>38</v>
      </c>
      <c r="H289" t="s">
        <v>241</v>
      </c>
      <c r="I289" t="s">
        <v>29</v>
      </c>
      <c r="J289" s="13">
        <v>46169</v>
      </c>
      <c r="K289" s="17" t="s">
        <v>30</v>
      </c>
      <c r="L289" s="13">
        <v>46184</v>
      </c>
      <c r="M289" t="s">
        <v>31</v>
      </c>
      <c r="N289" t="s">
        <v>32</v>
      </c>
      <c r="O289" s="13">
        <v>46181</v>
      </c>
      <c r="P289" s="13">
        <v>46182</v>
      </c>
      <c r="Q289">
        <f t="shared" ca="1" si="20"/>
        <v>20</v>
      </c>
      <c r="R289">
        <f t="shared" si="21"/>
        <v>12</v>
      </c>
      <c r="S289">
        <f t="shared" ca="1" si="22"/>
        <v>-5</v>
      </c>
      <c r="T289" t="str">
        <f t="shared" ca="1" si="23"/>
        <v>On Track</v>
      </c>
      <c r="U289" t="str">
        <f t="shared" ca="1" si="24"/>
        <v>Normal</v>
      </c>
      <c r="V289" t="s">
        <v>33</v>
      </c>
    </row>
    <row r="290" spans="1:22">
      <c r="A290" t="s">
        <v>864</v>
      </c>
      <c r="B290" t="s">
        <v>137</v>
      </c>
      <c r="C290" t="s">
        <v>865</v>
      </c>
      <c r="D290" s="16">
        <v>70021.33</v>
      </c>
      <c r="E290" t="s">
        <v>142</v>
      </c>
      <c r="F290" t="s">
        <v>38</v>
      </c>
      <c r="H290" t="s">
        <v>121</v>
      </c>
      <c r="I290" t="s">
        <v>122</v>
      </c>
      <c r="J290" s="13">
        <v>46160</v>
      </c>
      <c r="K290" s="17" t="s">
        <v>49</v>
      </c>
      <c r="L290" s="13">
        <v>46205</v>
      </c>
      <c r="M290" t="s">
        <v>99</v>
      </c>
      <c r="N290" t="s">
        <v>32</v>
      </c>
      <c r="O290" s="13">
        <v>46167</v>
      </c>
      <c r="Q290">
        <f t="shared" ca="1" si="20"/>
        <v>29</v>
      </c>
      <c r="R290">
        <f t="shared" si="21"/>
        <v>7</v>
      </c>
      <c r="S290">
        <f t="shared" ca="1" si="22"/>
        <v>16</v>
      </c>
      <c r="T290" t="str">
        <f t="shared" ca="1" si="23"/>
        <v>On Track</v>
      </c>
      <c r="U290" t="str">
        <f t="shared" ca="1" si="24"/>
        <v>Normal</v>
      </c>
    </row>
    <row r="291" spans="1:22">
      <c r="A291" t="s">
        <v>866</v>
      </c>
      <c r="B291" t="s">
        <v>187</v>
      </c>
      <c r="C291" t="s">
        <v>867</v>
      </c>
      <c r="D291" s="16">
        <v>3347.44</v>
      </c>
      <c r="E291" t="s">
        <v>55</v>
      </c>
      <c r="F291" t="s">
        <v>38</v>
      </c>
      <c r="H291" t="s">
        <v>56</v>
      </c>
      <c r="I291" t="s">
        <v>29</v>
      </c>
      <c r="J291" s="13">
        <v>46185</v>
      </c>
      <c r="K291" s="17" t="s">
        <v>40</v>
      </c>
      <c r="L291" s="13">
        <v>46215</v>
      </c>
      <c r="M291" t="s">
        <v>41</v>
      </c>
      <c r="N291" t="s">
        <v>100</v>
      </c>
      <c r="Q291">
        <f t="shared" ca="1" si="20"/>
        <v>4</v>
      </c>
      <c r="R291" t="str">
        <f t="shared" si="21"/>
        <v/>
      </c>
      <c r="S291">
        <f t="shared" ca="1" si="22"/>
        <v>26</v>
      </c>
      <c r="T291" t="str">
        <f t="shared" ca="1" si="23"/>
        <v>On Track</v>
      </c>
      <c r="U291" t="str">
        <f t="shared" ca="1" si="24"/>
        <v>Normal</v>
      </c>
      <c r="V291" t="s">
        <v>101</v>
      </c>
    </row>
    <row r="292" spans="1:22">
      <c r="A292" t="s">
        <v>868</v>
      </c>
      <c r="B292" t="s">
        <v>115</v>
      </c>
      <c r="C292" t="s">
        <v>869</v>
      </c>
      <c r="D292" s="16">
        <v>82213.02</v>
      </c>
      <c r="E292" t="s">
        <v>69</v>
      </c>
      <c r="F292" t="s">
        <v>26</v>
      </c>
      <c r="G292" t="s">
        <v>870</v>
      </c>
      <c r="H292" t="s">
        <v>121</v>
      </c>
      <c r="I292" t="s">
        <v>122</v>
      </c>
      <c r="J292" s="13">
        <v>46158</v>
      </c>
      <c r="K292" s="17" t="s">
        <v>40</v>
      </c>
      <c r="L292" s="13">
        <v>46188</v>
      </c>
      <c r="M292" t="s">
        <v>31</v>
      </c>
      <c r="N292" t="s">
        <v>213</v>
      </c>
      <c r="O292" s="13">
        <v>46177</v>
      </c>
      <c r="P292" s="13">
        <v>46196</v>
      </c>
      <c r="Q292">
        <f t="shared" ca="1" si="20"/>
        <v>31</v>
      </c>
      <c r="R292">
        <f t="shared" si="21"/>
        <v>19</v>
      </c>
      <c r="S292">
        <f t="shared" ca="1" si="22"/>
        <v>-1</v>
      </c>
      <c r="T292" t="str">
        <f t="shared" ca="1" si="23"/>
        <v>On Track</v>
      </c>
      <c r="U292" t="str">
        <f t="shared" ca="1" si="24"/>
        <v>Normal</v>
      </c>
      <c r="V292" t="s">
        <v>107</v>
      </c>
    </row>
    <row r="293" spans="1:22">
      <c r="A293" t="s">
        <v>871</v>
      </c>
      <c r="B293" t="s">
        <v>118</v>
      </c>
      <c r="C293" t="s">
        <v>872</v>
      </c>
      <c r="D293" s="16">
        <v>694.09</v>
      </c>
      <c r="E293" t="s">
        <v>78</v>
      </c>
      <c r="F293" t="s">
        <v>26</v>
      </c>
      <c r="G293" t="s">
        <v>873</v>
      </c>
      <c r="H293" t="s">
        <v>80</v>
      </c>
      <c r="I293" t="s">
        <v>29</v>
      </c>
      <c r="J293" s="13">
        <v>46179</v>
      </c>
      <c r="K293" s="17" t="s">
        <v>57</v>
      </c>
      <c r="L293" s="13">
        <v>46209</v>
      </c>
      <c r="M293" t="s">
        <v>99</v>
      </c>
      <c r="N293" t="s">
        <v>100</v>
      </c>
      <c r="O293" s="13">
        <v>46189</v>
      </c>
      <c r="Q293">
        <f t="shared" ca="1" si="20"/>
        <v>10</v>
      </c>
      <c r="R293">
        <f t="shared" si="21"/>
        <v>10</v>
      </c>
      <c r="S293">
        <f t="shared" ca="1" si="22"/>
        <v>20</v>
      </c>
      <c r="T293" t="str">
        <f t="shared" ca="1" si="23"/>
        <v>On Track</v>
      </c>
      <c r="U293" t="str">
        <f t="shared" ca="1" si="24"/>
        <v>Normal</v>
      </c>
      <c r="V293" t="s">
        <v>101</v>
      </c>
    </row>
    <row r="294" spans="1:22">
      <c r="A294" t="s">
        <v>874</v>
      </c>
      <c r="B294" t="s">
        <v>76</v>
      </c>
      <c r="C294" t="s">
        <v>875</v>
      </c>
      <c r="D294" s="16">
        <v>4285.1400000000003</v>
      </c>
      <c r="E294" t="s">
        <v>156</v>
      </c>
      <c r="F294" t="s">
        <v>26</v>
      </c>
      <c r="G294" t="s">
        <v>876</v>
      </c>
      <c r="H294" t="s">
        <v>157</v>
      </c>
      <c r="I294" t="s">
        <v>29</v>
      </c>
      <c r="J294" s="13">
        <v>46162</v>
      </c>
      <c r="K294" s="17" t="s">
        <v>40</v>
      </c>
      <c r="L294" s="13">
        <v>46192</v>
      </c>
      <c r="M294" t="s">
        <v>145</v>
      </c>
      <c r="N294" t="s">
        <v>50</v>
      </c>
      <c r="O294" s="13">
        <v>46173</v>
      </c>
      <c r="Q294">
        <f t="shared" ca="1" si="20"/>
        <v>27</v>
      </c>
      <c r="R294">
        <f t="shared" si="21"/>
        <v>11</v>
      </c>
      <c r="S294">
        <f t="shared" ca="1" si="22"/>
        <v>3</v>
      </c>
      <c r="T294" t="str">
        <f t="shared" ca="1" si="23"/>
        <v>On Track</v>
      </c>
      <c r="U294" t="str">
        <f t="shared" ca="1" si="24"/>
        <v>At Risk</v>
      </c>
      <c r="V294" t="s">
        <v>51</v>
      </c>
    </row>
    <row r="295" spans="1:22">
      <c r="A295" t="s">
        <v>877</v>
      </c>
      <c r="B295" t="s">
        <v>115</v>
      </c>
      <c r="C295" t="s">
        <v>878</v>
      </c>
      <c r="D295" s="16">
        <v>4296.8900000000003</v>
      </c>
      <c r="E295" t="s">
        <v>37</v>
      </c>
      <c r="F295" t="s">
        <v>26</v>
      </c>
      <c r="G295" t="s">
        <v>879</v>
      </c>
      <c r="H295" t="s">
        <v>39</v>
      </c>
      <c r="I295" t="s">
        <v>29</v>
      </c>
      <c r="J295" s="13">
        <v>46187</v>
      </c>
      <c r="K295" s="17" t="s">
        <v>40</v>
      </c>
      <c r="L295" s="13">
        <v>46217</v>
      </c>
      <c r="M295" t="s">
        <v>41</v>
      </c>
      <c r="N295" t="s">
        <v>32</v>
      </c>
      <c r="Q295">
        <f t="shared" ca="1" si="20"/>
        <v>2</v>
      </c>
      <c r="R295" t="str">
        <f t="shared" si="21"/>
        <v/>
      </c>
      <c r="S295">
        <f t="shared" ca="1" si="22"/>
        <v>28</v>
      </c>
      <c r="T295" t="str">
        <f t="shared" ca="1" si="23"/>
        <v>On Track</v>
      </c>
      <c r="U295" t="str">
        <f t="shared" ca="1" si="24"/>
        <v>Normal</v>
      </c>
      <c r="V295" t="s">
        <v>42</v>
      </c>
    </row>
    <row r="296" spans="1:22">
      <c r="A296" t="s">
        <v>880</v>
      </c>
      <c r="B296" t="s">
        <v>222</v>
      </c>
      <c r="C296" t="s">
        <v>881</v>
      </c>
      <c r="D296" s="16">
        <v>49315.56</v>
      </c>
      <c r="E296" t="s">
        <v>46</v>
      </c>
      <c r="F296" t="s">
        <v>38</v>
      </c>
      <c r="H296" t="s">
        <v>121</v>
      </c>
      <c r="I296" t="s">
        <v>122</v>
      </c>
      <c r="J296" s="13">
        <v>46173</v>
      </c>
      <c r="K296" s="17" t="s">
        <v>57</v>
      </c>
      <c r="L296" s="13">
        <v>46203</v>
      </c>
      <c r="M296" t="s">
        <v>31</v>
      </c>
      <c r="N296" t="s">
        <v>32</v>
      </c>
      <c r="O296" s="13">
        <v>46182</v>
      </c>
      <c r="P296" s="13">
        <v>46184</v>
      </c>
      <c r="Q296">
        <f t="shared" ca="1" si="20"/>
        <v>16</v>
      </c>
      <c r="R296">
        <f t="shared" si="21"/>
        <v>9</v>
      </c>
      <c r="S296">
        <f t="shared" ca="1" si="22"/>
        <v>14</v>
      </c>
      <c r="T296" t="str">
        <f t="shared" ca="1" si="23"/>
        <v>On Track</v>
      </c>
      <c r="U296" t="str">
        <f t="shared" ca="1" si="24"/>
        <v>Normal</v>
      </c>
      <c r="V296" t="s">
        <v>33</v>
      </c>
    </row>
    <row r="297" spans="1:22">
      <c r="A297" t="s">
        <v>882</v>
      </c>
      <c r="B297" t="s">
        <v>23</v>
      </c>
      <c r="C297" t="s">
        <v>883</v>
      </c>
      <c r="D297" s="16">
        <v>1494.55</v>
      </c>
      <c r="E297" t="s">
        <v>302</v>
      </c>
      <c r="F297" t="s">
        <v>38</v>
      </c>
      <c r="H297" t="s">
        <v>304</v>
      </c>
      <c r="I297" t="s">
        <v>29</v>
      </c>
      <c r="J297" s="13">
        <v>46154</v>
      </c>
      <c r="K297" s="17" t="s">
        <v>57</v>
      </c>
      <c r="L297" s="13">
        <v>46184</v>
      </c>
      <c r="M297" t="s">
        <v>31</v>
      </c>
      <c r="N297" t="s">
        <v>32</v>
      </c>
      <c r="O297" s="13">
        <v>46159</v>
      </c>
      <c r="P297" s="13">
        <v>46165</v>
      </c>
      <c r="Q297">
        <f t="shared" ca="1" si="20"/>
        <v>35</v>
      </c>
      <c r="R297">
        <f t="shared" si="21"/>
        <v>5</v>
      </c>
      <c r="S297">
        <f t="shared" ca="1" si="22"/>
        <v>-5</v>
      </c>
      <c r="T297" t="str">
        <f t="shared" ca="1" si="23"/>
        <v>On Track</v>
      </c>
      <c r="U297" t="str">
        <f t="shared" ca="1" si="24"/>
        <v>Normal</v>
      </c>
      <c r="V297" t="s">
        <v>33</v>
      </c>
    </row>
    <row r="298" spans="1:22">
      <c r="A298" t="s">
        <v>884</v>
      </c>
      <c r="B298" t="s">
        <v>208</v>
      </c>
      <c r="C298" t="s">
        <v>885</v>
      </c>
      <c r="D298" s="16">
        <v>52140.49</v>
      </c>
      <c r="E298" t="s">
        <v>55</v>
      </c>
      <c r="F298" t="s">
        <v>26</v>
      </c>
      <c r="G298" t="s">
        <v>886</v>
      </c>
      <c r="H298" t="s">
        <v>121</v>
      </c>
      <c r="I298" t="s">
        <v>122</v>
      </c>
      <c r="J298" s="13">
        <v>46167</v>
      </c>
      <c r="K298" s="17" t="s">
        <v>30</v>
      </c>
      <c r="L298" s="13">
        <v>46182</v>
      </c>
      <c r="M298" t="s">
        <v>31</v>
      </c>
      <c r="N298" t="s">
        <v>179</v>
      </c>
      <c r="O298" s="13">
        <v>46177</v>
      </c>
      <c r="P298" s="13">
        <v>46183</v>
      </c>
      <c r="Q298">
        <f t="shared" ca="1" si="20"/>
        <v>22</v>
      </c>
      <c r="R298">
        <f t="shared" si="21"/>
        <v>10</v>
      </c>
      <c r="S298">
        <f t="shared" ca="1" si="22"/>
        <v>-7</v>
      </c>
      <c r="T298" t="str">
        <f t="shared" ca="1" si="23"/>
        <v>On Track</v>
      </c>
      <c r="U298" t="str">
        <f t="shared" ca="1" si="24"/>
        <v>Normal</v>
      </c>
      <c r="V298" t="s">
        <v>180</v>
      </c>
    </row>
    <row r="299" spans="1:22">
      <c r="A299" t="s">
        <v>887</v>
      </c>
      <c r="B299" t="s">
        <v>129</v>
      </c>
      <c r="C299" t="s">
        <v>888</v>
      </c>
      <c r="D299" s="16">
        <v>1816.79</v>
      </c>
      <c r="E299" t="s">
        <v>126</v>
      </c>
      <c r="F299" t="s">
        <v>26</v>
      </c>
      <c r="G299" t="s">
        <v>889</v>
      </c>
      <c r="H299" t="s">
        <v>241</v>
      </c>
      <c r="I299" t="s">
        <v>29</v>
      </c>
      <c r="J299" s="13">
        <v>46176</v>
      </c>
      <c r="K299" s="17" t="s">
        <v>49</v>
      </c>
      <c r="L299" s="13">
        <v>46221</v>
      </c>
      <c r="M299" t="s">
        <v>31</v>
      </c>
      <c r="N299" t="s">
        <v>32</v>
      </c>
      <c r="O299" s="13">
        <v>46178</v>
      </c>
      <c r="P299" s="13">
        <v>46181</v>
      </c>
      <c r="Q299">
        <f t="shared" ca="1" si="20"/>
        <v>13</v>
      </c>
      <c r="R299">
        <f t="shared" si="21"/>
        <v>2</v>
      </c>
      <c r="S299">
        <f t="shared" ca="1" si="22"/>
        <v>32</v>
      </c>
      <c r="T299" t="str">
        <f t="shared" ca="1" si="23"/>
        <v>On Track</v>
      </c>
      <c r="U299" t="str">
        <f t="shared" ca="1" si="24"/>
        <v>Normal</v>
      </c>
      <c r="V299" t="s">
        <v>33</v>
      </c>
    </row>
    <row r="300" spans="1:22">
      <c r="A300" t="s">
        <v>890</v>
      </c>
      <c r="B300" t="s">
        <v>76</v>
      </c>
      <c r="C300" t="s">
        <v>891</v>
      </c>
      <c r="D300" s="16">
        <v>1787.15</v>
      </c>
      <c r="E300" t="s">
        <v>78</v>
      </c>
      <c r="F300" t="s">
        <v>38</v>
      </c>
      <c r="H300" t="s">
        <v>80</v>
      </c>
      <c r="I300" t="s">
        <v>29</v>
      </c>
      <c r="J300" s="13">
        <v>46152</v>
      </c>
      <c r="K300" s="17" t="s">
        <v>49</v>
      </c>
      <c r="L300" s="13">
        <v>46197</v>
      </c>
      <c r="M300" t="s">
        <v>31</v>
      </c>
      <c r="N300" t="s">
        <v>100</v>
      </c>
      <c r="O300" s="13">
        <v>46172</v>
      </c>
      <c r="P300" s="13">
        <v>46179</v>
      </c>
      <c r="Q300">
        <f t="shared" ca="1" si="20"/>
        <v>37</v>
      </c>
      <c r="R300">
        <f t="shared" si="21"/>
        <v>20</v>
      </c>
      <c r="S300">
        <f t="shared" ca="1" si="22"/>
        <v>8</v>
      </c>
      <c r="T300" t="str">
        <f t="shared" ca="1" si="23"/>
        <v>On Track</v>
      </c>
      <c r="U300" t="str">
        <f t="shared" ca="1" si="24"/>
        <v>Normal</v>
      </c>
      <c r="V300" t="s">
        <v>101</v>
      </c>
    </row>
    <row r="301" spans="1:22">
      <c r="A301" t="s">
        <v>892</v>
      </c>
      <c r="B301" t="s">
        <v>94</v>
      </c>
      <c r="C301" t="s">
        <v>893</v>
      </c>
      <c r="D301" s="16">
        <v>4731.2</v>
      </c>
      <c r="E301" t="s">
        <v>126</v>
      </c>
      <c r="F301" t="s">
        <v>26</v>
      </c>
      <c r="G301" t="s">
        <v>894</v>
      </c>
      <c r="H301" t="s">
        <v>241</v>
      </c>
      <c r="I301" t="s">
        <v>29</v>
      </c>
      <c r="J301" s="13">
        <v>46181</v>
      </c>
      <c r="K301" s="17" t="s">
        <v>57</v>
      </c>
      <c r="L301" s="13">
        <v>46211</v>
      </c>
      <c r="M301" t="s">
        <v>99</v>
      </c>
      <c r="N301" t="s">
        <v>32</v>
      </c>
      <c r="O301" s="13">
        <v>46183</v>
      </c>
      <c r="Q301">
        <f t="shared" ca="1" si="20"/>
        <v>8</v>
      </c>
      <c r="R301">
        <f t="shared" si="21"/>
        <v>2</v>
      </c>
      <c r="S301">
        <f t="shared" ca="1" si="22"/>
        <v>22</v>
      </c>
      <c r="T301" t="str">
        <f t="shared" ca="1" si="23"/>
        <v>On Track</v>
      </c>
      <c r="U301" t="str">
        <f t="shared" ca="1" si="24"/>
        <v>Normal</v>
      </c>
    </row>
    <row r="302" spans="1:22">
      <c r="A302" t="s">
        <v>895</v>
      </c>
      <c r="B302" t="s">
        <v>44</v>
      </c>
      <c r="C302" t="s">
        <v>896</v>
      </c>
      <c r="D302" s="16">
        <v>2952.35</v>
      </c>
      <c r="E302" t="s">
        <v>78</v>
      </c>
      <c r="F302" t="s">
        <v>26</v>
      </c>
      <c r="G302" t="s">
        <v>897</v>
      </c>
      <c r="H302" t="s">
        <v>80</v>
      </c>
      <c r="I302" t="s">
        <v>29</v>
      </c>
      <c r="J302" s="13">
        <v>46185</v>
      </c>
      <c r="K302" s="17" t="s">
        <v>30</v>
      </c>
      <c r="L302" s="13">
        <v>46200</v>
      </c>
      <c r="M302" t="s">
        <v>41</v>
      </c>
      <c r="N302" t="s">
        <v>32</v>
      </c>
      <c r="Q302">
        <f t="shared" ca="1" si="20"/>
        <v>4</v>
      </c>
      <c r="R302" t="str">
        <f t="shared" si="21"/>
        <v/>
      </c>
      <c r="S302">
        <f t="shared" ca="1" si="22"/>
        <v>11</v>
      </c>
      <c r="T302" t="str">
        <f t="shared" ca="1" si="23"/>
        <v>On Track</v>
      </c>
      <c r="U302" t="str">
        <f t="shared" ca="1" si="24"/>
        <v>Normal</v>
      </c>
      <c r="V302" t="s">
        <v>42</v>
      </c>
    </row>
    <row r="303" spans="1:22">
      <c r="A303" t="s">
        <v>898</v>
      </c>
      <c r="B303" t="s">
        <v>53</v>
      </c>
      <c r="C303" t="s">
        <v>899</v>
      </c>
      <c r="D303" s="16">
        <v>3443.5</v>
      </c>
      <c r="E303" t="s">
        <v>78</v>
      </c>
      <c r="F303" t="s">
        <v>26</v>
      </c>
      <c r="G303" t="s">
        <v>900</v>
      </c>
      <c r="H303" t="s">
        <v>80</v>
      </c>
      <c r="I303" t="s">
        <v>29</v>
      </c>
      <c r="J303" s="13">
        <v>46184</v>
      </c>
      <c r="K303" s="17" t="s">
        <v>30</v>
      </c>
      <c r="L303" s="13">
        <v>46199</v>
      </c>
      <c r="M303" t="s">
        <v>65</v>
      </c>
      <c r="N303" t="s">
        <v>32</v>
      </c>
      <c r="Q303">
        <f t="shared" ca="1" si="20"/>
        <v>5</v>
      </c>
      <c r="R303" t="str">
        <f t="shared" si="21"/>
        <v/>
      </c>
      <c r="S303">
        <f t="shared" ca="1" si="22"/>
        <v>10</v>
      </c>
      <c r="T303" t="str">
        <f t="shared" ca="1" si="23"/>
        <v>On Track</v>
      </c>
      <c r="U303" t="str">
        <f t="shared" ca="1" si="24"/>
        <v>Normal</v>
      </c>
    </row>
    <row r="304" spans="1:22">
      <c r="A304" t="s">
        <v>901</v>
      </c>
      <c r="B304" t="s">
        <v>187</v>
      </c>
      <c r="C304" t="s">
        <v>902</v>
      </c>
      <c r="D304" s="16">
        <v>2155.66</v>
      </c>
      <c r="E304" t="s">
        <v>37</v>
      </c>
      <c r="F304" t="s">
        <v>38</v>
      </c>
      <c r="H304" t="s">
        <v>39</v>
      </c>
      <c r="I304" t="s">
        <v>29</v>
      </c>
      <c r="J304" s="13">
        <v>46176</v>
      </c>
      <c r="K304" s="17" t="s">
        <v>30</v>
      </c>
      <c r="L304" s="13">
        <v>46191</v>
      </c>
      <c r="M304" t="s">
        <v>41</v>
      </c>
      <c r="N304" t="s">
        <v>32</v>
      </c>
      <c r="Q304">
        <f t="shared" ca="1" si="20"/>
        <v>13</v>
      </c>
      <c r="R304" t="str">
        <f t="shared" si="21"/>
        <v/>
      </c>
      <c r="S304">
        <f t="shared" ca="1" si="22"/>
        <v>2</v>
      </c>
      <c r="T304" t="str">
        <f t="shared" ca="1" si="23"/>
        <v>Overdue</v>
      </c>
      <c r="U304" t="str">
        <f t="shared" ca="1" si="24"/>
        <v>At Risk</v>
      </c>
      <c r="V304" t="s">
        <v>42</v>
      </c>
    </row>
    <row r="305" spans="1:22">
      <c r="A305" t="s">
        <v>903</v>
      </c>
      <c r="B305" t="s">
        <v>44</v>
      </c>
      <c r="C305" t="s">
        <v>904</v>
      </c>
      <c r="D305" s="16">
        <v>50375.57</v>
      </c>
      <c r="E305" t="s">
        <v>78</v>
      </c>
      <c r="F305" t="s">
        <v>26</v>
      </c>
      <c r="G305" t="s">
        <v>905</v>
      </c>
      <c r="H305" t="s">
        <v>121</v>
      </c>
      <c r="I305" t="s">
        <v>122</v>
      </c>
      <c r="J305" s="13">
        <v>46146</v>
      </c>
      <c r="K305" s="17" t="s">
        <v>40</v>
      </c>
      <c r="L305" s="13">
        <v>46176</v>
      </c>
      <c r="M305" t="s">
        <v>31</v>
      </c>
      <c r="N305" t="s">
        <v>213</v>
      </c>
      <c r="O305" s="13">
        <v>46165</v>
      </c>
      <c r="P305" s="13">
        <v>46166</v>
      </c>
      <c r="Q305">
        <f t="shared" ca="1" si="20"/>
        <v>43</v>
      </c>
      <c r="R305">
        <f t="shared" si="21"/>
        <v>19</v>
      </c>
      <c r="S305">
        <f t="shared" ca="1" si="22"/>
        <v>-13</v>
      </c>
      <c r="T305" t="str">
        <f t="shared" ca="1" si="23"/>
        <v>On Track</v>
      </c>
      <c r="U305" t="str">
        <f t="shared" ca="1" si="24"/>
        <v>Normal</v>
      </c>
      <c r="V305" t="s">
        <v>214</v>
      </c>
    </row>
    <row r="306" spans="1:22">
      <c r="A306" t="s">
        <v>906</v>
      </c>
      <c r="B306" t="s">
        <v>137</v>
      </c>
      <c r="C306" t="s">
        <v>907</v>
      </c>
      <c r="D306" s="16">
        <v>18045.93</v>
      </c>
      <c r="E306" t="s">
        <v>25</v>
      </c>
      <c r="F306" t="s">
        <v>26</v>
      </c>
      <c r="G306" t="s">
        <v>908</v>
      </c>
      <c r="H306" t="s">
        <v>149</v>
      </c>
      <c r="I306" t="s">
        <v>92</v>
      </c>
      <c r="J306" s="13">
        <v>46176</v>
      </c>
      <c r="K306" s="17" t="s">
        <v>30</v>
      </c>
      <c r="L306" s="13">
        <v>46191</v>
      </c>
      <c r="M306" t="s">
        <v>65</v>
      </c>
      <c r="N306" t="s">
        <v>32</v>
      </c>
      <c r="Q306">
        <f t="shared" ca="1" si="20"/>
        <v>13</v>
      </c>
      <c r="R306" t="str">
        <f t="shared" si="21"/>
        <v/>
      </c>
      <c r="S306">
        <f t="shared" ca="1" si="22"/>
        <v>2</v>
      </c>
      <c r="T306" t="str">
        <f t="shared" ca="1" si="23"/>
        <v>On Track</v>
      </c>
      <c r="U306" t="str">
        <f t="shared" ca="1" si="24"/>
        <v>At Risk</v>
      </c>
    </row>
    <row r="307" spans="1:22">
      <c r="A307" t="s">
        <v>909</v>
      </c>
      <c r="B307" t="s">
        <v>129</v>
      </c>
      <c r="C307" t="s">
        <v>910</v>
      </c>
      <c r="D307" s="16">
        <v>46073.54</v>
      </c>
      <c r="E307" t="s">
        <v>62</v>
      </c>
      <c r="F307" t="s">
        <v>26</v>
      </c>
      <c r="G307" t="s">
        <v>911</v>
      </c>
      <c r="H307" t="s">
        <v>121</v>
      </c>
      <c r="I307" t="s">
        <v>122</v>
      </c>
      <c r="J307" s="13">
        <v>46155</v>
      </c>
      <c r="K307" s="17" t="s">
        <v>30</v>
      </c>
      <c r="L307" s="13">
        <v>46170</v>
      </c>
      <c r="M307" t="s">
        <v>31</v>
      </c>
      <c r="N307" t="s">
        <v>50</v>
      </c>
      <c r="O307" s="13">
        <v>46180</v>
      </c>
      <c r="P307" s="13">
        <v>46184</v>
      </c>
      <c r="Q307">
        <f t="shared" ca="1" si="20"/>
        <v>34</v>
      </c>
      <c r="R307">
        <f t="shared" si="21"/>
        <v>25</v>
      </c>
      <c r="S307">
        <f t="shared" ca="1" si="22"/>
        <v>-19</v>
      </c>
      <c r="T307" t="str">
        <f t="shared" ca="1" si="23"/>
        <v>On Track</v>
      </c>
      <c r="U307" t="str">
        <f t="shared" ca="1" si="24"/>
        <v>Normal</v>
      </c>
      <c r="V307" t="s">
        <v>51</v>
      </c>
    </row>
    <row r="308" spans="1:22">
      <c r="A308" t="s">
        <v>912</v>
      </c>
      <c r="B308" t="s">
        <v>53</v>
      </c>
      <c r="C308" t="s">
        <v>913</v>
      </c>
      <c r="D308" s="16">
        <v>22360.69</v>
      </c>
      <c r="E308" t="s">
        <v>25</v>
      </c>
      <c r="F308" t="s">
        <v>26</v>
      </c>
      <c r="G308" t="s">
        <v>914</v>
      </c>
      <c r="H308" t="s">
        <v>149</v>
      </c>
      <c r="I308" t="s">
        <v>92</v>
      </c>
      <c r="J308" s="13">
        <v>46186</v>
      </c>
      <c r="K308" s="17" t="s">
        <v>57</v>
      </c>
      <c r="L308" s="13">
        <v>46216</v>
      </c>
      <c r="M308" t="s">
        <v>99</v>
      </c>
      <c r="N308" t="s">
        <v>32</v>
      </c>
      <c r="O308" s="13">
        <v>46189</v>
      </c>
      <c r="Q308">
        <f t="shared" ca="1" si="20"/>
        <v>3</v>
      </c>
      <c r="R308">
        <f t="shared" si="21"/>
        <v>3</v>
      </c>
      <c r="S308">
        <f t="shared" ca="1" si="22"/>
        <v>27</v>
      </c>
      <c r="T308" t="str">
        <f t="shared" ca="1" si="23"/>
        <v>On Track</v>
      </c>
      <c r="U308" t="str">
        <f t="shared" ca="1" si="24"/>
        <v>Normal</v>
      </c>
    </row>
    <row r="309" spans="1:22">
      <c r="A309" t="s">
        <v>915</v>
      </c>
      <c r="B309" t="s">
        <v>76</v>
      </c>
      <c r="C309" t="s">
        <v>916</v>
      </c>
      <c r="D309" s="16">
        <v>1809.39</v>
      </c>
      <c r="E309" t="s">
        <v>25</v>
      </c>
      <c r="F309" t="s">
        <v>26</v>
      </c>
      <c r="G309" t="s">
        <v>917</v>
      </c>
      <c r="H309" t="s">
        <v>28</v>
      </c>
      <c r="I309" t="s">
        <v>29</v>
      </c>
      <c r="J309" s="13">
        <v>46173</v>
      </c>
      <c r="K309" s="17" t="s">
        <v>49</v>
      </c>
      <c r="L309" s="13">
        <v>46218</v>
      </c>
      <c r="M309" t="s">
        <v>99</v>
      </c>
      <c r="N309" t="s">
        <v>50</v>
      </c>
      <c r="O309" s="13">
        <v>46189</v>
      </c>
      <c r="Q309">
        <f t="shared" ca="1" si="20"/>
        <v>16</v>
      </c>
      <c r="R309">
        <f t="shared" si="21"/>
        <v>16</v>
      </c>
      <c r="S309">
        <f t="shared" ca="1" si="22"/>
        <v>29</v>
      </c>
      <c r="T309" t="str">
        <f t="shared" ca="1" si="23"/>
        <v>On Track</v>
      </c>
      <c r="U309" t="str">
        <f t="shared" ca="1" si="24"/>
        <v>Normal</v>
      </c>
      <c r="V309" t="s">
        <v>51</v>
      </c>
    </row>
    <row r="310" spans="1:22">
      <c r="A310" t="s">
        <v>918</v>
      </c>
      <c r="B310" t="s">
        <v>271</v>
      </c>
      <c r="C310" t="s">
        <v>919</v>
      </c>
      <c r="D310" s="16">
        <v>3555.17</v>
      </c>
      <c r="E310" t="s">
        <v>25</v>
      </c>
      <c r="F310" t="s">
        <v>38</v>
      </c>
      <c r="H310" t="s">
        <v>28</v>
      </c>
      <c r="I310" t="s">
        <v>29</v>
      </c>
      <c r="J310" s="13">
        <v>46154</v>
      </c>
      <c r="K310" s="17" t="s">
        <v>30</v>
      </c>
      <c r="L310" s="13">
        <v>46169</v>
      </c>
      <c r="M310" t="s">
        <v>31</v>
      </c>
      <c r="N310" t="s">
        <v>32</v>
      </c>
      <c r="O310" s="13">
        <v>46168</v>
      </c>
      <c r="P310" s="13">
        <v>46175</v>
      </c>
      <c r="Q310">
        <f t="shared" ca="1" si="20"/>
        <v>35</v>
      </c>
      <c r="R310">
        <f t="shared" si="21"/>
        <v>14</v>
      </c>
      <c r="S310">
        <f t="shared" ca="1" si="22"/>
        <v>-20</v>
      </c>
      <c r="T310" t="str">
        <f t="shared" ca="1" si="23"/>
        <v>On Track</v>
      </c>
      <c r="U310" t="str">
        <f t="shared" ca="1" si="24"/>
        <v>Normal</v>
      </c>
      <c r="V310" t="s">
        <v>33</v>
      </c>
    </row>
    <row r="311" spans="1:22">
      <c r="A311" t="s">
        <v>920</v>
      </c>
      <c r="B311" t="s">
        <v>187</v>
      </c>
      <c r="C311" t="s">
        <v>921</v>
      </c>
      <c r="D311" s="16">
        <v>22159.03</v>
      </c>
      <c r="E311" t="s">
        <v>302</v>
      </c>
      <c r="F311" t="s">
        <v>38</v>
      </c>
      <c r="H311" t="s">
        <v>429</v>
      </c>
      <c r="I311" t="s">
        <v>92</v>
      </c>
      <c r="J311" s="13">
        <v>46152</v>
      </c>
      <c r="K311" s="17" t="s">
        <v>40</v>
      </c>
      <c r="L311" s="13">
        <v>46182</v>
      </c>
      <c r="M311" t="s">
        <v>31</v>
      </c>
      <c r="N311" t="s">
        <v>213</v>
      </c>
      <c r="O311" s="13">
        <v>46169</v>
      </c>
      <c r="P311" s="13">
        <v>46172</v>
      </c>
      <c r="Q311">
        <f t="shared" ca="1" si="20"/>
        <v>37</v>
      </c>
      <c r="R311">
        <f t="shared" si="21"/>
        <v>17</v>
      </c>
      <c r="S311">
        <f t="shared" ca="1" si="22"/>
        <v>-7</v>
      </c>
      <c r="T311" t="str">
        <f t="shared" ca="1" si="23"/>
        <v>On Track</v>
      </c>
      <c r="U311" t="str">
        <f t="shared" ca="1" si="24"/>
        <v>Normal</v>
      </c>
      <c r="V311" t="s">
        <v>214</v>
      </c>
    </row>
    <row r="312" spans="1:22">
      <c r="A312" t="s">
        <v>922</v>
      </c>
      <c r="B312" t="s">
        <v>73</v>
      </c>
      <c r="C312" t="s">
        <v>923</v>
      </c>
      <c r="D312" s="16">
        <v>3334.58</v>
      </c>
      <c r="E312" t="s">
        <v>302</v>
      </c>
      <c r="F312" t="s">
        <v>38</v>
      </c>
      <c r="H312" t="s">
        <v>304</v>
      </c>
      <c r="I312" t="s">
        <v>29</v>
      </c>
      <c r="J312" s="13">
        <v>46180</v>
      </c>
      <c r="K312" s="17" t="s">
        <v>57</v>
      </c>
      <c r="L312" s="13">
        <v>46210</v>
      </c>
      <c r="M312" t="s">
        <v>41</v>
      </c>
      <c r="N312" t="s">
        <v>100</v>
      </c>
      <c r="Q312">
        <f t="shared" ca="1" si="20"/>
        <v>9</v>
      </c>
      <c r="R312" t="str">
        <f t="shared" si="21"/>
        <v/>
      </c>
      <c r="S312">
        <f t="shared" ca="1" si="22"/>
        <v>21</v>
      </c>
      <c r="T312" t="str">
        <f t="shared" ca="1" si="23"/>
        <v>Overdue</v>
      </c>
      <c r="U312" t="str">
        <f t="shared" ca="1" si="24"/>
        <v>Normal</v>
      </c>
      <c r="V312" t="s">
        <v>101</v>
      </c>
    </row>
    <row r="313" spans="1:22">
      <c r="A313" t="s">
        <v>924</v>
      </c>
      <c r="B313" t="s">
        <v>251</v>
      </c>
      <c r="C313" t="s">
        <v>925</v>
      </c>
      <c r="D313" s="16">
        <v>3168.39</v>
      </c>
      <c r="E313" t="s">
        <v>142</v>
      </c>
      <c r="F313" t="s">
        <v>26</v>
      </c>
      <c r="G313" t="s">
        <v>926</v>
      </c>
      <c r="H313" t="s">
        <v>335</v>
      </c>
      <c r="I313" t="s">
        <v>29</v>
      </c>
      <c r="J313" s="13">
        <v>46179</v>
      </c>
      <c r="K313" s="17" t="s">
        <v>30</v>
      </c>
      <c r="L313" s="13">
        <v>46194</v>
      </c>
      <c r="M313" t="s">
        <v>145</v>
      </c>
      <c r="N313" t="s">
        <v>32</v>
      </c>
      <c r="O313" s="13">
        <v>46182</v>
      </c>
      <c r="Q313">
        <f t="shared" ca="1" si="20"/>
        <v>10</v>
      </c>
      <c r="R313">
        <f t="shared" si="21"/>
        <v>3</v>
      </c>
      <c r="S313">
        <f t="shared" ca="1" si="22"/>
        <v>5</v>
      </c>
      <c r="T313" t="str">
        <f t="shared" ca="1" si="23"/>
        <v>On Track</v>
      </c>
      <c r="U313" t="str">
        <f t="shared" ca="1" si="24"/>
        <v>At Risk</v>
      </c>
    </row>
    <row r="314" spans="1:22">
      <c r="A314" t="s">
        <v>927</v>
      </c>
      <c r="B314" t="s">
        <v>251</v>
      </c>
      <c r="C314" t="s">
        <v>928</v>
      </c>
      <c r="D314" s="16">
        <v>2487</v>
      </c>
      <c r="E314" t="s">
        <v>46</v>
      </c>
      <c r="F314" t="s">
        <v>26</v>
      </c>
      <c r="G314" t="s">
        <v>929</v>
      </c>
      <c r="H314" t="s">
        <v>48</v>
      </c>
      <c r="I314" t="s">
        <v>29</v>
      </c>
      <c r="J314" s="13">
        <v>46147</v>
      </c>
      <c r="K314" s="17" t="s">
        <v>57</v>
      </c>
      <c r="L314" s="13">
        <v>46177</v>
      </c>
      <c r="M314" t="s">
        <v>31</v>
      </c>
      <c r="N314" t="s">
        <v>32</v>
      </c>
      <c r="O314" s="13">
        <v>46154</v>
      </c>
      <c r="P314" s="13">
        <v>46156</v>
      </c>
      <c r="Q314">
        <f t="shared" ca="1" si="20"/>
        <v>42</v>
      </c>
      <c r="R314">
        <f t="shared" si="21"/>
        <v>7</v>
      </c>
      <c r="S314">
        <f t="shared" ca="1" si="22"/>
        <v>-12</v>
      </c>
      <c r="T314" t="str">
        <f t="shared" ca="1" si="23"/>
        <v>On Track</v>
      </c>
      <c r="U314" t="str">
        <f t="shared" ca="1" si="24"/>
        <v>Normal</v>
      </c>
      <c r="V314" t="s">
        <v>33</v>
      </c>
    </row>
    <row r="315" spans="1:22">
      <c r="A315" t="s">
        <v>930</v>
      </c>
      <c r="B315" t="s">
        <v>124</v>
      </c>
      <c r="C315" t="s">
        <v>931</v>
      </c>
      <c r="D315" s="16">
        <v>13737.92</v>
      </c>
      <c r="E315" t="s">
        <v>62</v>
      </c>
      <c r="F315" t="s">
        <v>38</v>
      </c>
      <c r="H315" t="s">
        <v>106</v>
      </c>
      <c r="I315" t="s">
        <v>92</v>
      </c>
      <c r="J315" s="13">
        <v>46172</v>
      </c>
      <c r="K315" s="17" t="s">
        <v>49</v>
      </c>
      <c r="L315" s="13">
        <v>46217</v>
      </c>
      <c r="M315" t="s">
        <v>99</v>
      </c>
      <c r="N315" t="s">
        <v>32</v>
      </c>
      <c r="O315" s="13">
        <v>46176</v>
      </c>
      <c r="Q315">
        <f t="shared" ca="1" si="20"/>
        <v>17</v>
      </c>
      <c r="R315">
        <f t="shared" si="21"/>
        <v>4</v>
      </c>
      <c r="S315">
        <f t="shared" ca="1" si="22"/>
        <v>28</v>
      </c>
      <c r="T315" t="str">
        <f t="shared" ca="1" si="23"/>
        <v>On Track</v>
      </c>
      <c r="U315" t="str">
        <f t="shared" ca="1" si="24"/>
        <v>Normal</v>
      </c>
    </row>
    <row r="316" spans="1:22">
      <c r="A316" t="s">
        <v>932</v>
      </c>
      <c r="B316" t="s">
        <v>67</v>
      </c>
      <c r="C316" t="s">
        <v>933</v>
      </c>
      <c r="D316" s="16">
        <v>663.57</v>
      </c>
      <c r="E316" t="s">
        <v>78</v>
      </c>
      <c r="F316" t="s">
        <v>38</v>
      </c>
      <c r="H316" t="s">
        <v>80</v>
      </c>
      <c r="I316" t="s">
        <v>29</v>
      </c>
      <c r="J316" s="13">
        <v>46183</v>
      </c>
      <c r="K316" s="17" t="s">
        <v>49</v>
      </c>
      <c r="L316" s="13">
        <v>46228</v>
      </c>
      <c r="M316" t="s">
        <v>41</v>
      </c>
      <c r="N316" t="s">
        <v>179</v>
      </c>
      <c r="Q316">
        <f t="shared" ca="1" si="20"/>
        <v>6</v>
      </c>
      <c r="R316" t="str">
        <f t="shared" si="21"/>
        <v/>
      </c>
      <c r="S316">
        <f t="shared" ca="1" si="22"/>
        <v>39</v>
      </c>
      <c r="T316" t="str">
        <f t="shared" ca="1" si="23"/>
        <v>Overdue</v>
      </c>
      <c r="U316" t="str">
        <f t="shared" ca="1" si="24"/>
        <v>Normal</v>
      </c>
      <c r="V316" t="s">
        <v>180</v>
      </c>
    </row>
    <row r="317" spans="1:22">
      <c r="A317" t="s">
        <v>934</v>
      </c>
      <c r="B317" t="s">
        <v>129</v>
      </c>
      <c r="C317" t="s">
        <v>935</v>
      </c>
      <c r="D317" s="16">
        <v>3741.74</v>
      </c>
      <c r="E317" t="s">
        <v>62</v>
      </c>
      <c r="F317" t="s">
        <v>26</v>
      </c>
      <c r="G317" t="s">
        <v>936</v>
      </c>
      <c r="H317" t="s">
        <v>64</v>
      </c>
      <c r="I317" t="s">
        <v>29</v>
      </c>
      <c r="J317" s="13">
        <v>46186</v>
      </c>
      <c r="K317" s="17" t="s">
        <v>49</v>
      </c>
      <c r="L317" s="13">
        <v>46231</v>
      </c>
      <c r="M317" t="s">
        <v>41</v>
      </c>
      <c r="N317" t="s">
        <v>32</v>
      </c>
      <c r="Q317">
        <f t="shared" ca="1" si="20"/>
        <v>3</v>
      </c>
      <c r="R317" t="str">
        <f t="shared" si="21"/>
        <v/>
      </c>
      <c r="S317">
        <f t="shared" ca="1" si="22"/>
        <v>42</v>
      </c>
      <c r="T317" t="str">
        <f t="shared" ca="1" si="23"/>
        <v>On Track</v>
      </c>
      <c r="U317" t="str">
        <f t="shared" ca="1" si="24"/>
        <v>Normal</v>
      </c>
      <c r="V317" t="s">
        <v>42</v>
      </c>
    </row>
    <row r="318" spans="1:22">
      <c r="A318" t="s">
        <v>937</v>
      </c>
      <c r="B318" t="s">
        <v>129</v>
      </c>
      <c r="C318" t="s">
        <v>938</v>
      </c>
      <c r="D318" s="16">
        <v>4025.97</v>
      </c>
      <c r="E318" t="s">
        <v>302</v>
      </c>
      <c r="F318" t="s">
        <v>38</v>
      </c>
      <c r="H318" t="s">
        <v>304</v>
      </c>
      <c r="I318" t="s">
        <v>29</v>
      </c>
      <c r="J318" s="13">
        <v>46162</v>
      </c>
      <c r="K318" s="17" t="s">
        <v>49</v>
      </c>
      <c r="L318" s="13">
        <v>46207</v>
      </c>
      <c r="M318" t="s">
        <v>31</v>
      </c>
      <c r="N318" t="s">
        <v>58</v>
      </c>
      <c r="O318" s="13">
        <v>46183</v>
      </c>
      <c r="P318" s="13">
        <v>46189</v>
      </c>
      <c r="Q318">
        <f t="shared" ca="1" si="20"/>
        <v>27</v>
      </c>
      <c r="R318">
        <f t="shared" si="21"/>
        <v>21</v>
      </c>
      <c r="S318">
        <f t="shared" ca="1" si="22"/>
        <v>18</v>
      </c>
      <c r="T318" t="str">
        <f t="shared" ca="1" si="23"/>
        <v>On Track</v>
      </c>
      <c r="U318" t="str">
        <f t="shared" ca="1" si="24"/>
        <v>Normal</v>
      </c>
      <c r="V318" t="s">
        <v>59</v>
      </c>
    </row>
    <row r="319" spans="1:22">
      <c r="A319" t="s">
        <v>939</v>
      </c>
      <c r="B319" t="s">
        <v>53</v>
      </c>
      <c r="C319" t="s">
        <v>940</v>
      </c>
      <c r="D319" s="16">
        <v>1103.32</v>
      </c>
      <c r="E319" t="s">
        <v>156</v>
      </c>
      <c r="F319" t="s">
        <v>38</v>
      </c>
      <c r="H319" t="s">
        <v>157</v>
      </c>
      <c r="I319" t="s">
        <v>29</v>
      </c>
      <c r="J319" s="13">
        <v>46169</v>
      </c>
      <c r="K319" s="17" t="s">
        <v>57</v>
      </c>
      <c r="L319" s="13">
        <v>46199</v>
      </c>
      <c r="M319" t="s">
        <v>31</v>
      </c>
      <c r="N319" t="s">
        <v>32</v>
      </c>
      <c r="O319" s="13">
        <v>46176</v>
      </c>
      <c r="P319" s="13">
        <v>46177</v>
      </c>
      <c r="Q319">
        <f t="shared" ca="1" si="20"/>
        <v>20</v>
      </c>
      <c r="R319">
        <f t="shared" si="21"/>
        <v>7</v>
      </c>
      <c r="S319">
        <f t="shared" ca="1" si="22"/>
        <v>10</v>
      </c>
      <c r="T319" t="str">
        <f t="shared" ca="1" si="23"/>
        <v>On Track</v>
      </c>
      <c r="U319" t="str">
        <f t="shared" ca="1" si="24"/>
        <v>Normal</v>
      </c>
      <c r="V319" t="s">
        <v>33</v>
      </c>
    </row>
    <row r="320" spans="1:22">
      <c r="A320" t="s">
        <v>941</v>
      </c>
      <c r="B320" t="s">
        <v>118</v>
      </c>
      <c r="C320" t="s">
        <v>942</v>
      </c>
      <c r="D320" s="16">
        <v>4307.4799999999996</v>
      </c>
      <c r="E320" t="s">
        <v>37</v>
      </c>
      <c r="F320" t="s">
        <v>26</v>
      </c>
      <c r="G320" t="s">
        <v>943</v>
      </c>
      <c r="H320" t="s">
        <v>39</v>
      </c>
      <c r="I320" t="s">
        <v>29</v>
      </c>
      <c r="J320" s="13">
        <v>46176</v>
      </c>
      <c r="K320" s="17" t="s">
        <v>57</v>
      </c>
      <c r="L320" s="13">
        <v>46206</v>
      </c>
      <c r="M320" t="s">
        <v>41</v>
      </c>
      <c r="N320" t="s">
        <v>100</v>
      </c>
      <c r="Q320">
        <f t="shared" ca="1" si="20"/>
        <v>13</v>
      </c>
      <c r="R320" t="str">
        <f t="shared" si="21"/>
        <v/>
      </c>
      <c r="S320">
        <f t="shared" ca="1" si="22"/>
        <v>17</v>
      </c>
      <c r="T320" t="str">
        <f t="shared" ca="1" si="23"/>
        <v>Overdue</v>
      </c>
      <c r="U320" t="str">
        <f t="shared" ca="1" si="24"/>
        <v>Normal</v>
      </c>
      <c r="V320" t="s">
        <v>101</v>
      </c>
    </row>
    <row r="321" spans="1:22">
      <c r="A321" t="s">
        <v>944</v>
      </c>
      <c r="B321" t="s">
        <v>168</v>
      </c>
      <c r="C321" t="s">
        <v>945</v>
      </c>
      <c r="D321" s="16">
        <v>2562.91</v>
      </c>
      <c r="E321" t="s">
        <v>37</v>
      </c>
      <c r="F321" t="s">
        <v>38</v>
      </c>
      <c r="H321" t="s">
        <v>39</v>
      </c>
      <c r="I321" t="s">
        <v>29</v>
      </c>
      <c r="J321" s="13">
        <v>46155</v>
      </c>
      <c r="K321" s="17" t="s">
        <v>57</v>
      </c>
      <c r="L321" s="13">
        <v>46185</v>
      </c>
      <c r="M321" t="s">
        <v>65</v>
      </c>
      <c r="N321" t="s">
        <v>50</v>
      </c>
      <c r="Q321">
        <f t="shared" ca="1" si="20"/>
        <v>34</v>
      </c>
      <c r="R321" t="str">
        <f t="shared" si="21"/>
        <v/>
      </c>
      <c r="S321">
        <f t="shared" ca="1" si="22"/>
        <v>-4</v>
      </c>
      <c r="T321" t="str">
        <f t="shared" ca="1" si="23"/>
        <v>On Track</v>
      </c>
      <c r="U321" t="str">
        <f t="shared" ca="1" si="24"/>
        <v>At Risk</v>
      </c>
      <c r="V321" t="s">
        <v>51</v>
      </c>
    </row>
    <row r="322" spans="1:22">
      <c r="A322" t="s">
        <v>946</v>
      </c>
      <c r="B322" t="s">
        <v>129</v>
      </c>
      <c r="C322" t="s">
        <v>947</v>
      </c>
      <c r="D322" s="16">
        <v>1810.01</v>
      </c>
      <c r="E322" t="s">
        <v>156</v>
      </c>
      <c r="F322" t="s">
        <v>26</v>
      </c>
      <c r="G322" t="s">
        <v>948</v>
      </c>
      <c r="H322" t="s">
        <v>157</v>
      </c>
      <c r="I322" t="s">
        <v>29</v>
      </c>
      <c r="J322" s="13">
        <v>46152</v>
      </c>
      <c r="K322" s="17" t="s">
        <v>57</v>
      </c>
      <c r="L322" s="13">
        <v>46182</v>
      </c>
      <c r="M322" t="s">
        <v>99</v>
      </c>
      <c r="N322" t="s">
        <v>32</v>
      </c>
      <c r="O322" s="13">
        <v>46157</v>
      </c>
      <c r="Q322">
        <f t="shared" ref="Q322:Q385" ca="1" si="25">IF(J322="","",TODAY()-J322)</f>
        <v>37</v>
      </c>
      <c r="R322">
        <f t="shared" ref="R322:R385" si="26">IF(O322="","",O322-J322)</f>
        <v>5</v>
      </c>
      <c r="S322">
        <f t="shared" ref="S322:S385" ca="1" si="27">IF(L322="","",L322-TODAY())</f>
        <v>-7</v>
      </c>
      <c r="T322" t="str">
        <f t="shared" ref="T322:T385" ca="1" si="28">IF(AND(M322="Pending Approval",Q322&gt;5),"Overdue","On Track")</f>
        <v>On Track</v>
      </c>
      <c r="U322" t="str">
        <f t="shared" ref="U322:U385" ca="1" si="29">IF(AND(M322&lt;&gt;"Paid",S322&lt;=5),"At Risk","Normal")</f>
        <v>At Risk</v>
      </c>
    </row>
    <row r="323" spans="1:22">
      <c r="A323" t="s">
        <v>949</v>
      </c>
      <c r="B323" t="s">
        <v>73</v>
      </c>
      <c r="C323" t="s">
        <v>950</v>
      </c>
      <c r="D323" s="16">
        <v>15794.84</v>
      </c>
      <c r="E323" t="s">
        <v>69</v>
      </c>
      <c r="F323" t="s">
        <v>26</v>
      </c>
      <c r="G323" t="s">
        <v>951</v>
      </c>
      <c r="H323" t="s">
        <v>178</v>
      </c>
      <c r="I323" t="s">
        <v>92</v>
      </c>
      <c r="J323" s="13">
        <v>46183</v>
      </c>
      <c r="K323" s="17" t="s">
        <v>49</v>
      </c>
      <c r="L323" s="13">
        <v>46228</v>
      </c>
      <c r="M323" t="s">
        <v>99</v>
      </c>
      <c r="N323" t="s">
        <v>32</v>
      </c>
      <c r="O323" s="13">
        <v>46186</v>
      </c>
      <c r="Q323">
        <f t="shared" ca="1" si="25"/>
        <v>6</v>
      </c>
      <c r="R323">
        <f t="shared" si="26"/>
        <v>3</v>
      </c>
      <c r="S323">
        <f t="shared" ca="1" si="27"/>
        <v>39</v>
      </c>
      <c r="T323" t="str">
        <f t="shared" ca="1" si="28"/>
        <v>On Track</v>
      </c>
      <c r="U323" t="str">
        <f t="shared" ca="1" si="29"/>
        <v>Normal</v>
      </c>
    </row>
    <row r="324" spans="1:22">
      <c r="A324" t="s">
        <v>952</v>
      </c>
      <c r="B324" t="s">
        <v>271</v>
      </c>
      <c r="C324" t="s">
        <v>953</v>
      </c>
      <c r="D324" s="16">
        <v>3147.79</v>
      </c>
      <c r="E324" t="s">
        <v>78</v>
      </c>
      <c r="F324" t="s">
        <v>38</v>
      </c>
      <c r="H324" t="s">
        <v>80</v>
      </c>
      <c r="I324" t="s">
        <v>29</v>
      </c>
      <c r="J324" s="13">
        <v>46166</v>
      </c>
      <c r="K324" s="17" t="s">
        <v>40</v>
      </c>
      <c r="L324" s="13">
        <v>46196</v>
      </c>
      <c r="M324" t="s">
        <v>145</v>
      </c>
      <c r="N324" t="s">
        <v>32</v>
      </c>
      <c r="O324" s="13">
        <v>46176</v>
      </c>
      <c r="Q324">
        <f t="shared" ca="1" si="25"/>
        <v>23</v>
      </c>
      <c r="R324">
        <f t="shared" si="26"/>
        <v>10</v>
      </c>
      <c r="S324">
        <f t="shared" ca="1" si="27"/>
        <v>7</v>
      </c>
      <c r="T324" t="str">
        <f t="shared" ca="1" si="28"/>
        <v>On Track</v>
      </c>
      <c r="U324" t="str">
        <f t="shared" ca="1" si="29"/>
        <v>Normal</v>
      </c>
    </row>
    <row r="325" spans="1:22">
      <c r="A325" t="s">
        <v>954</v>
      </c>
      <c r="B325" t="s">
        <v>94</v>
      </c>
      <c r="C325" t="s">
        <v>955</v>
      </c>
      <c r="D325" s="16">
        <v>1982.96</v>
      </c>
      <c r="E325" t="s">
        <v>78</v>
      </c>
      <c r="F325" t="s">
        <v>26</v>
      </c>
      <c r="G325" t="s">
        <v>956</v>
      </c>
      <c r="H325" t="s">
        <v>80</v>
      </c>
      <c r="I325" t="s">
        <v>29</v>
      </c>
      <c r="J325" s="13">
        <v>46156</v>
      </c>
      <c r="K325" s="17" t="s">
        <v>49</v>
      </c>
      <c r="L325" s="13">
        <v>46201</v>
      </c>
      <c r="M325" t="s">
        <v>31</v>
      </c>
      <c r="N325" t="s">
        <v>32</v>
      </c>
      <c r="O325" s="13">
        <v>46161</v>
      </c>
      <c r="P325" s="13">
        <v>46163</v>
      </c>
      <c r="Q325">
        <f t="shared" ca="1" si="25"/>
        <v>33</v>
      </c>
      <c r="R325">
        <f t="shared" si="26"/>
        <v>5</v>
      </c>
      <c r="S325">
        <f t="shared" ca="1" si="27"/>
        <v>12</v>
      </c>
      <c r="T325" t="str">
        <f t="shared" ca="1" si="28"/>
        <v>On Track</v>
      </c>
      <c r="U325" t="str">
        <f t="shared" ca="1" si="29"/>
        <v>Normal</v>
      </c>
      <c r="V325" t="s">
        <v>33</v>
      </c>
    </row>
    <row r="326" spans="1:22">
      <c r="A326" t="s">
        <v>957</v>
      </c>
      <c r="B326" t="s">
        <v>82</v>
      </c>
      <c r="C326" t="s">
        <v>958</v>
      </c>
      <c r="D326" s="16">
        <v>8978.02</v>
      </c>
      <c r="E326" t="s">
        <v>69</v>
      </c>
      <c r="F326" t="s">
        <v>26</v>
      </c>
      <c r="G326" t="s">
        <v>959</v>
      </c>
      <c r="H326" t="s">
        <v>178</v>
      </c>
      <c r="I326" t="s">
        <v>92</v>
      </c>
      <c r="J326" s="13">
        <v>46172</v>
      </c>
      <c r="K326" s="17" t="s">
        <v>30</v>
      </c>
      <c r="L326" s="13">
        <v>46187</v>
      </c>
      <c r="M326" t="s">
        <v>41</v>
      </c>
      <c r="N326" t="s">
        <v>32</v>
      </c>
      <c r="Q326">
        <f t="shared" ca="1" si="25"/>
        <v>17</v>
      </c>
      <c r="R326" t="str">
        <f t="shared" si="26"/>
        <v/>
      </c>
      <c r="S326">
        <f t="shared" ca="1" si="27"/>
        <v>-2</v>
      </c>
      <c r="T326" t="str">
        <f t="shared" ca="1" si="28"/>
        <v>Overdue</v>
      </c>
      <c r="U326" t="str">
        <f t="shared" ca="1" si="29"/>
        <v>At Risk</v>
      </c>
      <c r="V326" t="s">
        <v>42</v>
      </c>
    </row>
    <row r="327" spans="1:22">
      <c r="A327" t="s">
        <v>960</v>
      </c>
      <c r="B327" t="s">
        <v>208</v>
      </c>
      <c r="C327" t="s">
        <v>961</v>
      </c>
      <c r="D327" s="16">
        <v>3875.59</v>
      </c>
      <c r="E327" t="s">
        <v>126</v>
      </c>
      <c r="F327" t="s">
        <v>38</v>
      </c>
      <c r="H327" t="s">
        <v>241</v>
      </c>
      <c r="I327" t="s">
        <v>29</v>
      </c>
      <c r="J327" s="13">
        <v>46188</v>
      </c>
      <c r="K327" s="17" t="s">
        <v>30</v>
      </c>
      <c r="L327" s="13">
        <v>46203</v>
      </c>
      <c r="M327" t="s">
        <v>99</v>
      </c>
      <c r="N327" t="s">
        <v>213</v>
      </c>
      <c r="O327" s="13">
        <v>46189</v>
      </c>
      <c r="Q327">
        <f t="shared" ca="1" si="25"/>
        <v>1</v>
      </c>
      <c r="R327">
        <f t="shared" si="26"/>
        <v>1</v>
      </c>
      <c r="S327">
        <f t="shared" ca="1" si="27"/>
        <v>14</v>
      </c>
      <c r="T327" t="str">
        <f t="shared" ca="1" si="28"/>
        <v>On Track</v>
      </c>
      <c r="U327" t="str">
        <f t="shared" ca="1" si="29"/>
        <v>Normal</v>
      </c>
      <c r="V327" t="s">
        <v>214</v>
      </c>
    </row>
    <row r="328" spans="1:22">
      <c r="A328" t="s">
        <v>962</v>
      </c>
      <c r="B328" t="s">
        <v>67</v>
      </c>
      <c r="C328" t="s">
        <v>963</v>
      </c>
      <c r="D328" s="16">
        <v>1393.6</v>
      </c>
      <c r="E328" t="s">
        <v>302</v>
      </c>
      <c r="F328" t="s">
        <v>38</v>
      </c>
      <c r="H328" t="s">
        <v>304</v>
      </c>
      <c r="I328" t="s">
        <v>29</v>
      </c>
      <c r="J328" s="13">
        <v>46172</v>
      </c>
      <c r="K328" s="17" t="s">
        <v>57</v>
      </c>
      <c r="L328" s="13">
        <v>46202</v>
      </c>
      <c r="M328" t="s">
        <v>41</v>
      </c>
      <c r="N328" t="s">
        <v>213</v>
      </c>
      <c r="Q328">
        <f t="shared" ca="1" si="25"/>
        <v>17</v>
      </c>
      <c r="R328" t="str">
        <f t="shared" si="26"/>
        <v/>
      </c>
      <c r="S328">
        <f t="shared" ca="1" si="27"/>
        <v>13</v>
      </c>
      <c r="T328" t="str">
        <f t="shared" ca="1" si="28"/>
        <v>Overdue</v>
      </c>
      <c r="U328" t="str">
        <f t="shared" ca="1" si="29"/>
        <v>Normal</v>
      </c>
      <c r="V328" t="s">
        <v>214</v>
      </c>
    </row>
    <row r="329" spans="1:22">
      <c r="A329" t="s">
        <v>964</v>
      </c>
      <c r="B329" t="s">
        <v>151</v>
      </c>
      <c r="C329" t="s">
        <v>965</v>
      </c>
      <c r="D329" s="16">
        <v>3356.1</v>
      </c>
      <c r="E329" t="s">
        <v>62</v>
      </c>
      <c r="F329" t="s">
        <v>26</v>
      </c>
      <c r="G329" t="s">
        <v>966</v>
      </c>
      <c r="H329" t="s">
        <v>64</v>
      </c>
      <c r="I329" t="s">
        <v>29</v>
      </c>
      <c r="J329" s="13">
        <v>46176</v>
      </c>
      <c r="K329" s="17" t="s">
        <v>30</v>
      </c>
      <c r="L329" s="13">
        <v>46191</v>
      </c>
      <c r="M329" t="s">
        <v>31</v>
      </c>
      <c r="N329" t="s">
        <v>32</v>
      </c>
      <c r="O329" s="13">
        <v>46185</v>
      </c>
      <c r="P329" s="13">
        <v>46188</v>
      </c>
      <c r="Q329">
        <f t="shared" ca="1" si="25"/>
        <v>13</v>
      </c>
      <c r="R329">
        <f t="shared" si="26"/>
        <v>9</v>
      </c>
      <c r="S329">
        <f t="shared" ca="1" si="27"/>
        <v>2</v>
      </c>
      <c r="T329" t="str">
        <f t="shared" ca="1" si="28"/>
        <v>On Track</v>
      </c>
      <c r="U329" t="str">
        <f t="shared" ca="1" si="29"/>
        <v>Normal</v>
      </c>
      <c r="V329" t="s">
        <v>33</v>
      </c>
    </row>
    <row r="330" spans="1:22">
      <c r="A330" t="s">
        <v>967</v>
      </c>
      <c r="B330" t="s">
        <v>271</v>
      </c>
      <c r="C330" t="s">
        <v>968</v>
      </c>
      <c r="D330" s="16">
        <v>5110.08</v>
      </c>
      <c r="E330" t="s">
        <v>37</v>
      </c>
      <c r="F330" t="s">
        <v>26</v>
      </c>
      <c r="G330" t="s">
        <v>969</v>
      </c>
      <c r="H330" t="s">
        <v>815</v>
      </c>
      <c r="I330" t="s">
        <v>92</v>
      </c>
      <c r="J330" s="13">
        <v>46146</v>
      </c>
      <c r="K330" s="17" t="s">
        <v>57</v>
      </c>
      <c r="L330" s="13">
        <v>46176</v>
      </c>
      <c r="M330" t="s">
        <v>41</v>
      </c>
      <c r="N330" t="s">
        <v>100</v>
      </c>
      <c r="Q330">
        <f t="shared" ca="1" si="25"/>
        <v>43</v>
      </c>
      <c r="R330" t="str">
        <f t="shared" si="26"/>
        <v/>
      </c>
      <c r="S330">
        <f t="shared" ca="1" si="27"/>
        <v>-13</v>
      </c>
      <c r="T330" t="str">
        <f t="shared" ca="1" si="28"/>
        <v>Overdue</v>
      </c>
      <c r="U330" t="str">
        <f t="shared" ca="1" si="29"/>
        <v>At Risk</v>
      </c>
      <c r="V330" t="s">
        <v>101</v>
      </c>
    </row>
    <row r="331" spans="1:22">
      <c r="A331" t="s">
        <v>970</v>
      </c>
      <c r="B331" t="s">
        <v>118</v>
      </c>
      <c r="C331" t="s">
        <v>971</v>
      </c>
      <c r="D331" s="16">
        <v>2855.68</v>
      </c>
      <c r="E331" t="s">
        <v>156</v>
      </c>
      <c r="F331" t="s">
        <v>26</v>
      </c>
      <c r="G331" t="s">
        <v>972</v>
      </c>
      <c r="H331" t="s">
        <v>157</v>
      </c>
      <c r="I331" t="s">
        <v>29</v>
      </c>
      <c r="J331" s="13">
        <v>46189</v>
      </c>
      <c r="K331" s="17" t="s">
        <v>49</v>
      </c>
      <c r="L331" s="13">
        <v>46234</v>
      </c>
      <c r="M331" t="s">
        <v>65</v>
      </c>
      <c r="N331" t="s">
        <v>32</v>
      </c>
      <c r="Q331">
        <f t="shared" ca="1" si="25"/>
        <v>0</v>
      </c>
      <c r="R331" t="str">
        <f t="shared" si="26"/>
        <v/>
      </c>
      <c r="S331">
        <f t="shared" ca="1" si="27"/>
        <v>45</v>
      </c>
      <c r="T331" t="str">
        <f t="shared" ca="1" si="28"/>
        <v>On Track</v>
      </c>
      <c r="U331" t="str">
        <f t="shared" ca="1" si="29"/>
        <v>Normal</v>
      </c>
    </row>
    <row r="332" spans="1:22">
      <c r="A332" t="s">
        <v>973</v>
      </c>
      <c r="B332" t="s">
        <v>35</v>
      </c>
      <c r="C332" t="s">
        <v>974</v>
      </c>
      <c r="D332" s="16">
        <v>2693.51</v>
      </c>
      <c r="E332" t="s">
        <v>46</v>
      </c>
      <c r="F332" t="s">
        <v>26</v>
      </c>
      <c r="G332" t="s">
        <v>975</v>
      </c>
      <c r="H332" t="s">
        <v>48</v>
      </c>
      <c r="I332" t="s">
        <v>29</v>
      </c>
      <c r="J332" s="13">
        <v>46157</v>
      </c>
      <c r="K332" s="17" t="s">
        <v>49</v>
      </c>
      <c r="L332" s="13">
        <v>46202</v>
      </c>
      <c r="M332" t="s">
        <v>31</v>
      </c>
      <c r="N332" t="s">
        <v>32</v>
      </c>
      <c r="O332" s="13">
        <v>46162</v>
      </c>
      <c r="P332" s="13">
        <v>46169</v>
      </c>
      <c r="Q332">
        <f t="shared" ca="1" si="25"/>
        <v>32</v>
      </c>
      <c r="R332">
        <f t="shared" si="26"/>
        <v>5</v>
      </c>
      <c r="S332">
        <f t="shared" ca="1" si="27"/>
        <v>13</v>
      </c>
      <c r="T332" t="str">
        <f t="shared" ca="1" si="28"/>
        <v>On Track</v>
      </c>
      <c r="U332" t="str">
        <f t="shared" ca="1" si="29"/>
        <v>Normal</v>
      </c>
      <c r="V332" t="s">
        <v>33</v>
      </c>
    </row>
    <row r="333" spans="1:22">
      <c r="A333" t="s">
        <v>976</v>
      </c>
      <c r="B333" t="s">
        <v>35</v>
      </c>
      <c r="C333" t="s">
        <v>977</v>
      </c>
      <c r="D333" s="16">
        <v>82746.34</v>
      </c>
      <c r="E333" t="s">
        <v>62</v>
      </c>
      <c r="F333" t="s">
        <v>38</v>
      </c>
      <c r="H333" t="s">
        <v>121</v>
      </c>
      <c r="I333" t="s">
        <v>122</v>
      </c>
      <c r="J333" s="13">
        <v>46144</v>
      </c>
      <c r="K333" s="17" t="s">
        <v>30</v>
      </c>
      <c r="L333" s="13">
        <v>46159</v>
      </c>
      <c r="M333" t="s">
        <v>31</v>
      </c>
      <c r="N333" t="s">
        <v>32</v>
      </c>
      <c r="O333" s="13">
        <v>46153</v>
      </c>
      <c r="P333" s="13">
        <v>46156</v>
      </c>
      <c r="Q333">
        <f t="shared" ca="1" si="25"/>
        <v>45</v>
      </c>
      <c r="R333">
        <f t="shared" si="26"/>
        <v>9</v>
      </c>
      <c r="S333">
        <f t="shared" ca="1" si="27"/>
        <v>-30</v>
      </c>
      <c r="T333" t="str">
        <f t="shared" ca="1" si="28"/>
        <v>On Track</v>
      </c>
      <c r="U333" t="str">
        <f t="shared" ca="1" si="29"/>
        <v>Normal</v>
      </c>
      <c r="V333" t="s">
        <v>33</v>
      </c>
    </row>
    <row r="334" spans="1:22">
      <c r="A334" t="s">
        <v>978</v>
      </c>
      <c r="B334" t="s">
        <v>53</v>
      </c>
      <c r="C334" t="s">
        <v>979</v>
      </c>
      <c r="D334" s="16">
        <v>3544.09</v>
      </c>
      <c r="E334" t="s">
        <v>55</v>
      </c>
      <c r="F334" t="s">
        <v>26</v>
      </c>
      <c r="G334" t="s">
        <v>980</v>
      </c>
      <c r="H334" t="s">
        <v>56</v>
      </c>
      <c r="I334" t="s">
        <v>29</v>
      </c>
      <c r="J334" s="13">
        <v>46167</v>
      </c>
      <c r="K334" s="17" t="s">
        <v>40</v>
      </c>
      <c r="L334" s="13">
        <v>46197</v>
      </c>
      <c r="M334" t="s">
        <v>41</v>
      </c>
      <c r="N334" t="s">
        <v>32</v>
      </c>
      <c r="Q334">
        <f t="shared" ca="1" si="25"/>
        <v>22</v>
      </c>
      <c r="R334" t="str">
        <f t="shared" si="26"/>
        <v/>
      </c>
      <c r="S334">
        <f t="shared" ca="1" si="27"/>
        <v>8</v>
      </c>
      <c r="T334" t="str">
        <f t="shared" ca="1" si="28"/>
        <v>Overdue</v>
      </c>
      <c r="U334" t="str">
        <f t="shared" ca="1" si="29"/>
        <v>Normal</v>
      </c>
      <c r="V334" t="s">
        <v>42</v>
      </c>
    </row>
    <row r="335" spans="1:22">
      <c r="A335" t="s">
        <v>981</v>
      </c>
      <c r="B335" t="s">
        <v>73</v>
      </c>
      <c r="C335" t="s">
        <v>982</v>
      </c>
      <c r="D335" s="16">
        <v>686.6</v>
      </c>
      <c r="E335" t="s">
        <v>78</v>
      </c>
      <c r="F335" t="s">
        <v>38</v>
      </c>
      <c r="H335" t="s">
        <v>80</v>
      </c>
      <c r="I335" t="s">
        <v>29</v>
      </c>
      <c r="J335" s="13">
        <v>46178</v>
      </c>
      <c r="K335" s="17" t="s">
        <v>30</v>
      </c>
      <c r="L335" s="13">
        <v>46193</v>
      </c>
      <c r="M335" t="s">
        <v>65</v>
      </c>
      <c r="N335" t="s">
        <v>32</v>
      </c>
      <c r="Q335">
        <f t="shared" ca="1" si="25"/>
        <v>11</v>
      </c>
      <c r="R335" t="str">
        <f t="shared" si="26"/>
        <v/>
      </c>
      <c r="S335">
        <f t="shared" ca="1" si="27"/>
        <v>4</v>
      </c>
      <c r="T335" t="str">
        <f t="shared" ca="1" si="28"/>
        <v>On Track</v>
      </c>
      <c r="U335" t="str">
        <f t="shared" ca="1" si="29"/>
        <v>At Risk</v>
      </c>
    </row>
    <row r="336" spans="1:22">
      <c r="A336" t="s">
        <v>983</v>
      </c>
      <c r="B336" t="s">
        <v>67</v>
      </c>
      <c r="C336" t="s">
        <v>984</v>
      </c>
      <c r="D336" s="16">
        <v>19456.810000000001</v>
      </c>
      <c r="E336" t="s">
        <v>69</v>
      </c>
      <c r="F336" t="s">
        <v>26</v>
      </c>
      <c r="G336" t="s">
        <v>985</v>
      </c>
      <c r="H336" t="s">
        <v>178</v>
      </c>
      <c r="I336" t="s">
        <v>92</v>
      </c>
      <c r="J336" s="13">
        <v>46148</v>
      </c>
      <c r="K336" s="17" t="s">
        <v>57</v>
      </c>
      <c r="L336" s="13">
        <v>46178</v>
      </c>
      <c r="M336" t="s">
        <v>31</v>
      </c>
      <c r="N336" t="s">
        <v>32</v>
      </c>
      <c r="O336" s="13">
        <v>46154</v>
      </c>
      <c r="P336" s="13">
        <v>46155</v>
      </c>
      <c r="Q336">
        <f t="shared" ca="1" si="25"/>
        <v>41</v>
      </c>
      <c r="R336">
        <f t="shared" si="26"/>
        <v>6</v>
      </c>
      <c r="S336">
        <f t="shared" ca="1" si="27"/>
        <v>-11</v>
      </c>
      <c r="T336" t="str">
        <f t="shared" ca="1" si="28"/>
        <v>On Track</v>
      </c>
      <c r="U336" t="str">
        <f t="shared" ca="1" si="29"/>
        <v>Normal</v>
      </c>
      <c r="V336" t="s">
        <v>33</v>
      </c>
    </row>
    <row r="337" spans="1:22">
      <c r="A337" t="s">
        <v>986</v>
      </c>
      <c r="B337" t="s">
        <v>271</v>
      </c>
      <c r="C337" t="s">
        <v>987</v>
      </c>
      <c r="D337" s="16">
        <v>2866.08</v>
      </c>
      <c r="E337" t="s">
        <v>156</v>
      </c>
      <c r="F337" t="s">
        <v>26</v>
      </c>
      <c r="G337" t="s">
        <v>988</v>
      </c>
      <c r="H337" t="s">
        <v>157</v>
      </c>
      <c r="I337" t="s">
        <v>29</v>
      </c>
      <c r="J337" s="13">
        <v>46170</v>
      </c>
      <c r="K337" s="17" t="s">
        <v>40</v>
      </c>
      <c r="L337" s="13">
        <v>46200</v>
      </c>
      <c r="M337" t="s">
        <v>99</v>
      </c>
      <c r="N337" t="s">
        <v>32</v>
      </c>
      <c r="O337" s="13">
        <v>46177</v>
      </c>
      <c r="Q337">
        <f t="shared" ca="1" si="25"/>
        <v>19</v>
      </c>
      <c r="R337">
        <f t="shared" si="26"/>
        <v>7</v>
      </c>
      <c r="S337">
        <f t="shared" ca="1" si="27"/>
        <v>11</v>
      </c>
      <c r="T337" t="str">
        <f t="shared" ca="1" si="28"/>
        <v>On Track</v>
      </c>
      <c r="U337" t="str">
        <f t="shared" ca="1" si="29"/>
        <v>Normal</v>
      </c>
    </row>
    <row r="338" spans="1:22">
      <c r="A338" t="s">
        <v>989</v>
      </c>
      <c r="B338" t="s">
        <v>208</v>
      </c>
      <c r="C338" t="s">
        <v>990</v>
      </c>
      <c r="D338" s="16">
        <v>276.83999999999997</v>
      </c>
      <c r="E338" t="s">
        <v>111</v>
      </c>
      <c r="F338" t="s">
        <v>38</v>
      </c>
      <c r="H338" t="s">
        <v>113</v>
      </c>
      <c r="I338" t="s">
        <v>29</v>
      </c>
      <c r="J338" s="13">
        <v>46148</v>
      </c>
      <c r="K338" s="17" t="s">
        <v>30</v>
      </c>
      <c r="L338" s="13">
        <v>46163</v>
      </c>
      <c r="M338" t="s">
        <v>31</v>
      </c>
      <c r="N338" t="s">
        <v>100</v>
      </c>
      <c r="O338" s="13">
        <v>46162</v>
      </c>
      <c r="P338" s="13">
        <v>46167</v>
      </c>
      <c r="Q338">
        <f t="shared" ca="1" si="25"/>
        <v>41</v>
      </c>
      <c r="R338">
        <f t="shared" si="26"/>
        <v>14</v>
      </c>
      <c r="S338">
        <f t="shared" ca="1" si="27"/>
        <v>-26</v>
      </c>
      <c r="T338" t="str">
        <f t="shared" ca="1" si="28"/>
        <v>On Track</v>
      </c>
      <c r="U338" t="str">
        <f t="shared" ca="1" si="29"/>
        <v>Normal</v>
      </c>
      <c r="V338" t="s">
        <v>101</v>
      </c>
    </row>
    <row r="339" spans="1:22">
      <c r="A339" t="s">
        <v>991</v>
      </c>
      <c r="B339" t="s">
        <v>151</v>
      </c>
      <c r="C339" t="s">
        <v>992</v>
      </c>
      <c r="D339" s="16">
        <v>3990.66</v>
      </c>
      <c r="E339" t="s">
        <v>62</v>
      </c>
      <c r="F339" t="s">
        <v>26</v>
      </c>
      <c r="G339" t="s">
        <v>993</v>
      </c>
      <c r="H339" t="s">
        <v>64</v>
      </c>
      <c r="I339" t="s">
        <v>29</v>
      </c>
      <c r="J339" s="13">
        <v>46178</v>
      </c>
      <c r="K339" s="17" t="s">
        <v>57</v>
      </c>
      <c r="L339" s="13">
        <v>46208</v>
      </c>
      <c r="M339" t="s">
        <v>41</v>
      </c>
      <c r="N339" t="s">
        <v>32</v>
      </c>
      <c r="Q339">
        <f t="shared" ca="1" si="25"/>
        <v>11</v>
      </c>
      <c r="R339" t="str">
        <f t="shared" si="26"/>
        <v/>
      </c>
      <c r="S339">
        <f t="shared" ca="1" si="27"/>
        <v>19</v>
      </c>
      <c r="T339" t="str">
        <f t="shared" ca="1" si="28"/>
        <v>Overdue</v>
      </c>
      <c r="U339" t="str">
        <f t="shared" ca="1" si="29"/>
        <v>Normal</v>
      </c>
      <c r="V339" t="s">
        <v>42</v>
      </c>
    </row>
    <row r="340" spans="1:22">
      <c r="A340" t="s">
        <v>994</v>
      </c>
      <c r="B340" t="s">
        <v>67</v>
      </c>
      <c r="C340" t="s">
        <v>995</v>
      </c>
      <c r="D340" s="16">
        <v>35513.25</v>
      </c>
      <c r="E340" t="s">
        <v>156</v>
      </c>
      <c r="F340" t="s">
        <v>38</v>
      </c>
      <c r="H340" t="s">
        <v>121</v>
      </c>
      <c r="I340" t="s">
        <v>122</v>
      </c>
      <c r="J340" s="13">
        <v>46185</v>
      </c>
      <c r="K340" s="17" t="s">
        <v>49</v>
      </c>
      <c r="L340" s="13">
        <v>46230</v>
      </c>
      <c r="M340" t="s">
        <v>41</v>
      </c>
      <c r="N340" t="s">
        <v>100</v>
      </c>
      <c r="Q340">
        <f t="shared" ca="1" si="25"/>
        <v>4</v>
      </c>
      <c r="R340" t="str">
        <f t="shared" si="26"/>
        <v/>
      </c>
      <c r="S340">
        <f t="shared" ca="1" si="27"/>
        <v>41</v>
      </c>
      <c r="T340" t="str">
        <f t="shared" ca="1" si="28"/>
        <v>On Track</v>
      </c>
      <c r="U340" t="str">
        <f t="shared" ca="1" si="29"/>
        <v>Normal</v>
      </c>
      <c r="V340" t="s">
        <v>101</v>
      </c>
    </row>
    <row r="341" spans="1:22">
      <c r="A341" t="s">
        <v>996</v>
      </c>
      <c r="B341" t="s">
        <v>187</v>
      </c>
      <c r="C341" t="s">
        <v>997</v>
      </c>
      <c r="D341" s="16">
        <v>4558.76</v>
      </c>
      <c r="E341" t="s">
        <v>55</v>
      </c>
      <c r="F341" t="s">
        <v>26</v>
      </c>
      <c r="G341" t="s">
        <v>998</v>
      </c>
      <c r="H341" t="s">
        <v>56</v>
      </c>
      <c r="I341" t="s">
        <v>29</v>
      </c>
      <c r="J341" s="13">
        <v>46166</v>
      </c>
      <c r="K341" s="17" t="s">
        <v>57</v>
      </c>
      <c r="L341" s="13">
        <v>46196</v>
      </c>
      <c r="M341" t="s">
        <v>31</v>
      </c>
      <c r="N341" t="s">
        <v>32</v>
      </c>
      <c r="O341" s="13">
        <v>46169</v>
      </c>
      <c r="P341" s="13">
        <v>46171</v>
      </c>
      <c r="Q341">
        <f t="shared" ca="1" si="25"/>
        <v>23</v>
      </c>
      <c r="R341">
        <f t="shared" si="26"/>
        <v>3</v>
      </c>
      <c r="S341">
        <f t="shared" ca="1" si="27"/>
        <v>7</v>
      </c>
      <c r="T341" t="str">
        <f t="shared" ca="1" si="28"/>
        <v>On Track</v>
      </c>
      <c r="U341" t="str">
        <f t="shared" ca="1" si="29"/>
        <v>Normal</v>
      </c>
      <c r="V341" t="s">
        <v>33</v>
      </c>
    </row>
    <row r="342" spans="1:22">
      <c r="A342" t="s">
        <v>999</v>
      </c>
      <c r="B342" t="s">
        <v>44</v>
      </c>
      <c r="C342" t="s">
        <v>1000</v>
      </c>
      <c r="D342" s="16">
        <v>3302.95</v>
      </c>
      <c r="E342" t="s">
        <v>126</v>
      </c>
      <c r="F342" t="s">
        <v>26</v>
      </c>
      <c r="G342" t="s">
        <v>1001</v>
      </c>
      <c r="H342" t="s">
        <v>241</v>
      </c>
      <c r="I342" t="s">
        <v>29</v>
      </c>
      <c r="J342" s="13">
        <v>46179</v>
      </c>
      <c r="K342" s="17" t="s">
        <v>40</v>
      </c>
      <c r="L342" s="13">
        <v>46209</v>
      </c>
      <c r="M342" t="s">
        <v>31</v>
      </c>
      <c r="N342" t="s">
        <v>32</v>
      </c>
      <c r="O342" s="13">
        <v>46182</v>
      </c>
      <c r="P342" s="13">
        <v>46183</v>
      </c>
      <c r="Q342">
        <f t="shared" ca="1" si="25"/>
        <v>10</v>
      </c>
      <c r="R342">
        <f t="shared" si="26"/>
        <v>3</v>
      </c>
      <c r="S342">
        <f t="shared" ca="1" si="27"/>
        <v>20</v>
      </c>
      <c r="T342" t="str">
        <f t="shared" ca="1" si="28"/>
        <v>On Track</v>
      </c>
      <c r="U342" t="str">
        <f t="shared" ca="1" si="29"/>
        <v>Normal</v>
      </c>
      <c r="V342" t="s">
        <v>33</v>
      </c>
    </row>
    <row r="343" spans="1:22">
      <c r="A343" t="s">
        <v>1002</v>
      </c>
      <c r="B343" t="s">
        <v>53</v>
      </c>
      <c r="C343" t="s">
        <v>1003</v>
      </c>
      <c r="D343" s="16">
        <v>14500.21</v>
      </c>
      <c r="E343" t="s">
        <v>126</v>
      </c>
      <c r="F343" t="s">
        <v>26</v>
      </c>
      <c r="G343" t="s">
        <v>1004</v>
      </c>
      <c r="H343" t="s">
        <v>127</v>
      </c>
      <c r="I343" t="s">
        <v>92</v>
      </c>
      <c r="J343" s="13">
        <v>46186</v>
      </c>
      <c r="K343" s="17" t="s">
        <v>57</v>
      </c>
      <c r="L343" s="13">
        <v>46216</v>
      </c>
      <c r="M343" t="s">
        <v>99</v>
      </c>
      <c r="N343" t="s">
        <v>32</v>
      </c>
      <c r="O343" s="13">
        <v>46189</v>
      </c>
      <c r="Q343">
        <f t="shared" ca="1" si="25"/>
        <v>3</v>
      </c>
      <c r="R343">
        <f t="shared" si="26"/>
        <v>3</v>
      </c>
      <c r="S343">
        <f t="shared" ca="1" si="27"/>
        <v>27</v>
      </c>
      <c r="T343" t="str">
        <f t="shared" ca="1" si="28"/>
        <v>On Track</v>
      </c>
      <c r="U343" t="str">
        <f t="shared" ca="1" si="29"/>
        <v>Normal</v>
      </c>
    </row>
    <row r="344" spans="1:22">
      <c r="A344" t="s">
        <v>1005</v>
      </c>
      <c r="B344" t="s">
        <v>251</v>
      </c>
      <c r="C344" t="s">
        <v>1006</v>
      </c>
      <c r="D344" s="16">
        <v>3250.37</v>
      </c>
      <c r="E344" t="s">
        <v>62</v>
      </c>
      <c r="F344" t="s">
        <v>38</v>
      </c>
      <c r="H344" t="s">
        <v>64</v>
      </c>
      <c r="I344" t="s">
        <v>29</v>
      </c>
      <c r="J344" s="13">
        <v>46153</v>
      </c>
      <c r="K344" s="17" t="s">
        <v>49</v>
      </c>
      <c r="L344" s="13">
        <v>46198</v>
      </c>
      <c r="M344" t="s">
        <v>31</v>
      </c>
      <c r="N344" t="s">
        <v>58</v>
      </c>
      <c r="O344" s="13">
        <v>46167</v>
      </c>
      <c r="P344" s="13">
        <v>46174</v>
      </c>
      <c r="Q344">
        <f t="shared" ca="1" si="25"/>
        <v>36</v>
      </c>
      <c r="R344">
        <f t="shared" si="26"/>
        <v>14</v>
      </c>
      <c r="S344">
        <f t="shared" ca="1" si="27"/>
        <v>9</v>
      </c>
      <c r="T344" t="str">
        <f t="shared" ca="1" si="28"/>
        <v>On Track</v>
      </c>
      <c r="U344" t="str">
        <f t="shared" ca="1" si="29"/>
        <v>Normal</v>
      </c>
      <c r="V344" t="s">
        <v>59</v>
      </c>
    </row>
    <row r="345" spans="1:22">
      <c r="A345" t="s">
        <v>1007</v>
      </c>
      <c r="B345" t="s">
        <v>109</v>
      </c>
      <c r="C345" t="s">
        <v>1008</v>
      </c>
      <c r="D345" s="16">
        <v>1508.89</v>
      </c>
      <c r="E345" t="s">
        <v>69</v>
      </c>
      <c r="F345" t="s">
        <v>26</v>
      </c>
      <c r="G345" t="s">
        <v>1009</v>
      </c>
      <c r="H345" t="s">
        <v>71</v>
      </c>
      <c r="I345" t="s">
        <v>29</v>
      </c>
      <c r="J345" s="13">
        <v>46165</v>
      </c>
      <c r="K345" s="17" t="s">
        <v>40</v>
      </c>
      <c r="L345" s="13">
        <v>46195</v>
      </c>
      <c r="M345" t="s">
        <v>31</v>
      </c>
      <c r="N345" t="s">
        <v>32</v>
      </c>
      <c r="O345" s="13">
        <v>46171</v>
      </c>
      <c r="P345" s="13">
        <v>46199</v>
      </c>
      <c r="Q345">
        <f t="shared" ca="1" si="25"/>
        <v>24</v>
      </c>
      <c r="R345">
        <f t="shared" si="26"/>
        <v>6</v>
      </c>
      <c r="S345">
        <f t="shared" ca="1" si="27"/>
        <v>6</v>
      </c>
      <c r="T345" t="str">
        <f t="shared" ca="1" si="28"/>
        <v>On Track</v>
      </c>
      <c r="U345" t="str">
        <f t="shared" ca="1" si="29"/>
        <v>Normal</v>
      </c>
      <c r="V345" t="s">
        <v>107</v>
      </c>
    </row>
    <row r="346" spans="1:22">
      <c r="A346" t="s">
        <v>1010</v>
      </c>
      <c r="B346" t="s">
        <v>53</v>
      </c>
      <c r="C346" t="s">
        <v>1011</v>
      </c>
      <c r="D346" s="16">
        <v>622.98</v>
      </c>
      <c r="E346" t="s">
        <v>46</v>
      </c>
      <c r="F346" t="s">
        <v>26</v>
      </c>
      <c r="G346" t="s">
        <v>926</v>
      </c>
      <c r="H346" t="s">
        <v>48</v>
      </c>
      <c r="I346" t="s">
        <v>29</v>
      </c>
      <c r="J346" s="13">
        <v>46152</v>
      </c>
      <c r="K346" s="17" t="s">
        <v>57</v>
      </c>
      <c r="L346" s="13">
        <v>46182</v>
      </c>
      <c r="M346" t="s">
        <v>31</v>
      </c>
      <c r="N346" t="s">
        <v>32</v>
      </c>
      <c r="O346" s="13">
        <v>46154</v>
      </c>
      <c r="P346" s="13">
        <v>46155</v>
      </c>
      <c r="Q346">
        <f t="shared" ca="1" si="25"/>
        <v>37</v>
      </c>
      <c r="R346">
        <f t="shared" si="26"/>
        <v>2</v>
      </c>
      <c r="S346">
        <f t="shared" ca="1" si="27"/>
        <v>-7</v>
      </c>
      <c r="T346" t="str">
        <f t="shared" ca="1" si="28"/>
        <v>On Track</v>
      </c>
      <c r="U346" t="str">
        <f t="shared" ca="1" si="29"/>
        <v>Normal</v>
      </c>
      <c r="V346" t="s">
        <v>33</v>
      </c>
    </row>
    <row r="347" spans="1:22">
      <c r="A347" t="s">
        <v>1012</v>
      </c>
      <c r="B347" t="s">
        <v>35</v>
      </c>
      <c r="C347" t="s">
        <v>1013</v>
      </c>
      <c r="D347" s="16">
        <v>2897.6</v>
      </c>
      <c r="E347" t="s">
        <v>111</v>
      </c>
      <c r="F347" t="s">
        <v>26</v>
      </c>
      <c r="G347" t="s">
        <v>1014</v>
      </c>
      <c r="H347" t="s">
        <v>113</v>
      </c>
      <c r="I347" t="s">
        <v>29</v>
      </c>
      <c r="J347" s="13">
        <v>46157</v>
      </c>
      <c r="K347" s="17" t="s">
        <v>30</v>
      </c>
      <c r="L347" s="13">
        <v>46172</v>
      </c>
      <c r="M347" t="s">
        <v>31</v>
      </c>
      <c r="N347" t="s">
        <v>32</v>
      </c>
      <c r="O347" s="13">
        <v>46165</v>
      </c>
      <c r="P347" s="13">
        <v>46167</v>
      </c>
      <c r="Q347">
        <f t="shared" ca="1" si="25"/>
        <v>32</v>
      </c>
      <c r="R347">
        <f t="shared" si="26"/>
        <v>8</v>
      </c>
      <c r="S347">
        <f t="shared" ca="1" si="27"/>
        <v>-17</v>
      </c>
      <c r="T347" t="str">
        <f t="shared" ca="1" si="28"/>
        <v>On Track</v>
      </c>
      <c r="U347" t="str">
        <f t="shared" ca="1" si="29"/>
        <v>Normal</v>
      </c>
      <c r="V347" t="s">
        <v>33</v>
      </c>
    </row>
    <row r="348" spans="1:22">
      <c r="A348" t="s">
        <v>1015</v>
      </c>
      <c r="B348" t="s">
        <v>208</v>
      </c>
      <c r="C348" t="s">
        <v>1016</v>
      </c>
      <c r="D348" s="16">
        <v>16497.21</v>
      </c>
      <c r="E348" t="s">
        <v>126</v>
      </c>
      <c r="F348" t="s">
        <v>38</v>
      </c>
      <c r="H348" t="s">
        <v>127</v>
      </c>
      <c r="I348" t="s">
        <v>92</v>
      </c>
      <c r="J348" s="13">
        <v>46152</v>
      </c>
      <c r="K348" s="17" t="s">
        <v>40</v>
      </c>
      <c r="L348" s="13">
        <v>46182</v>
      </c>
      <c r="M348" t="s">
        <v>65</v>
      </c>
      <c r="N348" t="s">
        <v>50</v>
      </c>
      <c r="Q348">
        <f t="shared" ca="1" si="25"/>
        <v>37</v>
      </c>
      <c r="R348" t="str">
        <f t="shared" si="26"/>
        <v/>
      </c>
      <c r="S348">
        <f t="shared" ca="1" si="27"/>
        <v>-7</v>
      </c>
      <c r="T348" t="str">
        <f t="shared" ca="1" si="28"/>
        <v>On Track</v>
      </c>
      <c r="U348" t="str">
        <f t="shared" ca="1" si="29"/>
        <v>At Risk</v>
      </c>
      <c r="V348" t="s">
        <v>51</v>
      </c>
    </row>
    <row r="349" spans="1:22">
      <c r="A349" t="s">
        <v>1017</v>
      </c>
      <c r="B349" t="s">
        <v>118</v>
      </c>
      <c r="C349" t="s">
        <v>1018</v>
      </c>
      <c r="D349" s="16">
        <v>7737.23</v>
      </c>
      <c r="E349" t="s">
        <v>46</v>
      </c>
      <c r="F349" t="s">
        <v>26</v>
      </c>
      <c r="G349" t="s">
        <v>1019</v>
      </c>
      <c r="H349" t="s">
        <v>161</v>
      </c>
      <c r="I349" t="s">
        <v>92</v>
      </c>
      <c r="J349" s="13">
        <v>46180</v>
      </c>
      <c r="K349" s="17" t="s">
        <v>57</v>
      </c>
      <c r="L349" s="13">
        <v>46210</v>
      </c>
      <c r="M349" t="s">
        <v>65</v>
      </c>
      <c r="N349" t="s">
        <v>32</v>
      </c>
      <c r="Q349">
        <f t="shared" ca="1" si="25"/>
        <v>9</v>
      </c>
      <c r="R349" t="str">
        <f t="shared" si="26"/>
        <v/>
      </c>
      <c r="S349">
        <f t="shared" ca="1" si="27"/>
        <v>21</v>
      </c>
      <c r="T349" t="str">
        <f t="shared" ca="1" si="28"/>
        <v>On Track</v>
      </c>
      <c r="U349" t="str">
        <f t="shared" ca="1" si="29"/>
        <v>Normal</v>
      </c>
    </row>
    <row r="350" spans="1:22">
      <c r="A350" t="s">
        <v>1020</v>
      </c>
      <c r="B350" t="s">
        <v>129</v>
      </c>
      <c r="C350" t="s">
        <v>1021</v>
      </c>
      <c r="D350" s="16">
        <v>1452.82</v>
      </c>
      <c r="E350" t="s">
        <v>62</v>
      </c>
      <c r="F350" t="s">
        <v>26</v>
      </c>
      <c r="G350" t="s">
        <v>1022</v>
      </c>
      <c r="H350" t="s">
        <v>64</v>
      </c>
      <c r="I350" t="s">
        <v>29</v>
      </c>
      <c r="J350" s="13">
        <v>46157</v>
      </c>
      <c r="K350" s="17" t="s">
        <v>49</v>
      </c>
      <c r="L350" s="13">
        <v>46202</v>
      </c>
      <c r="M350" t="s">
        <v>145</v>
      </c>
      <c r="N350" t="s">
        <v>32</v>
      </c>
      <c r="O350" s="13">
        <v>46167</v>
      </c>
      <c r="Q350">
        <f t="shared" ca="1" si="25"/>
        <v>32</v>
      </c>
      <c r="R350">
        <f t="shared" si="26"/>
        <v>10</v>
      </c>
      <c r="S350">
        <f t="shared" ca="1" si="27"/>
        <v>13</v>
      </c>
      <c r="T350" t="str">
        <f t="shared" ca="1" si="28"/>
        <v>On Track</v>
      </c>
      <c r="U350" t="str">
        <f t="shared" ca="1" si="29"/>
        <v>Normal</v>
      </c>
    </row>
    <row r="351" spans="1:22">
      <c r="A351" t="s">
        <v>1023</v>
      </c>
      <c r="B351" t="s">
        <v>23</v>
      </c>
      <c r="C351" t="s">
        <v>1024</v>
      </c>
      <c r="D351" s="16">
        <v>4656.41</v>
      </c>
      <c r="E351" t="s">
        <v>142</v>
      </c>
      <c r="F351" t="s">
        <v>38</v>
      </c>
      <c r="H351" t="s">
        <v>335</v>
      </c>
      <c r="I351" t="s">
        <v>29</v>
      </c>
      <c r="J351" s="13">
        <v>46161</v>
      </c>
      <c r="K351" s="17" t="s">
        <v>49</v>
      </c>
      <c r="L351" s="13">
        <v>46206</v>
      </c>
      <c r="M351" t="s">
        <v>31</v>
      </c>
      <c r="N351" t="s">
        <v>32</v>
      </c>
      <c r="O351" s="13">
        <v>46172</v>
      </c>
      <c r="P351" s="13">
        <v>46212</v>
      </c>
      <c r="Q351">
        <f t="shared" ca="1" si="25"/>
        <v>28</v>
      </c>
      <c r="R351">
        <f t="shared" si="26"/>
        <v>11</v>
      </c>
      <c r="S351">
        <f t="shared" ca="1" si="27"/>
        <v>17</v>
      </c>
      <c r="T351" t="str">
        <f t="shared" ca="1" si="28"/>
        <v>On Track</v>
      </c>
      <c r="U351" t="str">
        <f t="shared" ca="1" si="29"/>
        <v>Normal</v>
      </c>
      <c r="V351" t="s">
        <v>107</v>
      </c>
    </row>
    <row r="352" spans="1:22">
      <c r="A352" t="s">
        <v>1025</v>
      </c>
      <c r="B352" t="s">
        <v>137</v>
      </c>
      <c r="C352" t="s">
        <v>1026</v>
      </c>
      <c r="D352" s="16">
        <v>4675.67</v>
      </c>
      <c r="E352" t="s">
        <v>78</v>
      </c>
      <c r="F352" t="s">
        <v>26</v>
      </c>
      <c r="G352" t="s">
        <v>1027</v>
      </c>
      <c r="H352" t="s">
        <v>80</v>
      </c>
      <c r="I352" t="s">
        <v>29</v>
      </c>
      <c r="J352" s="13">
        <v>46166</v>
      </c>
      <c r="K352" s="17" t="s">
        <v>49</v>
      </c>
      <c r="L352" s="13">
        <v>46211</v>
      </c>
      <c r="M352" t="s">
        <v>145</v>
      </c>
      <c r="N352" t="s">
        <v>32</v>
      </c>
      <c r="O352" s="13">
        <v>46174</v>
      </c>
      <c r="Q352">
        <f t="shared" ca="1" si="25"/>
        <v>23</v>
      </c>
      <c r="R352">
        <f t="shared" si="26"/>
        <v>8</v>
      </c>
      <c r="S352">
        <f t="shared" ca="1" si="27"/>
        <v>22</v>
      </c>
      <c r="T352" t="str">
        <f t="shared" ca="1" si="28"/>
        <v>On Track</v>
      </c>
      <c r="U352" t="str">
        <f t="shared" ca="1" si="29"/>
        <v>Normal</v>
      </c>
    </row>
    <row r="353" spans="1:22">
      <c r="A353" t="s">
        <v>1028</v>
      </c>
      <c r="B353" t="s">
        <v>35</v>
      </c>
      <c r="C353" t="s">
        <v>1029</v>
      </c>
      <c r="D353" s="16">
        <v>1296.46</v>
      </c>
      <c r="E353" t="s">
        <v>46</v>
      </c>
      <c r="F353" t="s">
        <v>26</v>
      </c>
      <c r="G353" t="s">
        <v>1030</v>
      </c>
      <c r="H353" t="s">
        <v>48</v>
      </c>
      <c r="I353" t="s">
        <v>29</v>
      </c>
      <c r="J353" s="13">
        <v>46157</v>
      </c>
      <c r="K353" s="17" t="s">
        <v>57</v>
      </c>
      <c r="L353" s="13">
        <v>46187</v>
      </c>
      <c r="M353" t="s">
        <v>31</v>
      </c>
      <c r="N353" t="s">
        <v>32</v>
      </c>
      <c r="O353" s="13">
        <v>46163</v>
      </c>
      <c r="P353" s="13">
        <v>46189</v>
      </c>
      <c r="Q353">
        <f t="shared" ca="1" si="25"/>
        <v>32</v>
      </c>
      <c r="R353">
        <f t="shared" si="26"/>
        <v>6</v>
      </c>
      <c r="S353">
        <f t="shared" ca="1" si="27"/>
        <v>-2</v>
      </c>
      <c r="T353" t="str">
        <f t="shared" ca="1" si="28"/>
        <v>On Track</v>
      </c>
      <c r="U353" t="str">
        <f t="shared" ca="1" si="29"/>
        <v>Normal</v>
      </c>
      <c r="V353" t="s">
        <v>107</v>
      </c>
    </row>
    <row r="354" spans="1:22">
      <c r="A354" t="s">
        <v>1031</v>
      </c>
      <c r="B354" t="s">
        <v>118</v>
      </c>
      <c r="C354" t="s">
        <v>1032</v>
      </c>
      <c r="D354" s="16">
        <v>1752.52</v>
      </c>
      <c r="E354" t="s">
        <v>126</v>
      </c>
      <c r="F354" t="s">
        <v>26</v>
      </c>
      <c r="G354" t="s">
        <v>1033</v>
      </c>
      <c r="H354" t="s">
        <v>241</v>
      </c>
      <c r="I354" t="s">
        <v>29</v>
      </c>
      <c r="J354" s="13">
        <v>46174</v>
      </c>
      <c r="K354" s="17" t="s">
        <v>40</v>
      </c>
      <c r="L354" s="13">
        <v>46204</v>
      </c>
      <c r="M354" t="s">
        <v>41</v>
      </c>
      <c r="N354" t="s">
        <v>32</v>
      </c>
      <c r="Q354">
        <f t="shared" ca="1" si="25"/>
        <v>15</v>
      </c>
      <c r="R354" t="str">
        <f t="shared" si="26"/>
        <v/>
      </c>
      <c r="S354">
        <f t="shared" ca="1" si="27"/>
        <v>15</v>
      </c>
      <c r="T354" t="str">
        <f t="shared" ca="1" si="28"/>
        <v>Overdue</v>
      </c>
      <c r="U354" t="str">
        <f t="shared" ca="1" si="29"/>
        <v>Normal</v>
      </c>
      <c r="V354" t="s">
        <v>42</v>
      </c>
    </row>
    <row r="355" spans="1:22">
      <c r="A355" t="s">
        <v>1034</v>
      </c>
      <c r="B355" t="s">
        <v>94</v>
      </c>
      <c r="C355" t="s">
        <v>1035</v>
      </c>
      <c r="D355" s="16">
        <v>2859.36</v>
      </c>
      <c r="E355" t="s">
        <v>126</v>
      </c>
      <c r="F355" t="s">
        <v>26</v>
      </c>
      <c r="G355" t="s">
        <v>1036</v>
      </c>
      <c r="H355" t="s">
        <v>241</v>
      </c>
      <c r="I355" t="s">
        <v>29</v>
      </c>
      <c r="J355" s="13">
        <v>46176</v>
      </c>
      <c r="K355" s="17" t="s">
        <v>30</v>
      </c>
      <c r="L355" s="13">
        <v>46191</v>
      </c>
      <c r="M355" t="s">
        <v>31</v>
      </c>
      <c r="N355" t="s">
        <v>179</v>
      </c>
      <c r="O355" s="13">
        <v>46184</v>
      </c>
      <c r="P355" s="13">
        <v>46186</v>
      </c>
      <c r="Q355">
        <f t="shared" ca="1" si="25"/>
        <v>13</v>
      </c>
      <c r="R355">
        <f t="shared" si="26"/>
        <v>8</v>
      </c>
      <c r="S355">
        <f t="shared" ca="1" si="27"/>
        <v>2</v>
      </c>
      <c r="T355" t="str">
        <f t="shared" ca="1" si="28"/>
        <v>On Track</v>
      </c>
      <c r="U355" t="str">
        <f t="shared" ca="1" si="29"/>
        <v>Normal</v>
      </c>
      <c r="V355" t="s">
        <v>180</v>
      </c>
    </row>
    <row r="356" spans="1:22">
      <c r="A356" t="s">
        <v>1037</v>
      </c>
      <c r="B356" t="s">
        <v>208</v>
      </c>
      <c r="C356" t="s">
        <v>1038</v>
      </c>
      <c r="D356" s="16">
        <v>69814.78</v>
      </c>
      <c r="E356" t="s">
        <v>37</v>
      </c>
      <c r="F356" t="s">
        <v>38</v>
      </c>
      <c r="H356" t="s">
        <v>121</v>
      </c>
      <c r="I356" t="s">
        <v>122</v>
      </c>
      <c r="J356" s="13">
        <v>46186</v>
      </c>
      <c r="K356" s="17" t="s">
        <v>49</v>
      </c>
      <c r="L356" s="13">
        <v>46231</v>
      </c>
      <c r="M356" t="s">
        <v>99</v>
      </c>
      <c r="N356" t="s">
        <v>100</v>
      </c>
      <c r="O356" s="13">
        <v>46189</v>
      </c>
      <c r="Q356">
        <f t="shared" ca="1" si="25"/>
        <v>3</v>
      </c>
      <c r="R356">
        <f t="shared" si="26"/>
        <v>3</v>
      </c>
      <c r="S356">
        <f t="shared" ca="1" si="27"/>
        <v>42</v>
      </c>
      <c r="T356" t="str">
        <f t="shared" ca="1" si="28"/>
        <v>On Track</v>
      </c>
      <c r="U356" t="str">
        <f t="shared" ca="1" si="29"/>
        <v>Normal</v>
      </c>
      <c r="V356" t="s">
        <v>101</v>
      </c>
    </row>
    <row r="357" spans="1:22">
      <c r="A357" t="s">
        <v>1039</v>
      </c>
      <c r="B357" t="s">
        <v>271</v>
      </c>
      <c r="C357" t="s">
        <v>1040</v>
      </c>
      <c r="D357" s="16">
        <v>16716.349999999999</v>
      </c>
      <c r="E357" t="s">
        <v>126</v>
      </c>
      <c r="F357" t="s">
        <v>38</v>
      </c>
      <c r="H357" t="s">
        <v>127</v>
      </c>
      <c r="I357" t="s">
        <v>92</v>
      </c>
      <c r="J357" s="13">
        <v>46155</v>
      </c>
      <c r="K357" s="17" t="s">
        <v>49</v>
      </c>
      <c r="L357" s="13">
        <v>46200</v>
      </c>
      <c r="M357" t="s">
        <v>31</v>
      </c>
      <c r="N357" t="s">
        <v>32</v>
      </c>
      <c r="O357" s="13">
        <v>46172</v>
      </c>
      <c r="P357" s="13">
        <v>46176</v>
      </c>
      <c r="Q357">
        <f t="shared" ca="1" si="25"/>
        <v>34</v>
      </c>
      <c r="R357">
        <f t="shared" si="26"/>
        <v>17</v>
      </c>
      <c r="S357">
        <f t="shared" ca="1" si="27"/>
        <v>11</v>
      </c>
      <c r="T357" t="str">
        <f t="shared" ca="1" si="28"/>
        <v>On Track</v>
      </c>
      <c r="U357" t="str">
        <f t="shared" ca="1" si="29"/>
        <v>Normal</v>
      </c>
      <c r="V357" t="s">
        <v>33</v>
      </c>
    </row>
    <row r="358" spans="1:22">
      <c r="A358" t="s">
        <v>1041</v>
      </c>
      <c r="B358" t="s">
        <v>53</v>
      </c>
      <c r="C358" t="s">
        <v>1042</v>
      </c>
      <c r="D358" s="16">
        <v>4161.1400000000003</v>
      </c>
      <c r="E358" t="s">
        <v>302</v>
      </c>
      <c r="F358" t="s">
        <v>26</v>
      </c>
      <c r="G358" t="s">
        <v>1043</v>
      </c>
      <c r="H358" t="s">
        <v>304</v>
      </c>
      <c r="I358" t="s">
        <v>29</v>
      </c>
      <c r="J358" s="13">
        <v>46153</v>
      </c>
      <c r="K358" s="17" t="s">
        <v>30</v>
      </c>
      <c r="L358" s="13">
        <v>46168</v>
      </c>
      <c r="M358" t="s">
        <v>145</v>
      </c>
      <c r="N358" t="s">
        <v>32</v>
      </c>
      <c r="O358" s="13">
        <v>46155</v>
      </c>
      <c r="Q358">
        <f t="shared" ca="1" si="25"/>
        <v>36</v>
      </c>
      <c r="R358">
        <f t="shared" si="26"/>
        <v>2</v>
      </c>
      <c r="S358">
        <f t="shared" ca="1" si="27"/>
        <v>-21</v>
      </c>
      <c r="T358" t="str">
        <f t="shared" ca="1" si="28"/>
        <v>On Track</v>
      </c>
      <c r="U358" t="str">
        <f t="shared" ca="1" si="29"/>
        <v>At Risk</v>
      </c>
    </row>
    <row r="359" spans="1:22">
      <c r="A359" t="s">
        <v>1044</v>
      </c>
      <c r="B359" t="s">
        <v>35</v>
      </c>
      <c r="C359" t="s">
        <v>1045</v>
      </c>
      <c r="D359" s="16">
        <v>3250.24</v>
      </c>
      <c r="E359" t="s">
        <v>25</v>
      </c>
      <c r="F359" t="s">
        <v>38</v>
      </c>
      <c r="H359" t="s">
        <v>28</v>
      </c>
      <c r="I359" t="s">
        <v>29</v>
      </c>
      <c r="J359" s="13">
        <v>46178</v>
      </c>
      <c r="K359" s="17" t="s">
        <v>30</v>
      </c>
      <c r="L359" s="13">
        <v>46193</v>
      </c>
      <c r="M359" t="s">
        <v>65</v>
      </c>
      <c r="N359" t="s">
        <v>179</v>
      </c>
      <c r="Q359">
        <f t="shared" ca="1" si="25"/>
        <v>11</v>
      </c>
      <c r="R359" t="str">
        <f t="shared" si="26"/>
        <v/>
      </c>
      <c r="S359">
        <f t="shared" ca="1" si="27"/>
        <v>4</v>
      </c>
      <c r="T359" t="str">
        <f t="shared" ca="1" si="28"/>
        <v>On Track</v>
      </c>
      <c r="U359" t="str">
        <f t="shared" ca="1" si="29"/>
        <v>At Risk</v>
      </c>
      <c r="V359" t="s">
        <v>180</v>
      </c>
    </row>
    <row r="360" spans="1:22">
      <c r="A360" t="s">
        <v>1046</v>
      </c>
      <c r="B360" t="s">
        <v>35</v>
      </c>
      <c r="C360" t="s">
        <v>1047</v>
      </c>
      <c r="D360" s="16">
        <v>3900.47</v>
      </c>
      <c r="E360" t="s">
        <v>55</v>
      </c>
      <c r="F360" t="s">
        <v>38</v>
      </c>
      <c r="H360" t="s">
        <v>56</v>
      </c>
      <c r="I360" t="s">
        <v>29</v>
      </c>
      <c r="J360" s="13">
        <v>46168</v>
      </c>
      <c r="K360" s="17" t="s">
        <v>49</v>
      </c>
      <c r="L360" s="13">
        <v>46213</v>
      </c>
      <c r="M360" t="s">
        <v>31</v>
      </c>
      <c r="N360" t="s">
        <v>32</v>
      </c>
      <c r="O360" s="13">
        <v>46174</v>
      </c>
      <c r="P360" s="13">
        <v>46178</v>
      </c>
      <c r="Q360">
        <f t="shared" ca="1" si="25"/>
        <v>21</v>
      </c>
      <c r="R360">
        <f t="shared" si="26"/>
        <v>6</v>
      </c>
      <c r="S360">
        <f t="shared" ca="1" si="27"/>
        <v>24</v>
      </c>
      <c r="T360" t="str">
        <f t="shared" ca="1" si="28"/>
        <v>On Track</v>
      </c>
      <c r="U360" t="str">
        <f t="shared" ca="1" si="29"/>
        <v>Normal</v>
      </c>
      <c r="V360" t="s">
        <v>33</v>
      </c>
    </row>
    <row r="361" spans="1:22">
      <c r="A361" t="s">
        <v>1048</v>
      </c>
      <c r="B361" t="s">
        <v>129</v>
      </c>
      <c r="C361" t="s">
        <v>1049</v>
      </c>
      <c r="D361" s="16">
        <v>4239.29</v>
      </c>
      <c r="E361" t="s">
        <v>25</v>
      </c>
      <c r="F361" t="s">
        <v>26</v>
      </c>
      <c r="G361" t="s">
        <v>1050</v>
      </c>
      <c r="H361" t="s">
        <v>28</v>
      </c>
      <c r="I361" t="s">
        <v>29</v>
      </c>
      <c r="J361" s="13">
        <v>46144</v>
      </c>
      <c r="K361" s="17" t="s">
        <v>30</v>
      </c>
      <c r="L361" s="13">
        <v>46159</v>
      </c>
      <c r="M361" t="s">
        <v>31</v>
      </c>
      <c r="N361" t="s">
        <v>32</v>
      </c>
      <c r="O361" s="13">
        <v>46147</v>
      </c>
      <c r="P361" s="13">
        <v>46151</v>
      </c>
      <c r="Q361">
        <f t="shared" ca="1" si="25"/>
        <v>45</v>
      </c>
      <c r="R361">
        <f t="shared" si="26"/>
        <v>3</v>
      </c>
      <c r="S361">
        <f t="shared" ca="1" si="27"/>
        <v>-30</v>
      </c>
      <c r="T361" t="str">
        <f t="shared" ca="1" si="28"/>
        <v>On Track</v>
      </c>
      <c r="U361" t="str">
        <f t="shared" ca="1" si="29"/>
        <v>Normal</v>
      </c>
      <c r="V361" t="s">
        <v>33</v>
      </c>
    </row>
    <row r="362" spans="1:22">
      <c r="A362" t="s">
        <v>1051</v>
      </c>
      <c r="B362" t="s">
        <v>172</v>
      </c>
      <c r="C362" t="s">
        <v>1052</v>
      </c>
      <c r="D362" s="16">
        <v>12972.48</v>
      </c>
      <c r="E362" t="s">
        <v>69</v>
      </c>
      <c r="F362" t="s">
        <v>26</v>
      </c>
      <c r="G362" t="s">
        <v>1053</v>
      </c>
      <c r="H362" t="s">
        <v>178</v>
      </c>
      <c r="I362" t="s">
        <v>92</v>
      </c>
      <c r="J362" s="13">
        <v>46185</v>
      </c>
      <c r="K362" s="17" t="s">
        <v>49</v>
      </c>
      <c r="L362" s="13">
        <v>46230</v>
      </c>
      <c r="M362" t="s">
        <v>65</v>
      </c>
      <c r="N362" t="s">
        <v>32</v>
      </c>
      <c r="Q362">
        <f t="shared" ca="1" si="25"/>
        <v>4</v>
      </c>
      <c r="R362" t="str">
        <f t="shared" si="26"/>
        <v/>
      </c>
      <c r="S362">
        <f t="shared" ca="1" si="27"/>
        <v>41</v>
      </c>
      <c r="T362" t="str">
        <f t="shared" ca="1" si="28"/>
        <v>On Track</v>
      </c>
      <c r="U362" t="str">
        <f t="shared" ca="1" si="29"/>
        <v>Normal</v>
      </c>
    </row>
    <row r="363" spans="1:22">
      <c r="A363" t="s">
        <v>1054</v>
      </c>
      <c r="B363" t="s">
        <v>44</v>
      </c>
      <c r="C363" t="s">
        <v>1055</v>
      </c>
      <c r="D363" s="16">
        <v>1176.81</v>
      </c>
      <c r="E363" t="s">
        <v>111</v>
      </c>
      <c r="F363" t="s">
        <v>26</v>
      </c>
      <c r="G363" t="s">
        <v>1056</v>
      </c>
      <c r="H363" t="s">
        <v>113</v>
      </c>
      <c r="I363" t="s">
        <v>29</v>
      </c>
      <c r="J363" s="13">
        <v>46174</v>
      </c>
      <c r="K363" s="17" t="s">
        <v>57</v>
      </c>
      <c r="L363" s="13">
        <v>46204</v>
      </c>
      <c r="M363" t="s">
        <v>31</v>
      </c>
      <c r="N363" t="s">
        <v>32</v>
      </c>
      <c r="O363" s="13">
        <v>46182</v>
      </c>
      <c r="P363" s="13">
        <v>46185</v>
      </c>
      <c r="Q363">
        <f t="shared" ca="1" si="25"/>
        <v>15</v>
      </c>
      <c r="R363">
        <f t="shared" si="26"/>
        <v>8</v>
      </c>
      <c r="S363">
        <f t="shared" ca="1" si="27"/>
        <v>15</v>
      </c>
      <c r="T363" t="str">
        <f t="shared" ca="1" si="28"/>
        <v>On Track</v>
      </c>
      <c r="U363" t="str">
        <f t="shared" ca="1" si="29"/>
        <v>Normal</v>
      </c>
      <c r="V363" t="s">
        <v>33</v>
      </c>
    </row>
    <row r="364" spans="1:22">
      <c r="A364" t="s">
        <v>1057</v>
      </c>
      <c r="B364" t="s">
        <v>103</v>
      </c>
      <c r="C364" t="s">
        <v>1058</v>
      </c>
      <c r="D364" s="16">
        <v>878.21</v>
      </c>
      <c r="E364" t="s">
        <v>69</v>
      </c>
      <c r="F364" t="s">
        <v>38</v>
      </c>
      <c r="H364" t="s">
        <v>71</v>
      </c>
      <c r="I364" t="s">
        <v>29</v>
      </c>
      <c r="J364" s="13">
        <v>46151</v>
      </c>
      <c r="K364" s="17" t="s">
        <v>57</v>
      </c>
      <c r="L364" s="13">
        <v>46181</v>
      </c>
      <c r="M364" t="s">
        <v>31</v>
      </c>
      <c r="N364" t="s">
        <v>32</v>
      </c>
      <c r="O364" s="13">
        <v>46155</v>
      </c>
      <c r="P364" s="13">
        <v>46159</v>
      </c>
      <c r="Q364">
        <f t="shared" ca="1" si="25"/>
        <v>38</v>
      </c>
      <c r="R364">
        <f t="shared" si="26"/>
        <v>4</v>
      </c>
      <c r="S364">
        <f t="shared" ca="1" si="27"/>
        <v>-8</v>
      </c>
      <c r="T364" t="str">
        <f t="shared" ca="1" si="28"/>
        <v>On Track</v>
      </c>
      <c r="U364" t="str">
        <f t="shared" ca="1" si="29"/>
        <v>Normal</v>
      </c>
      <c r="V364" t="s">
        <v>33</v>
      </c>
    </row>
    <row r="365" spans="1:22">
      <c r="A365" t="s">
        <v>1059</v>
      </c>
      <c r="B365" t="s">
        <v>73</v>
      </c>
      <c r="C365" t="s">
        <v>1060</v>
      </c>
      <c r="D365" s="16">
        <v>3364.77</v>
      </c>
      <c r="E365" t="s">
        <v>78</v>
      </c>
      <c r="F365" t="s">
        <v>26</v>
      </c>
      <c r="G365" t="s">
        <v>1061</v>
      </c>
      <c r="H365" t="s">
        <v>80</v>
      </c>
      <c r="I365" t="s">
        <v>29</v>
      </c>
      <c r="J365" s="13">
        <v>46184</v>
      </c>
      <c r="K365" s="17" t="s">
        <v>30</v>
      </c>
      <c r="L365" s="13">
        <v>46199</v>
      </c>
      <c r="M365" t="s">
        <v>41</v>
      </c>
      <c r="N365" t="s">
        <v>50</v>
      </c>
      <c r="Q365">
        <f t="shared" ca="1" si="25"/>
        <v>5</v>
      </c>
      <c r="R365" t="str">
        <f t="shared" si="26"/>
        <v/>
      </c>
      <c r="S365">
        <f t="shared" ca="1" si="27"/>
        <v>10</v>
      </c>
      <c r="T365" t="str">
        <f t="shared" ca="1" si="28"/>
        <v>On Track</v>
      </c>
      <c r="U365" t="str">
        <f t="shared" ca="1" si="29"/>
        <v>Normal</v>
      </c>
      <c r="V365" t="s">
        <v>51</v>
      </c>
    </row>
    <row r="366" spans="1:22">
      <c r="A366" t="s">
        <v>1062</v>
      </c>
      <c r="B366" t="s">
        <v>44</v>
      </c>
      <c r="C366" t="s">
        <v>1063</v>
      </c>
      <c r="D366" s="16">
        <v>3021.08</v>
      </c>
      <c r="E366" t="s">
        <v>126</v>
      </c>
      <c r="F366" t="s">
        <v>38</v>
      </c>
      <c r="H366" t="s">
        <v>241</v>
      </c>
      <c r="I366" t="s">
        <v>29</v>
      </c>
      <c r="J366" s="13">
        <v>46169</v>
      </c>
      <c r="K366" s="17" t="s">
        <v>49</v>
      </c>
      <c r="L366" s="13">
        <v>46214</v>
      </c>
      <c r="M366" t="s">
        <v>31</v>
      </c>
      <c r="N366" t="s">
        <v>32</v>
      </c>
      <c r="O366" s="13">
        <v>46178</v>
      </c>
      <c r="P366" s="13">
        <v>46219</v>
      </c>
      <c r="Q366">
        <f t="shared" ca="1" si="25"/>
        <v>20</v>
      </c>
      <c r="R366">
        <f t="shared" si="26"/>
        <v>9</v>
      </c>
      <c r="S366">
        <f t="shared" ca="1" si="27"/>
        <v>25</v>
      </c>
      <c r="T366" t="str">
        <f t="shared" ca="1" si="28"/>
        <v>On Track</v>
      </c>
      <c r="U366" t="str">
        <f t="shared" ca="1" si="29"/>
        <v>Normal</v>
      </c>
      <c r="V366" t="s">
        <v>107</v>
      </c>
    </row>
    <row r="367" spans="1:22">
      <c r="A367" t="s">
        <v>1064</v>
      </c>
      <c r="B367" t="s">
        <v>118</v>
      </c>
      <c r="C367" t="s">
        <v>1065</v>
      </c>
      <c r="D367" s="16">
        <v>402.92</v>
      </c>
      <c r="E367" t="s">
        <v>78</v>
      </c>
      <c r="F367" t="s">
        <v>26</v>
      </c>
      <c r="G367" t="s">
        <v>1066</v>
      </c>
      <c r="H367" t="s">
        <v>80</v>
      </c>
      <c r="I367" t="s">
        <v>29</v>
      </c>
      <c r="J367" s="13">
        <v>46188</v>
      </c>
      <c r="K367" s="17" t="s">
        <v>57</v>
      </c>
      <c r="L367" s="13">
        <v>46218</v>
      </c>
      <c r="M367" t="s">
        <v>41</v>
      </c>
      <c r="N367" t="s">
        <v>32</v>
      </c>
      <c r="Q367">
        <f t="shared" ca="1" si="25"/>
        <v>1</v>
      </c>
      <c r="R367" t="str">
        <f t="shared" si="26"/>
        <v/>
      </c>
      <c r="S367">
        <f t="shared" ca="1" si="27"/>
        <v>29</v>
      </c>
      <c r="T367" t="str">
        <f t="shared" ca="1" si="28"/>
        <v>On Track</v>
      </c>
      <c r="U367" t="str">
        <f t="shared" ca="1" si="29"/>
        <v>Normal</v>
      </c>
      <c r="V367" t="s">
        <v>42</v>
      </c>
    </row>
    <row r="368" spans="1:22">
      <c r="A368" t="s">
        <v>1067</v>
      </c>
      <c r="B368" t="s">
        <v>94</v>
      </c>
      <c r="C368" t="s">
        <v>1068</v>
      </c>
      <c r="D368" s="16">
        <v>1505.51</v>
      </c>
      <c r="E368" t="s">
        <v>46</v>
      </c>
      <c r="F368" t="s">
        <v>26</v>
      </c>
      <c r="G368" t="s">
        <v>1069</v>
      </c>
      <c r="H368" t="s">
        <v>48</v>
      </c>
      <c r="I368" t="s">
        <v>29</v>
      </c>
      <c r="J368" s="13">
        <v>46169</v>
      </c>
      <c r="K368" s="17" t="s">
        <v>40</v>
      </c>
      <c r="L368" s="13">
        <v>46199</v>
      </c>
      <c r="M368" t="s">
        <v>31</v>
      </c>
      <c r="N368" t="s">
        <v>32</v>
      </c>
      <c r="O368" s="13">
        <v>46170</v>
      </c>
      <c r="P368" s="13">
        <v>46171</v>
      </c>
      <c r="Q368">
        <f t="shared" ca="1" si="25"/>
        <v>20</v>
      </c>
      <c r="R368">
        <f t="shared" si="26"/>
        <v>1</v>
      </c>
      <c r="S368">
        <f t="shared" ca="1" si="27"/>
        <v>10</v>
      </c>
      <c r="T368" t="str">
        <f t="shared" ca="1" si="28"/>
        <v>On Track</v>
      </c>
      <c r="U368" t="str">
        <f t="shared" ca="1" si="29"/>
        <v>Normal</v>
      </c>
      <c r="V368" t="s">
        <v>33</v>
      </c>
    </row>
    <row r="369" spans="1:22">
      <c r="A369" t="s">
        <v>1070</v>
      </c>
      <c r="B369" t="s">
        <v>67</v>
      </c>
      <c r="C369" t="s">
        <v>1071</v>
      </c>
      <c r="D369" s="16">
        <v>15902.72</v>
      </c>
      <c r="E369" t="s">
        <v>156</v>
      </c>
      <c r="F369" t="s">
        <v>26</v>
      </c>
      <c r="G369" t="s">
        <v>1072</v>
      </c>
      <c r="H369" t="s">
        <v>394</v>
      </c>
      <c r="I369" t="s">
        <v>92</v>
      </c>
      <c r="J369" s="13">
        <v>46161</v>
      </c>
      <c r="K369" s="17" t="s">
        <v>57</v>
      </c>
      <c r="L369" s="13">
        <v>46191</v>
      </c>
      <c r="M369" t="s">
        <v>31</v>
      </c>
      <c r="N369" t="s">
        <v>32</v>
      </c>
      <c r="O369" s="13">
        <v>46165</v>
      </c>
      <c r="P369" s="13">
        <v>46194</v>
      </c>
      <c r="Q369">
        <f t="shared" ca="1" si="25"/>
        <v>28</v>
      </c>
      <c r="R369">
        <f t="shared" si="26"/>
        <v>4</v>
      </c>
      <c r="S369">
        <f t="shared" ca="1" si="27"/>
        <v>2</v>
      </c>
      <c r="T369" t="str">
        <f t="shared" ca="1" si="28"/>
        <v>On Track</v>
      </c>
      <c r="U369" t="str">
        <f t="shared" ca="1" si="29"/>
        <v>Normal</v>
      </c>
      <c r="V369" t="s">
        <v>107</v>
      </c>
    </row>
    <row r="370" spans="1:22">
      <c r="A370" t="s">
        <v>1073</v>
      </c>
      <c r="B370" t="s">
        <v>94</v>
      </c>
      <c r="C370" t="s">
        <v>1074</v>
      </c>
      <c r="D370" s="16">
        <v>2553.38</v>
      </c>
      <c r="E370" t="s">
        <v>156</v>
      </c>
      <c r="F370" t="s">
        <v>26</v>
      </c>
      <c r="G370" t="s">
        <v>1075</v>
      </c>
      <c r="H370" t="s">
        <v>157</v>
      </c>
      <c r="I370" t="s">
        <v>29</v>
      </c>
      <c r="J370" s="13">
        <v>46162</v>
      </c>
      <c r="K370" s="17" t="s">
        <v>49</v>
      </c>
      <c r="L370" s="13">
        <v>46207</v>
      </c>
      <c r="M370" t="s">
        <v>99</v>
      </c>
      <c r="N370" t="s">
        <v>100</v>
      </c>
      <c r="O370" s="13">
        <v>46174</v>
      </c>
      <c r="Q370">
        <f t="shared" ca="1" si="25"/>
        <v>27</v>
      </c>
      <c r="R370">
        <f t="shared" si="26"/>
        <v>12</v>
      </c>
      <c r="S370">
        <f t="shared" ca="1" si="27"/>
        <v>18</v>
      </c>
      <c r="T370" t="str">
        <f t="shared" ca="1" si="28"/>
        <v>On Track</v>
      </c>
      <c r="U370" t="str">
        <f t="shared" ca="1" si="29"/>
        <v>Normal</v>
      </c>
      <c r="V370" t="s">
        <v>101</v>
      </c>
    </row>
    <row r="371" spans="1:22">
      <c r="A371" t="s">
        <v>1076</v>
      </c>
      <c r="B371" t="s">
        <v>44</v>
      </c>
      <c r="C371" t="s">
        <v>1077</v>
      </c>
      <c r="D371" s="16">
        <v>1965.72</v>
      </c>
      <c r="E371" t="s">
        <v>69</v>
      </c>
      <c r="F371" t="s">
        <v>26</v>
      </c>
      <c r="G371" t="s">
        <v>1078</v>
      </c>
      <c r="H371" t="s">
        <v>71</v>
      </c>
      <c r="I371" t="s">
        <v>29</v>
      </c>
      <c r="J371" s="13">
        <v>46165</v>
      </c>
      <c r="K371" s="17" t="s">
        <v>40</v>
      </c>
      <c r="L371" s="13">
        <v>46195</v>
      </c>
      <c r="M371" t="s">
        <v>31</v>
      </c>
      <c r="N371" t="s">
        <v>32</v>
      </c>
      <c r="O371" s="13">
        <v>46166</v>
      </c>
      <c r="P371" s="13">
        <v>46169</v>
      </c>
      <c r="Q371">
        <f t="shared" ca="1" si="25"/>
        <v>24</v>
      </c>
      <c r="R371">
        <f t="shared" si="26"/>
        <v>1</v>
      </c>
      <c r="S371">
        <f t="shared" ca="1" si="27"/>
        <v>6</v>
      </c>
      <c r="T371" t="str">
        <f t="shared" ca="1" si="28"/>
        <v>On Track</v>
      </c>
      <c r="U371" t="str">
        <f t="shared" ca="1" si="29"/>
        <v>Normal</v>
      </c>
      <c r="V371" t="s">
        <v>33</v>
      </c>
    </row>
    <row r="372" spans="1:22">
      <c r="A372" t="s">
        <v>1079</v>
      </c>
      <c r="B372" t="s">
        <v>208</v>
      </c>
      <c r="C372" t="s">
        <v>1080</v>
      </c>
      <c r="D372" s="16">
        <v>9297.4599999999991</v>
      </c>
      <c r="E372" t="s">
        <v>111</v>
      </c>
      <c r="F372" t="s">
        <v>38</v>
      </c>
      <c r="H372" t="s">
        <v>122</v>
      </c>
      <c r="I372" t="s">
        <v>92</v>
      </c>
      <c r="J372" s="13">
        <v>46164</v>
      </c>
      <c r="K372" s="17" t="s">
        <v>40</v>
      </c>
      <c r="L372" s="13">
        <v>46194</v>
      </c>
      <c r="M372" t="s">
        <v>31</v>
      </c>
      <c r="N372" t="s">
        <v>100</v>
      </c>
      <c r="O372" s="13">
        <v>46172</v>
      </c>
      <c r="P372" s="13">
        <v>46176</v>
      </c>
      <c r="Q372">
        <f t="shared" ca="1" si="25"/>
        <v>25</v>
      </c>
      <c r="R372">
        <f t="shared" si="26"/>
        <v>8</v>
      </c>
      <c r="S372">
        <f t="shared" ca="1" si="27"/>
        <v>5</v>
      </c>
      <c r="T372" t="str">
        <f t="shared" ca="1" si="28"/>
        <v>On Track</v>
      </c>
      <c r="U372" t="str">
        <f t="shared" ca="1" si="29"/>
        <v>Normal</v>
      </c>
      <c r="V372" t="s">
        <v>101</v>
      </c>
    </row>
    <row r="373" spans="1:22">
      <c r="A373" t="s">
        <v>1081</v>
      </c>
      <c r="B373" t="s">
        <v>76</v>
      </c>
      <c r="C373" t="s">
        <v>1082</v>
      </c>
      <c r="D373" s="16">
        <v>4487.8500000000004</v>
      </c>
      <c r="E373" t="s">
        <v>142</v>
      </c>
      <c r="F373" t="s">
        <v>26</v>
      </c>
      <c r="G373" t="s">
        <v>1083</v>
      </c>
      <c r="H373" t="s">
        <v>335</v>
      </c>
      <c r="I373" t="s">
        <v>29</v>
      </c>
      <c r="J373" s="13">
        <v>46157</v>
      </c>
      <c r="K373" s="17" t="s">
        <v>49</v>
      </c>
      <c r="L373" s="13">
        <v>46202</v>
      </c>
      <c r="M373" t="s">
        <v>31</v>
      </c>
      <c r="N373" t="s">
        <v>32</v>
      </c>
      <c r="O373" s="13">
        <v>46161</v>
      </c>
      <c r="P373" s="13">
        <v>46163</v>
      </c>
      <c r="Q373">
        <f t="shared" ca="1" si="25"/>
        <v>32</v>
      </c>
      <c r="R373">
        <f t="shared" si="26"/>
        <v>4</v>
      </c>
      <c r="S373">
        <f t="shared" ca="1" si="27"/>
        <v>13</v>
      </c>
      <c r="T373" t="str">
        <f t="shared" ca="1" si="28"/>
        <v>On Track</v>
      </c>
      <c r="U373" t="str">
        <f t="shared" ca="1" si="29"/>
        <v>Normal</v>
      </c>
      <c r="V373" t="s">
        <v>33</v>
      </c>
    </row>
    <row r="374" spans="1:22">
      <c r="A374" t="s">
        <v>1084</v>
      </c>
      <c r="B374" t="s">
        <v>76</v>
      </c>
      <c r="C374" t="s">
        <v>1085</v>
      </c>
      <c r="D374" s="16">
        <v>9032.18</v>
      </c>
      <c r="E374" t="s">
        <v>126</v>
      </c>
      <c r="F374" t="s">
        <v>26</v>
      </c>
      <c r="G374" t="s">
        <v>1086</v>
      </c>
      <c r="H374" t="s">
        <v>127</v>
      </c>
      <c r="I374" t="s">
        <v>92</v>
      </c>
      <c r="J374" s="13">
        <v>46183</v>
      </c>
      <c r="K374" s="17" t="s">
        <v>49</v>
      </c>
      <c r="L374" s="13">
        <v>46228</v>
      </c>
      <c r="M374" t="s">
        <v>41</v>
      </c>
      <c r="N374" t="s">
        <v>32</v>
      </c>
      <c r="Q374">
        <f t="shared" ca="1" si="25"/>
        <v>6</v>
      </c>
      <c r="R374" t="str">
        <f t="shared" si="26"/>
        <v/>
      </c>
      <c r="S374">
        <f t="shared" ca="1" si="27"/>
        <v>39</v>
      </c>
      <c r="T374" t="str">
        <f t="shared" ca="1" si="28"/>
        <v>Overdue</v>
      </c>
      <c r="U374" t="str">
        <f t="shared" ca="1" si="29"/>
        <v>Normal</v>
      </c>
      <c r="V374" t="s">
        <v>42</v>
      </c>
    </row>
    <row r="375" spans="1:22">
      <c r="A375" t="s">
        <v>1087</v>
      </c>
      <c r="B375" t="s">
        <v>118</v>
      </c>
      <c r="C375" t="s">
        <v>1088</v>
      </c>
      <c r="D375" s="16">
        <v>280.14</v>
      </c>
      <c r="E375" t="s">
        <v>111</v>
      </c>
      <c r="F375" t="s">
        <v>38</v>
      </c>
      <c r="H375" t="s">
        <v>113</v>
      </c>
      <c r="I375" t="s">
        <v>29</v>
      </c>
      <c r="J375" s="13">
        <v>46146</v>
      </c>
      <c r="K375" s="17" t="s">
        <v>40</v>
      </c>
      <c r="L375" s="13">
        <v>46176</v>
      </c>
      <c r="M375" t="s">
        <v>31</v>
      </c>
      <c r="N375" t="s">
        <v>32</v>
      </c>
      <c r="O375" s="13">
        <v>46155</v>
      </c>
      <c r="P375" s="13">
        <v>46162</v>
      </c>
      <c r="Q375">
        <f t="shared" ca="1" si="25"/>
        <v>43</v>
      </c>
      <c r="R375">
        <f t="shared" si="26"/>
        <v>9</v>
      </c>
      <c r="S375">
        <f t="shared" ca="1" si="27"/>
        <v>-13</v>
      </c>
      <c r="T375" t="str">
        <f t="shared" ca="1" si="28"/>
        <v>On Track</v>
      </c>
      <c r="U375" t="str">
        <f t="shared" ca="1" si="29"/>
        <v>Normal</v>
      </c>
      <c r="V375" t="s">
        <v>33</v>
      </c>
    </row>
    <row r="376" spans="1:22">
      <c r="A376" t="s">
        <v>1089</v>
      </c>
      <c r="B376" t="s">
        <v>44</v>
      </c>
      <c r="C376" t="s">
        <v>1090</v>
      </c>
      <c r="D376" s="16">
        <v>2873.83</v>
      </c>
      <c r="E376" t="s">
        <v>55</v>
      </c>
      <c r="F376" t="s">
        <v>26</v>
      </c>
      <c r="G376" t="s">
        <v>1091</v>
      </c>
      <c r="H376" t="s">
        <v>56</v>
      </c>
      <c r="I376" t="s">
        <v>29</v>
      </c>
      <c r="J376" s="13">
        <v>46171</v>
      </c>
      <c r="K376" s="17" t="s">
        <v>40</v>
      </c>
      <c r="L376" s="13">
        <v>46201</v>
      </c>
      <c r="M376" t="s">
        <v>31</v>
      </c>
      <c r="N376" t="s">
        <v>100</v>
      </c>
      <c r="O376" s="13">
        <v>46179</v>
      </c>
      <c r="P376" s="13">
        <v>46186</v>
      </c>
      <c r="Q376">
        <f t="shared" ca="1" si="25"/>
        <v>18</v>
      </c>
      <c r="R376">
        <f t="shared" si="26"/>
        <v>8</v>
      </c>
      <c r="S376">
        <f t="shared" ca="1" si="27"/>
        <v>12</v>
      </c>
      <c r="T376" t="str">
        <f t="shared" ca="1" si="28"/>
        <v>On Track</v>
      </c>
      <c r="U376" t="str">
        <f t="shared" ca="1" si="29"/>
        <v>Normal</v>
      </c>
      <c r="V376" t="s">
        <v>101</v>
      </c>
    </row>
    <row r="377" spans="1:22">
      <c r="A377" t="s">
        <v>1092</v>
      </c>
      <c r="B377" t="s">
        <v>271</v>
      </c>
      <c r="C377" t="s">
        <v>1093</v>
      </c>
      <c r="D377" s="16">
        <v>74028</v>
      </c>
      <c r="E377" t="s">
        <v>62</v>
      </c>
      <c r="F377" t="s">
        <v>26</v>
      </c>
      <c r="G377" t="s">
        <v>1094</v>
      </c>
      <c r="H377" t="s">
        <v>121</v>
      </c>
      <c r="I377" t="s">
        <v>122</v>
      </c>
      <c r="J377" s="13">
        <v>46144</v>
      </c>
      <c r="K377" s="17" t="s">
        <v>30</v>
      </c>
      <c r="L377" s="13">
        <v>46159</v>
      </c>
      <c r="M377" t="s">
        <v>31</v>
      </c>
      <c r="N377" t="s">
        <v>32</v>
      </c>
      <c r="O377" s="13">
        <v>46156</v>
      </c>
      <c r="P377" s="13">
        <v>46159</v>
      </c>
      <c r="Q377">
        <f t="shared" ca="1" si="25"/>
        <v>45</v>
      </c>
      <c r="R377">
        <f t="shared" si="26"/>
        <v>12</v>
      </c>
      <c r="S377">
        <f t="shared" ca="1" si="27"/>
        <v>-30</v>
      </c>
      <c r="T377" t="str">
        <f t="shared" ca="1" si="28"/>
        <v>On Track</v>
      </c>
      <c r="U377" t="str">
        <f t="shared" ca="1" si="29"/>
        <v>Normal</v>
      </c>
      <c r="V377" t="s">
        <v>33</v>
      </c>
    </row>
    <row r="378" spans="1:22">
      <c r="A378" t="s">
        <v>1095</v>
      </c>
      <c r="B378" t="s">
        <v>187</v>
      </c>
      <c r="C378" t="s">
        <v>1096</v>
      </c>
      <c r="D378" s="16">
        <v>1445.96</v>
      </c>
      <c r="E378" t="s">
        <v>156</v>
      </c>
      <c r="F378" t="s">
        <v>26</v>
      </c>
      <c r="G378" t="s">
        <v>1097</v>
      </c>
      <c r="H378" t="s">
        <v>157</v>
      </c>
      <c r="I378" t="s">
        <v>29</v>
      </c>
      <c r="J378" s="13">
        <v>46165</v>
      </c>
      <c r="K378" s="17" t="s">
        <v>49</v>
      </c>
      <c r="L378" s="13">
        <v>46210</v>
      </c>
      <c r="M378" t="s">
        <v>31</v>
      </c>
      <c r="N378" t="s">
        <v>32</v>
      </c>
      <c r="O378" s="13">
        <v>46172</v>
      </c>
      <c r="P378" s="13">
        <v>46178</v>
      </c>
      <c r="Q378">
        <f t="shared" ca="1" si="25"/>
        <v>24</v>
      </c>
      <c r="R378">
        <f t="shared" si="26"/>
        <v>7</v>
      </c>
      <c r="S378">
        <f t="shared" ca="1" si="27"/>
        <v>21</v>
      </c>
      <c r="T378" t="str">
        <f t="shared" ca="1" si="28"/>
        <v>On Track</v>
      </c>
      <c r="U378" t="str">
        <f t="shared" ca="1" si="29"/>
        <v>Normal</v>
      </c>
      <c r="V378" t="s">
        <v>33</v>
      </c>
    </row>
    <row r="379" spans="1:22">
      <c r="A379" t="s">
        <v>1098</v>
      </c>
      <c r="B379" t="s">
        <v>103</v>
      </c>
      <c r="C379" t="s">
        <v>1099</v>
      </c>
      <c r="D379" s="16">
        <v>10452.780000000001</v>
      </c>
      <c r="E379" t="s">
        <v>142</v>
      </c>
      <c r="F379" t="s">
        <v>26</v>
      </c>
      <c r="G379" t="s">
        <v>1100</v>
      </c>
      <c r="H379" t="s">
        <v>144</v>
      </c>
      <c r="I379" t="s">
        <v>92</v>
      </c>
      <c r="J379" s="13">
        <v>46180</v>
      </c>
      <c r="K379" s="17" t="s">
        <v>57</v>
      </c>
      <c r="L379" s="13">
        <v>46210</v>
      </c>
      <c r="M379" t="s">
        <v>99</v>
      </c>
      <c r="N379" t="s">
        <v>50</v>
      </c>
      <c r="O379" s="13">
        <v>46189</v>
      </c>
      <c r="Q379">
        <f t="shared" ca="1" si="25"/>
        <v>9</v>
      </c>
      <c r="R379">
        <f t="shared" si="26"/>
        <v>9</v>
      </c>
      <c r="S379">
        <f t="shared" ca="1" si="27"/>
        <v>21</v>
      </c>
      <c r="T379" t="str">
        <f t="shared" ca="1" si="28"/>
        <v>On Track</v>
      </c>
      <c r="U379" t="str">
        <f t="shared" ca="1" si="29"/>
        <v>Normal</v>
      </c>
      <c r="V379" t="s">
        <v>51</v>
      </c>
    </row>
    <row r="380" spans="1:22">
      <c r="A380" t="s">
        <v>1101</v>
      </c>
      <c r="B380" t="s">
        <v>172</v>
      </c>
      <c r="C380" t="s">
        <v>1102</v>
      </c>
      <c r="D380" s="16">
        <v>19401.57</v>
      </c>
      <c r="E380" t="s">
        <v>46</v>
      </c>
      <c r="F380" t="s">
        <v>26</v>
      </c>
      <c r="G380" t="s">
        <v>1103</v>
      </c>
      <c r="H380" t="s">
        <v>161</v>
      </c>
      <c r="I380" t="s">
        <v>92</v>
      </c>
      <c r="J380" s="13">
        <v>46155</v>
      </c>
      <c r="K380" s="17" t="s">
        <v>40</v>
      </c>
      <c r="L380" s="13">
        <v>46185</v>
      </c>
      <c r="M380" t="s">
        <v>99</v>
      </c>
      <c r="N380" t="s">
        <v>32</v>
      </c>
      <c r="O380" s="13">
        <v>46161</v>
      </c>
      <c r="Q380">
        <f t="shared" ca="1" si="25"/>
        <v>34</v>
      </c>
      <c r="R380">
        <f t="shared" si="26"/>
        <v>6</v>
      </c>
      <c r="S380">
        <f t="shared" ca="1" si="27"/>
        <v>-4</v>
      </c>
      <c r="T380" t="str">
        <f t="shared" ca="1" si="28"/>
        <v>On Track</v>
      </c>
      <c r="U380" t="str">
        <f t="shared" ca="1" si="29"/>
        <v>At Risk</v>
      </c>
    </row>
    <row r="381" spans="1:22">
      <c r="A381" t="s">
        <v>1104</v>
      </c>
      <c r="B381" t="s">
        <v>44</v>
      </c>
      <c r="C381" t="s">
        <v>1105</v>
      </c>
      <c r="D381" s="16">
        <v>5930.33</v>
      </c>
      <c r="E381" t="s">
        <v>78</v>
      </c>
      <c r="F381" t="s">
        <v>26</v>
      </c>
      <c r="G381" t="s">
        <v>1106</v>
      </c>
      <c r="H381" t="s">
        <v>91</v>
      </c>
      <c r="I381" t="s">
        <v>92</v>
      </c>
      <c r="J381" s="13">
        <v>46147</v>
      </c>
      <c r="K381" s="17" t="s">
        <v>57</v>
      </c>
      <c r="L381" s="13">
        <v>46177</v>
      </c>
      <c r="M381" t="s">
        <v>31</v>
      </c>
      <c r="N381" t="s">
        <v>32</v>
      </c>
      <c r="O381" s="13">
        <v>46149</v>
      </c>
      <c r="P381" s="13">
        <v>46152</v>
      </c>
      <c r="Q381">
        <f t="shared" ca="1" si="25"/>
        <v>42</v>
      </c>
      <c r="R381">
        <f t="shared" si="26"/>
        <v>2</v>
      </c>
      <c r="S381">
        <f t="shared" ca="1" si="27"/>
        <v>-12</v>
      </c>
      <c r="T381" t="str">
        <f t="shared" ca="1" si="28"/>
        <v>On Track</v>
      </c>
      <c r="U381" t="str">
        <f t="shared" ca="1" si="29"/>
        <v>Normal</v>
      </c>
      <c r="V381" t="s">
        <v>33</v>
      </c>
    </row>
    <row r="382" spans="1:22">
      <c r="A382" t="s">
        <v>1107</v>
      </c>
      <c r="B382" t="s">
        <v>103</v>
      </c>
      <c r="C382" t="s">
        <v>1108</v>
      </c>
      <c r="D382" s="16">
        <v>4489.8900000000003</v>
      </c>
      <c r="E382" t="s">
        <v>142</v>
      </c>
      <c r="F382" t="s">
        <v>26</v>
      </c>
      <c r="G382" t="s">
        <v>1109</v>
      </c>
      <c r="H382" t="s">
        <v>335</v>
      </c>
      <c r="I382" t="s">
        <v>29</v>
      </c>
      <c r="J382" s="13">
        <v>46170</v>
      </c>
      <c r="K382" s="17" t="s">
        <v>30</v>
      </c>
      <c r="L382" s="13">
        <v>46185</v>
      </c>
      <c r="M382" t="s">
        <v>41</v>
      </c>
      <c r="N382" t="s">
        <v>32</v>
      </c>
      <c r="Q382">
        <f t="shared" ca="1" si="25"/>
        <v>19</v>
      </c>
      <c r="R382" t="str">
        <f t="shared" si="26"/>
        <v/>
      </c>
      <c r="S382">
        <f t="shared" ca="1" si="27"/>
        <v>-4</v>
      </c>
      <c r="T382" t="str">
        <f t="shared" ca="1" si="28"/>
        <v>Overdue</v>
      </c>
      <c r="U382" t="str">
        <f t="shared" ca="1" si="29"/>
        <v>At Risk</v>
      </c>
      <c r="V382" t="s">
        <v>42</v>
      </c>
    </row>
    <row r="383" spans="1:22">
      <c r="A383" t="s">
        <v>1110</v>
      </c>
      <c r="B383" t="s">
        <v>23</v>
      </c>
      <c r="C383" t="s">
        <v>1111</v>
      </c>
      <c r="D383" s="16">
        <v>3800.41</v>
      </c>
      <c r="E383" t="s">
        <v>78</v>
      </c>
      <c r="F383" t="s">
        <v>26</v>
      </c>
      <c r="G383" t="s">
        <v>1112</v>
      </c>
      <c r="H383" t="s">
        <v>80</v>
      </c>
      <c r="I383" t="s">
        <v>29</v>
      </c>
      <c r="J383" s="13">
        <v>46176</v>
      </c>
      <c r="K383" s="17" t="s">
        <v>40</v>
      </c>
      <c r="L383" s="13">
        <v>46206</v>
      </c>
      <c r="M383" t="s">
        <v>99</v>
      </c>
      <c r="N383" t="s">
        <v>32</v>
      </c>
      <c r="O383" s="13">
        <v>46178</v>
      </c>
      <c r="Q383">
        <f t="shared" ca="1" si="25"/>
        <v>13</v>
      </c>
      <c r="R383">
        <f t="shared" si="26"/>
        <v>2</v>
      </c>
      <c r="S383">
        <f t="shared" ca="1" si="27"/>
        <v>17</v>
      </c>
      <c r="T383" t="str">
        <f t="shared" ca="1" si="28"/>
        <v>On Track</v>
      </c>
      <c r="U383" t="str">
        <f t="shared" ca="1" si="29"/>
        <v>Normal</v>
      </c>
    </row>
    <row r="384" spans="1:22">
      <c r="A384" t="s">
        <v>1113</v>
      </c>
      <c r="B384" t="s">
        <v>124</v>
      </c>
      <c r="C384" t="s">
        <v>1114</v>
      </c>
      <c r="D384" s="16">
        <v>85843.91</v>
      </c>
      <c r="E384" t="s">
        <v>111</v>
      </c>
      <c r="F384" t="s">
        <v>38</v>
      </c>
      <c r="H384" t="s">
        <v>121</v>
      </c>
      <c r="I384" t="s">
        <v>122</v>
      </c>
      <c r="J384" s="13">
        <v>46165</v>
      </c>
      <c r="K384" s="17" t="s">
        <v>40</v>
      </c>
      <c r="L384" s="13">
        <v>46195</v>
      </c>
      <c r="M384" t="s">
        <v>31</v>
      </c>
      <c r="N384" t="s">
        <v>32</v>
      </c>
      <c r="O384" s="13">
        <v>46170</v>
      </c>
      <c r="P384" s="13">
        <v>46172</v>
      </c>
      <c r="Q384">
        <f t="shared" ca="1" si="25"/>
        <v>24</v>
      </c>
      <c r="R384">
        <f t="shared" si="26"/>
        <v>5</v>
      </c>
      <c r="S384">
        <f t="shared" ca="1" si="27"/>
        <v>6</v>
      </c>
      <c r="T384" t="str">
        <f t="shared" ca="1" si="28"/>
        <v>On Track</v>
      </c>
      <c r="U384" t="str">
        <f t="shared" ca="1" si="29"/>
        <v>Normal</v>
      </c>
      <c r="V384" t="s">
        <v>33</v>
      </c>
    </row>
    <row r="385" spans="1:22">
      <c r="A385" t="s">
        <v>1115</v>
      </c>
      <c r="B385" t="s">
        <v>73</v>
      </c>
      <c r="C385" t="s">
        <v>1116</v>
      </c>
      <c r="D385" s="16">
        <v>1467</v>
      </c>
      <c r="E385" t="s">
        <v>111</v>
      </c>
      <c r="F385" t="s">
        <v>38</v>
      </c>
      <c r="H385" t="s">
        <v>113</v>
      </c>
      <c r="I385" t="s">
        <v>29</v>
      </c>
      <c r="J385" s="13">
        <v>46161</v>
      </c>
      <c r="K385" s="17" t="s">
        <v>40</v>
      </c>
      <c r="L385" s="13">
        <v>46191</v>
      </c>
      <c r="M385" t="s">
        <v>31</v>
      </c>
      <c r="N385" t="s">
        <v>58</v>
      </c>
      <c r="O385" s="13">
        <v>46177</v>
      </c>
      <c r="P385" s="13">
        <v>46184</v>
      </c>
      <c r="Q385">
        <f t="shared" ca="1" si="25"/>
        <v>28</v>
      </c>
      <c r="R385">
        <f t="shared" si="26"/>
        <v>16</v>
      </c>
      <c r="S385">
        <f t="shared" ca="1" si="27"/>
        <v>2</v>
      </c>
      <c r="T385" t="str">
        <f t="shared" ca="1" si="28"/>
        <v>On Track</v>
      </c>
      <c r="U385" t="str">
        <f t="shared" ca="1" si="29"/>
        <v>Normal</v>
      </c>
      <c r="V385" t="s">
        <v>59</v>
      </c>
    </row>
    <row r="386" spans="1:22">
      <c r="A386" t="s">
        <v>1117</v>
      </c>
      <c r="B386" t="s">
        <v>222</v>
      </c>
      <c r="C386" t="s">
        <v>1118</v>
      </c>
      <c r="D386" s="16">
        <v>1394.99</v>
      </c>
      <c r="E386" t="s">
        <v>69</v>
      </c>
      <c r="F386" t="s">
        <v>38</v>
      </c>
      <c r="H386" t="s">
        <v>71</v>
      </c>
      <c r="I386" t="s">
        <v>29</v>
      </c>
      <c r="J386" s="13">
        <v>46149</v>
      </c>
      <c r="K386" s="17" t="s">
        <v>57</v>
      </c>
      <c r="L386" s="13">
        <v>46179</v>
      </c>
      <c r="M386" t="s">
        <v>31</v>
      </c>
      <c r="N386" t="s">
        <v>58</v>
      </c>
      <c r="O386" s="13">
        <v>46161</v>
      </c>
      <c r="P386" s="13">
        <v>46166</v>
      </c>
      <c r="Q386">
        <f t="shared" ref="Q386:Q449" ca="1" si="30">IF(J386="","",TODAY()-J386)</f>
        <v>40</v>
      </c>
      <c r="R386">
        <f t="shared" ref="R386:R449" si="31">IF(O386="","",O386-J386)</f>
        <v>12</v>
      </c>
      <c r="S386">
        <f t="shared" ref="S386:S449" ca="1" si="32">IF(L386="","",L386-TODAY())</f>
        <v>-10</v>
      </c>
      <c r="T386" t="str">
        <f t="shared" ref="T386:T449" ca="1" si="33">IF(AND(M386="Pending Approval",Q386&gt;5),"Overdue","On Track")</f>
        <v>On Track</v>
      </c>
      <c r="U386" t="str">
        <f t="shared" ref="U386:U449" ca="1" si="34">IF(AND(M386&lt;&gt;"Paid",S386&lt;=5),"At Risk","Normal")</f>
        <v>Normal</v>
      </c>
      <c r="V386" t="s">
        <v>59</v>
      </c>
    </row>
    <row r="387" spans="1:22">
      <c r="A387" t="s">
        <v>1119</v>
      </c>
      <c r="B387" t="s">
        <v>137</v>
      </c>
      <c r="C387" t="s">
        <v>1120</v>
      </c>
      <c r="D387" s="16">
        <v>956.5</v>
      </c>
      <c r="E387" t="s">
        <v>25</v>
      </c>
      <c r="F387" t="s">
        <v>38</v>
      </c>
      <c r="H387" t="s">
        <v>28</v>
      </c>
      <c r="I387" t="s">
        <v>29</v>
      </c>
      <c r="J387" s="13">
        <v>46168</v>
      </c>
      <c r="K387" s="17" t="s">
        <v>49</v>
      </c>
      <c r="L387" s="13">
        <v>46213</v>
      </c>
      <c r="M387" t="s">
        <v>31</v>
      </c>
      <c r="N387" t="s">
        <v>32</v>
      </c>
      <c r="O387" s="13">
        <v>46182</v>
      </c>
      <c r="P387" s="13">
        <v>46189</v>
      </c>
      <c r="Q387">
        <f t="shared" ca="1" si="30"/>
        <v>21</v>
      </c>
      <c r="R387">
        <f t="shared" si="31"/>
        <v>14</v>
      </c>
      <c r="S387">
        <f t="shared" ca="1" si="32"/>
        <v>24</v>
      </c>
      <c r="T387" t="str">
        <f t="shared" ca="1" si="33"/>
        <v>On Track</v>
      </c>
      <c r="U387" t="str">
        <f t="shared" ca="1" si="34"/>
        <v>Normal</v>
      </c>
      <c r="V387" t="s">
        <v>33</v>
      </c>
    </row>
    <row r="388" spans="1:22">
      <c r="A388" t="s">
        <v>1121</v>
      </c>
      <c r="B388" t="s">
        <v>94</v>
      </c>
      <c r="C388" t="s">
        <v>1122</v>
      </c>
      <c r="D388" s="16">
        <v>4164.68</v>
      </c>
      <c r="E388" t="s">
        <v>302</v>
      </c>
      <c r="F388" t="s">
        <v>26</v>
      </c>
      <c r="G388" t="s">
        <v>1123</v>
      </c>
      <c r="H388" t="s">
        <v>304</v>
      </c>
      <c r="I388" t="s">
        <v>29</v>
      </c>
      <c r="J388" s="13">
        <v>46173</v>
      </c>
      <c r="K388" s="17" t="s">
        <v>49</v>
      </c>
      <c r="L388" s="13">
        <v>46218</v>
      </c>
      <c r="M388" t="s">
        <v>65</v>
      </c>
      <c r="N388" t="s">
        <v>32</v>
      </c>
      <c r="Q388">
        <f t="shared" ca="1" si="30"/>
        <v>16</v>
      </c>
      <c r="R388" t="str">
        <f t="shared" si="31"/>
        <v/>
      </c>
      <c r="S388">
        <f t="shared" ca="1" si="32"/>
        <v>29</v>
      </c>
      <c r="T388" t="str">
        <f t="shared" ca="1" si="33"/>
        <v>On Track</v>
      </c>
      <c r="U388" t="str">
        <f t="shared" ca="1" si="34"/>
        <v>Normal</v>
      </c>
    </row>
    <row r="389" spans="1:22">
      <c r="A389" t="s">
        <v>1124</v>
      </c>
      <c r="B389" t="s">
        <v>67</v>
      </c>
      <c r="C389" t="s">
        <v>1125</v>
      </c>
      <c r="D389" s="16">
        <v>2327.27</v>
      </c>
      <c r="E389" t="s">
        <v>46</v>
      </c>
      <c r="F389" t="s">
        <v>38</v>
      </c>
      <c r="H389" t="s">
        <v>48</v>
      </c>
      <c r="I389" t="s">
        <v>29</v>
      </c>
      <c r="J389" s="13">
        <v>46180</v>
      </c>
      <c r="K389" s="17" t="s">
        <v>40</v>
      </c>
      <c r="L389" s="13">
        <v>46210</v>
      </c>
      <c r="M389" t="s">
        <v>145</v>
      </c>
      <c r="N389" t="s">
        <v>32</v>
      </c>
      <c r="O389" s="13">
        <v>46188</v>
      </c>
      <c r="Q389">
        <f t="shared" ca="1" si="30"/>
        <v>9</v>
      </c>
      <c r="R389">
        <f t="shared" si="31"/>
        <v>8</v>
      </c>
      <c r="S389">
        <f t="shared" ca="1" si="32"/>
        <v>21</v>
      </c>
      <c r="T389" t="str">
        <f t="shared" ca="1" si="33"/>
        <v>On Track</v>
      </c>
      <c r="U389" t="str">
        <f t="shared" ca="1" si="34"/>
        <v>Normal</v>
      </c>
    </row>
    <row r="390" spans="1:22">
      <c r="A390" t="s">
        <v>1126</v>
      </c>
      <c r="B390" t="s">
        <v>137</v>
      </c>
      <c r="C390" t="s">
        <v>1127</v>
      </c>
      <c r="D390" s="16">
        <v>2125.5300000000002</v>
      </c>
      <c r="E390" t="s">
        <v>62</v>
      </c>
      <c r="F390" t="s">
        <v>26</v>
      </c>
      <c r="G390" t="s">
        <v>1128</v>
      </c>
      <c r="H390" t="s">
        <v>64</v>
      </c>
      <c r="I390" t="s">
        <v>29</v>
      </c>
      <c r="J390" s="13">
        <v>46144</v>
      </c>
      <c r="K390" s="17" t="s">
        <v>57</v>
      </c>
      <c r="L390" s="13">
        <v>46174</v>
      </c>
      <c r="M390" t="s">
        <v>31</v>
      </c>
      <c r="N390" t="s">
        <v>32</v>
      </c>
      <c r="O390" s="13">
        <v>46154</v>
      </c>
      <c r="P390" s="13">
        <v>46160</v>
      </c>
      <c r="Q390">
        <f t="shared" ca="1" si="30"/>
        <v>45</v>
      </c>
      <c r="R390">
        <f t="shared" si="31"/>
        <v>10</v>
      </c>
      <c r="S390">
        <f t="shared" ca="1" si="32"/>
        <v>-15</v>
      </c>
      <c r="T390" t="str">
        <f t="shared" ca="1" si="33"/>
        <v>On Track</v>
      </c>
      <c r="U390" t="str">
        <f t="shared" ca="1" si="34"/>
        <v>Normal</v>
      </c>
      <c r="V390" t="s">
        <v>33</v>
      </c>
    </row>
    <row r="391" spans="1:22">
      <c r="A391" t="s">
        <v>1129</v>
      </c>
      <c r="B391" t="s">
        <v>251</v>
      </c>
      <c r="C391" t="s">
        <v>1130</v>
      </c>
      <c r="D391" s="16">
        <v>2208.48</v>
      </c>
      <c r="E391" t="s">
        <v>156</v>
      </c>
      <c r="F391" t="s">
        <v>26</v>
      </c>
      <c r="G391" t="s">
        <v>1131</v>
      </c>
      <c r="H391" t="s">
        <v>157</v>
      </c>
      <c r="I391" t="s">
        <v>29</v>
      </c>
      <c r="J391" s="13">
        <v>46144</v>
      </c>
      <c r="K391" s="17" t="s">
        <v>49</v>
      </c>
      <c r="L391" s="13">
        <v>46189</v>
      </c>
      <c r="M391" t="s">
        <v>31</v>
      </c>
      <c r="N391" t="s">
        <v>32</v>
      </c>
      <c r="O391" s="13">
        <v>46151</v>
      </c>
      <c r="P391" s="13">
        <v>46153</v>
      </c>
      <c r="Q391">
        <f t="shared" ca="1" si="30"/>
        <v>45</v>
      </c>
      <c r="R391">
        <f t="shared" si="31"/>
        <v>7</v>
      </c>
      <c r="S391">
        <f t="shared" ca="1" si="32"/>
        <v>0</v>
      </c>
      <c r="T391" t="str">
        <f t="shared" ca="1" si="33"/>
        <v>On Track</v>
      </c>
      <c r="U391" t="str">
        <f t="shared" ca="1" si="34"/>
        <v>Normal</v>
      </c>
      <c r="V391" t="s">
        <v>33</v>
      </c>
    </row>
    <row r="392" spans="1:22">
      <c r="A392" t="s">
        <v>1132</v>
      </c>
      <c r="B392" t="s">
        <v>76</v>
      </c>
      <c r="C392" t="s">
        <v>1133</v>
      </c>
      <c r="D392" s="16">
        <v>1971.53</v>
      </c>
      <c r="E392" t="s">
        <v>111</v>
      </c>
      <c r="F392" t="s">
        <v>26</v>
      </c>
      <c r="G392" t="s">
        <v>1134</v>
      </c>
      <c r="H392" t="s">
        <v>113</v>
      </c>
      <c r="I392" t="s">
        <v>29</v>
      </c>
      <c r="J392" s="13">
        <v>46184</v>
      </c>
      <c r="K392" s="17" t="s">
        <v>57</v>
      </c>
      <c r="L392" s="13">
        <v>46214</v>
      </c>
      <c r="M392" t="s">
        <v>41</v>
      </c>
      <c r="N392" t="s">
        <v>32</v>
      </c>
      <c r="Q392">
        <f t="shared" ca="1" si="30"/>
        <v>5</v>
      </c>
      <c r="R392" t="str">
        <f t="shared" si="31"/>
        <v/>
      </c>
      <c r="S392">
        <f t="shared" ca="1" si="32"/>
        <v>25</v>
      </c>
      <c r="T392" t="str">
        <f t="shared" ca="1" si="33"/>
        <v>On Track</v>
      </c>
      <c r="U392" t="str">
        <f t="shared" ca="1" si="34"/>
        <v>Normal</v>
      </c>
      <c r="V392" t="s">
        <v>42</v>
      </c>
    </row>
    <row r="393" spans="1:22">
      <c r="A393" t="s">
        <v>1135</v>
      </c>
      <c r="B393" t="s">
        <v>67</v>
      </c>
      <c r="C393" t="s">
        <v>1136</v>
      </c>
      <c r="D393" s="16">
        <v>4133.34</v>
      </c>
      <c r="E393" t="s">
        <v>156</v>
      </c>
      <c r="F393" t="s">
        <v>26</v>
      </c>
      <c r="G393" t="s">
        <v>1137</v>
      </c>
      <c r="H393" t="s">
        <v>157</v>
      </c>
      <c r="I393" t="s">
        <v>29</v>
      </c>
      <c r="J393" s="13">
        <v>46151</v>
      </c>
      <c r="K393" s="17" t="s">
        <v>40</v>
      </c>
      <c r="L393" s="13">
        <v>46181</v>
      </c>
      <c r="M393" t="s">
        <v>31</v>
      </c>
      <c r="N393" t="s">
        <v>32</v>
      </c>
      <c r="O393" s="13">
        <v>46156</v>
      </c>
      <c r="P393" s="13">
        <v>46160</v>
      </c>
      <c r="Q393">
        <f t="shared" ca="1" si="30"/>
        <v>38</v>
      </c>
      <c r="R393">
        <f t="shared" si="31"/>
        <v>5</v>
      </c>
      <c r="S393">
        <f t="shared" ca="1" si="32"/>
        <v>-8</v>
      </c>
      <c r="T393" t="str">
        <f t="shared" ca="1" si="33"/>
        <v>On Track</v>
      </c>
      <c r="U393" t="str">
        <f t="shared" ca="1" si="34"/>
        <v>Normal</v>
      </c>
      <c r="V393" t="s">
        <v>33</v>
      </c>
    </row>
    <row r="394" spans="1:22">
      <c r="A394" t="s">
        <v>1138</v>
      </c>
      <c r="B394" t="s">
        <v>73</v>
      </c>
      <c r="C394" t="s">
        <v>1139</v>
      </c>
      <c r="D394" s="16">
        <v>4662.21</v>
      </c>
      <c r="E394" t="s">
        <v>302</v>
      </c>
      <c r="F394" t="s">
        <v>26</v>
      </c>
      <c r="G394" t="s">
        <v>1140</v>
      </c>
      <c r="H394" t="s">
        <v>304</v>
      </c>
      <c r="I394" t="s">
        <v>29</v>
      </c>
      <c r="J394" s="13">
        <v>46162</v>
      </c>
      <c r="K394" s="17" t="s">
        <v>49</v>
      </c>
      <c r="L394" s="13">
        <v>46207</v>
      </c>
      <c r="M394" t="s">
        <v>31</v>
      </c>
      <c r="N394" t="s">
        <v>32</v>
      </c>
      <c r="O394" s="13">
        <v>46171</v>
      </c>
      <c r="P394" s="13">
        <v>46173</v>
      </c>
      <c r="Q394">
        <f t="shared" ca="1" si="30"/>
        <v>27</v>
      </c>
      <c r="R394">
        <f t="shared" si="31"/>
        <v>9</v>
      </c>
      <c r="S394">
        <f t="shared" ca="1" si="32"/>
        <v>18</v>
      </c>
      <c r="T394" t="str">
        <f t="shared" ca="1" si="33"/>
        <v>On Track</v>
      </c>
      <c r="U394" t="str">
        <f t="shared" ca="1" si="34"/>
        <v>Normal</v>
      </c>
      <c r="V394" t="s">
        <v>33</v>
      </c>
    </row>
    <row r="395" spans="1:22">
      <c r="A395" t="s">
        <v>1141</v>
      </c>
      <c r="B395" t="s">
        <v>222</v>
      </c>
      <c r="C395" t="s">
        <v>1142</v>
      </c>
      <c r="D395" s="16">
        <v>1805.7</v>
      </c>
      <c r="E395" t="s">
        <v>302</v>
      </c>
      <c r="F395" t="s">
        <v>26</v>
      </c>
      <c r="G395" t="s">
        <v>1143</v>
      </c>
      <c r="H395" t="s">
        <v>304</v>
      </c>
      <c r="I395" t="s">
        <v>29</v>
      </c>
      <c r="J395" s="13">
        <v>46175</v>
      </c>
      <c r="K395" s="17" t="s">
        <v>49</v>
      </c>
      <c r="L395" s="13">
        <v>46220</v>
      </c>
      <c r="M395" t="s">
        <v>31</v>
      </c>
      <c r="N395" t="s">
        <v>32</v>
      </c>
      <c r="O395" s="13">
        <v>46177</v>
      </c>
      <c r="P395" s="13">
        <v>46184</v>
      </c>
      <c r="Q395">
        <f t="shared" ca="1" si="30"/>
        <v>14</v>
      </c>
      <c r="R395">
        <f t="shared" si="31"/>
        <v>2</v>
      </c>
      <c r="S395">
        <f t="shared" ca="1" si="32"/>
        <v>31</v>
      </c>
      <c r="T395" t="str">
        <f t="shared" ca="1" si="33"/>
        <v>On Track</v>
      </c>
      <c r="U395" t="str">
        <f t="shared" ca="1" si="34"/>
        <v>Normal</v>
      </c>
      <c r="V395" t="s">
        <v>33</v>
      </c>
    </row>
    <row r="396" spans="1:22">
      <c r="A396" t="s">
        <v>1144</v>
      </c>
      <c r="B396" t="s">
        <v>222</v>
      </c>
      <c r="C396" t="s">
        <v>1145</v>
      </c>
      <c r="D396" s="16">
        <v>2035.52</v>
      </c>
      <c r="E396" t="s">
        <v>302</v>
      </c>
      <c r="F396" t="s">
        <v>26</v>
      </c>
      <c r="G396" t="s">
        <v>1146</v>
      </c>
      <c r="H396" t="s">
        <v>304</v>
      </c>
      <c r="I396" t="s">
        <v>29</v>
      </c>
      <c r="J396" s="13">
        <v>46156</v>
      </c>
      <c r="K396" s="17" t="s">
        <v>49</v>
      </c>
      <c r="L396" s="13">
        <v>46201</v>
      </c>
      <c r="M396" t="s">
        <v>31</v>
      </c>
      <c r="N396" t="s">
        <v>50</v>
      </c>
      <c r="O396" s="13">
        <v>46169</v>
      </c>
      <c r="P396" s="13">
        <v>46173</v>
      </c>
      <c r="Q396">
        <f t="shared" ca="1" si="30"/>
        <v>33</v>
      </c>
      <c r="R396">
        <f t="shared" si="31"/>
        <v>13</v>
      </c>
      <c r="S396">
        <f t="shared" ca="1" si="32"/>
        <v>12</v>
      </c>
      <c r="T396" t="str">
        <f t="shared" ca="1" si="33"/>
        <v>On Track</v>
      </c>
      <c r="U396" t="str">
        <f t="shared" ca="1" si="34"/>
        <v>Normal</v>
      </c>
      <c r="V396" t="s">
        <v>51</v>
      </c>
    </row>
    <row r="397" spans="1:22">
      <c r="A397" t="s">
        <v>1147</v>
      </c>
      <c r="B397" t="s">
        <v>124</v>
      </c>
      <c r="C397" t="s">
        <v>1148</v>
      </c>
      <c r="D397" s="16">
        <v>5653.45</v>
      </c>
      <c r="E397" t="s">
        <v>126</v>
      </c>
      <c r="F397" t="s">
        <v>26</v>
      </c>
      <c r="G397" t="s">
        <v>1149</v>
      </c>
      <c r="H397" t="s">
        <v>127</v>
      </c>
      <c r="I397" t="s">
        <v>92</v>
      </c>
      <c r="J397" s="13">
        <v>46150</v>
      </c>
      <c r="K397" s="17" t="s">
        <v>57</v>
      </c>
      <c r="L397" s="13">
        <v>46180</v>
      </c>
      <c r="M397" t="s">
        <v>41</v>
      </c>
      <c r="N397" t="s">
        <v>32</v>
      </c>
      <c r="Q397">
        <f t="shared" ca="1" si="30"/>
        <v>39</v>
      </c>
      <c r="R397" t="str">
        <f t="shared" si="31"/>
        <v/>
      </c>
      <c r="S397">
        <f t="shared" ca="1" si="32"/>
        <v>-9</v>
      </c>
      <c r="T397" t="str">
        <f t="shared" ca="1" si="33"/>
        <v>Overdue</v>
      </c>
      <c r="U397" t="str">
        <f t="shared" ca="1" si="34"/>
        <v>At Risk</v>
      </c>
      <c r="V397" t="s">
        <v>42</v>
      </c>
    </row>
    <row r="398" spans="1:22">
      <c r="A398" t="s">
        <v>1150</v>
      </c>
      <c r="B398" t="s">
        <v>23</v>
      </c>
      <c r="C398" t="s">
        <v>1151</v>
      </c>
      <c r="D398" s="16">
        <v>4515.2700000000004</v>
      </c>
      <c r="E398" t="s">
        <v>69</v>
      </c>
      <c r="F398" t="s">
        <v>26</v>
      </c>
      <c r="G398" t="s">
        <v>447</v>
      </c>
      <c r="H398" t="s">
        <v>71</v>
      </c>
      <c r="I398" t="s">
        <v>29</v>
      </c>
      <c r="J398" s="13">
        <v>46174</v>
      </c>
      <c r="K398" s="17" t="s">
        <v>49</v>
      </c>
      <c r="L398" s="13">
        <v>46219</v>
      </c>
      <c r="M398" t="s">
        <v>65</v>
      </c>
      <c r="N398" t="s">
        <v>32</v>
      </c>
      <c r="Q398">
        <f t="shared" ca="1" si="30"/>
        <v>15</v>
      </c>
      <c r="R398" t="str">
        <f t="shared" si="31"/>
        <v/>
      </c>
      <c r="S398">
        <f t="shared" ca="1" si="32"/>
        <v>30</v>
      </c>
      <c r="T398" t="str">
        <f t="shared" ca="1" si="33"/>
        <v>On Track</v>
      </c>
      <c r="U398" t="str">
        <f t="shared" ca="1" si="34"/>
        <v>Normal</v>
      </c>
    </row>
    <row r="399" spans="1:22">
      <c r="A399" t="s">
        <v>1152</v>
      </c>
      <c r="B399" t="s">
        <v>53</v>
      </c>
      <c r="C399" t="s">
        <v>1153</v>
      </c>
      <c r="D399" s="16">
        <v>1726.54</v>
      </c>
      <c r="E399" t="s">
        <v>126</v>
      </c>
      <c r="F399" t="s">
        <v>26</v>
      </c>
      <c r="G399" t="s">
        <v>1154</v>
      </c>
      <c r="H399" t="s">
        <v>241</v>
      </c>
      <c r="I399" t="s">
        <v>29</v>
      </c>
      <c r="J399" s="13">
        <v>46181</v>
      </c>
      <c r="K399" s="17" t="s">
        <v>30</v>
      </c>
      <c r="L399" s="13">
        <v>46196</v>
      </c>
      <c r="M399" t="s">
        <v>31</v>
      </c>
      <c r="N399" t="s">
        <v>32</v>
      </c>
      <c r="O399" s="13">
        <v>46186</v>
      </c>
      <c r="P399" s="13">
        <v>46187</v>
      </c>
      <c r="Q399">
        <f t="shared" ca="1" si="30"/>
        <v>8</v>
      </c>
      <c r="R399">
        <f t="shared" si="31"/>
        <v>5</v>
      </c>
      <c r="S399">
        <f t="shared" ca="1" si="32"/>
        <v>7</v>
      </c>
      <c r="T399" t="str">
        <f t="shared" ca="1" si="33"/>
        <v>On Track</v>
      </c>
      <c r="U399" t="str">
        <f t="shared" ca="1" si="34"/>
        <v>Normal</v>
      </c>
      <c r="V399" t="s">
        <v>33</v>
      </c>
    </row>
    <row r="400" spans="1:22">
      <c r="A400" t="s">
        <v>1155</v>
      </c>
      <c r="B400" t="s">
        <v>109</v>
      </c>
      <c r="C400" t="s">
        <v>1156</v>
      </c>
      <c r="D400" s="16">
        <v>955.21</v>
      </c>
      <c r="E400" t="s">
        <v>62</v>
      </c>
      <c r="F400" t="s">
        <v>38</v>
      </c>
      <c r="H400" t="s">
        <v>64</v>
      </c>
      <c r="I400" t="s">
        <v>29</v>
      </c>
      <c r="J400" s="13">
        <v>46159</v>
      </c>
      <c r="K400" s="17" t="s">
        <v>57</v>
      </c>
      <c r="L400" s="13">
        <v>46189</v>
      </c>
      <c r="M400" t="s">
        <v>31</v>
      </c>
      <c r="N400" t="s">
        <v>32</v>
      </c>
      <c r="O400" s="13">
        <v>46168</v>
      </c>
      <c r="P400" s="13">
        <v>46174</v>
      </c>
      <c r="Q400">
        <f t="shared" ca="1" si="30"/>
        <v>30</v>
      </c>
      <c r="R400">
        <f t="shared" si="31"/>
        <v>9</v>
      </c>
      <c r="S400">
        <f t="shared" ca="1" si="32"/>
        <v>0</v>
      </c>
      <c r="T400" t="str">
        <f t="shared" ca="1" si="33"/>
        <v>On Track</v>
      </c>
      <c r="U400" t="str">
        <f t="shared" ca="1" si="34"/>
        <v>Normal</v>
      </c>
      <c r="V400" t="s">
        <v>33</v>
      </c>
    </row>
    <row r="401" spans="1:22">
      <c r="A401" t="s">
        <v>1157</v>
      </c>
      <c r="B401" t="s">
        <v>109</v>
      </c>
      <c r="C401" t="s">
        <v>1158</v>
      </c>
      <c r="D401" s="16">
        <v>7453.64</v>
      </c>
      <c r="E401" t="s">
        <v>78</v>
      </c>
      <c r="F401" t="s">
        <v>26</v>
      </c>
      <c r="G401" t="s">
        <v>1159</v>
      </c>
      <c r="H401" t="s">
        <v>91</v>
      </c>
      <c r="I401" t="s">
        <v>92</v>
      </c>
      <c r="J401" s="13">
        <v>46185</v>
      </c>
      <c r="K401" s="17" t="s">
        <v>49</v>
      </c>
      <c r="L401" s="13">
        <v>46230</v>
      </c>
      <c r="M401" t="s">
        <v>41</v>
      </c>
      <c r="N401" t="s">
        <v>32</v>
      </c>
      <c r="Q401">
        <f t="shared" ca="1" si="30"/>
        <v>4</v>
      </c>
      <c r="R401" t="str">
        <f t="shared" si="31"/>
        <v/>
      </c>
      <c r="S401">
        <f t="shared" ca="1" si="32"/>
        <v>41</v>
      </c>
      <c r="T401" t="str">
        <f t="shared" ca="1" si="33"/>
        <v>On Track</v>
      </c>
      <c r="U401" t="str">
        <f t="shared" ca="1" si="34"/>
        <v>Normal</v>
      </c>
      <c r="V401" t="s">
        <v>42</v>
      </c>
    </row>
    <row r="402" spans="1:22">
      <c r="A402" t="s">
        <v>1160</v>
      </c>
      <c r="B402" t="s">
        <v>103</v>
      </c>
      <c r="C402" t="s">
        <v>1161</v>
      </c>
      <c r="D402" s="16">
        <v>4338.92</v>
      </c>
      <c r="E402" t="s">
        <v>69</v>
      </c>
      <c r="F402" t="s">
        <v>26</v>
      </c>
      <c r="G402" t="s">
        <v>1162</v>
      </c>
      <c r="H402" t="s">
        <v>71</v>
      </c>
      <c r="I402" t="s">
        <v>29</v>
      </c>
      <c r="J402" s="13">
        <v>46179</v>
      </c>
      <c r="K402" s="17" t="s">
        <v>49</v>
      </c>
      <c r="L402" s="13">
        <v>46224</v>
      </c>
      <c r="M402" t="s">
        <v>31</v>
      </c>
      <c r="N402" t="s">
        <v>32</v>
      </c>
      <c r="O402" s="13">
        <v>46187</v>
      </c>
      <c r="P402" s="13">
        <v>46189</v>
      </c>
      <c r="Q402">
        <f t="shared" ca="1" si="30"/>
        <v>10</v>
      </c>
      <c r="R402">
        <f t="shared" si="31"/>
        <v>8</v>
      </c>
      <c r="S402">
        <f t="shared" ca="1" si="32"/>
        <v>35</v>
      </c>
      <c r="T402" t="str">
        <f t="shared" ca="1" si="33"/>
        <v>On Track</v>
      </c>
      <c r="U402" t="str">
        <f t="shared" ca="1" si="34"/>
        <v>Normal</v>
      </c>
      <c r="V402" t="s">
        <v>33</v>
      </c>
    </row>
    <row r="403" spans="1:22">
      <c r="A403" t="s">
        <v>1163</v>
      </c>
      <c r="B403" t="s">
        <v>103</v>
      </c>
      <c r="C403" t="s">
        <v>1164</v>
      </c>
      <c r="D403" s="16">
        <v>10368.83</v>
      </c>
      <c r="E403" t="s">
        <v>142</v>
      </c>
      <c r="F403" t="s">
        <v>38</v>
      </c>
      <c r="H403" t="s">
        <v>144</v>
      </c>
      <c r="I403" t="s">
        <v>92</v>
      </c>
      <c r="J403" s="13">
        <v>46179</v>
      </c>
      <c r="K403" s="17" t="s">
        <v>57</v>
      </c>
      <c r="L403" s="13">
        <v>46209</v>
      </c>
      <c r="M403" t="s">
        <v>99</v>
      </c>
      <c r="N403" t="s">
        <v>50</v>
      </c>
      <c r="O403" s="13">
        <v>46189</v>
      </c>
      <c r="Q403">
        <f t="shared" ca="1" si="30"/>
        <v>10</v>
      </c>
      <c r="R403">
        <f t="shared" si="31"/>
        <v>10</v>
      </c>
      <c r="S403">
        <f t="shared" ca="1" si="32"/>
        <v>20</v>
      </c>
      <c r="T403" t="str">
        <f t="shared" ca="1" si="33"/>
        <v>On Track</v>
      </c>
      <c r="U403" t="str">
        <f t="shared" ca="1" si="34"/>
        <v>Normal</v>
      </c>
      <c r="V403" t="s">
        <v>51</v>
      </c>
    </row>
    <row r="404" spans="1:22">
      <c r="A404" t="s">
        <v>1165</v>
      </c>
      <c r="B404" t="s">
        <v>208</v>
      </c>
      <c r="C404" t="s">
        <v>1166</v>
      </c>
      <c r="D404" s="16">
        <v>335.18</v>
      </c>
      <c r="E404" t="s">
        <v>69</v>
      </c>
      <c r="F404" t="s">
        <v>38</v>
      </c>
      <c r="H404" t="s">
        <v>71</v>
      </c>
      <c r="I404" t="s">
        <v>29</v>
      </c>
      <c r="J404" s="13">
        <v>46183</v>
      </c>
      <c r="K404" s="17" t="s">
        <v>57</v>
      </c>
      <c r="L404" s="13">
        <v>46213</v>
      </c>
      <c r="M404" t="s">
        <v>65</v>
      </c>
      <c r="N404" t="s">
        <v>100</v>
      </c>
      <c r="Q404">
        <f t="shared" ca="1" si="30"/>
        <v>6</v>
      </c>
      <c r="R404" t="str">
        <f t="shared" si="31"/>
        <v/>
      </c>
      <c r="S404">
        <f t="shared" ca="1" si="32"/>
        <v>24</v>
      </c>
      <c r="T404" t="str">
        <f t="shared" ca="1" si="33"/>
        <v>On Track</v>
      </c>
      <c r="U404" t="str">
        <f t="shared" ca="1" si="34"/>
        <v>Normal</v>
      </c>
      <c r="V404" t="s">
        <v>101</v>
      </c>
    </row>
    <row r="405" spans="1:22">
      <c r="A405" t="s">
        <v>1167</v>
      </c>
      <c r="B405" t="s">
        <v>67</v>
      </c>
      <c r="C405" t="s">
        <v>1168</v>
      </c>
      <c r="D405" s="16">
        <v>1717.83</v>
      </c>
      <c r="E405" t="s">
        <v>46</v>
      </c>
      <c r="F405" t="s">
        <v>38</v>
      </c>
      <c r="H405" t="s">
        <v>48</v>
      </c>
      <c r="I405" t="s">
        <v>29</v>
      </c>
      <c r="J405" s="13">
        <v>46151</v>
      </c>
      <c r="K405" s="17" t="s">
        <v>30</v>
      </c>
      <c r="L405" s="13">
        <v>46166</v>
      </c>
      <c r="M405" t="s">
        <v>31</v>
      </c>
      <c r="N405" t="s">
        <v>58</v>
      </c>
      <c r="O405" s="13">
        <v>46159</v>
      </c>
      <c r="P405" s="13">
        <v>46161</v>
      </c>
      <c r="Q405">
        <f t="shared" ca="1" si="30"/>
        <v>38</v>
      </c>
      <c r="R405">
        <f t="shared" si="31"/>
        <v>8</v>
      </c>
      <c r="S405">
        <f t="shared" ca="1" si="32"/>
        <v>-23</v>
      </c>
      <c r="T405" t="str">
        <f t="shared" ca="1" si="33"/>
        <v>On Track</v>
      </c>
      <c r="U405" t="str">
        <f t="shared" ca="1" si="34"/>
        <v>Normal</v>
      </c>
      <c r="V405" t="s">
        <v>59</v>
      </c>
    </row>
    <row r="406" spans="1:22">
      <c r="A406" t="s">
        <v>1169</v>
      </c>
      <c r="B406" t="s">
        <v>82</v>
      </c>
      <c r="C406" t="s">
        <v>1170</v>
      </c>
      <c r="D406" s="16">
        <v>2018.12</v>
      </c>
      <c r="E406" t="s">
        <v>37</v>
      </c>
      <c r="F406" t="s">
        <v>26</v>
      </c>
      <c r="G406" t="s">
        <v>1171</v>
      </c>
      <c r="H406" t="s">
        <v>39</v>
      </c>
      <c r="I406" t="s">
        <v>29</v>
      </c>
      <c r="J406" s="13">
        <v>46188</v>
      </c>
      <c r="K406" s="17" t="s">
        <v>49</v>
      </c>
      <c r="L406" s="13">
        <v>46233</v>
      </c>
      <c r="M406" t="s">
        <v>65</v>
      </c>
      <c r="N406" t="s">
        <v>32</v>
      </c>
      <c r="Q406">
        <f t="shared" ca="1" si="30"/>
        <v>1</v>
      </c>
      <c r="R406" t="str">
        <f t="shared" si="31"/>
        <v/>
      </c>
      <c r="S406">
        <f t="shared" ca="1" si="32"/>
        <v>44</v>
      </c>
      <c r="T406" t="str">
        <f t="shared" ca="1" si="33"/>
        <v>On Track</v>
      </c>
      <c r="U406" t="str">
        <f t="shared" ca="1" si="34"/>
        <v>Normal</v>
      </c>
    </row>
    <row r="407" spans="1:22">
      <c r="A407" t="s">
        <v>1172</v>
      </c>
      <c r="B407" t="s">
        <v>94</v>
      </c>
      <c r="C407" t="s">
        <v>1173</v>
      </c>
      <c r="D407" s="16">
        <v>4474.24</v>
      </c>
      <c r="E407" t="s">
        <v>126</v>
      </c>
      <c r="F407" t="s">
        <v>38</v>
      </c>
      <c r="H407" t="s">
        <v>241</v>
      </c>
      <c r="I407" t="s">
        <v>29</v>
      </c>
      <c r="J407" s="13">
        <v>46173</v>
      </c>
      <c r="K407" s="17" t="s">
        <v>30</v>
      </c>
      <c r="L407" s="13">
        <v>46188</v>
      </c>
      <c r="M407" t="s">
        <v>41</v>
      </c>
      <c r="N407" t="s">
        <v>32</v>
      </c>
      <c r="Q407">
        <f t="shared" ca="1" si="30"/>
        <v>16</v>
      </c>
      <c r="R407" t="str">
        <f t="shared" si="31"/>
        <v/>
      </c>
      <c r="S407">
        <f t="shared" ca="1" si="32"/>
        <v>-1</v>
      </c>
      <c r="T407" t="str">
        <f t="shared" ca="1" si="33"/>
        <v>Overdue</v>
      </c>
      <c r="U407" t="str">
        <f t="shared" ca="1" si="34"/>
        <v>At Risk</v>
      </c>
      <c r="V407" t="s">
        <v>42</v>
      </c>
    </row>
    <row r="408" spans="1:22">
      <c r="A408" t="s">
        <v>1174</v>
      </c>
      <c r="B408" t="s">
        <v>187</v>
      </c>
      <c r="C408" t="s">
        <v>1175</v>
      </c>
      <c r="D408" s="16">
        <v>3591.07</v>
      </c>
      <c r="E408" t="s">
        <v>156</v>
      </c>
      <c r="F408" t="s">
        <v>38</v>
      </c>
      <c r="H408" t="s">
        <v>157</v>
      </c>
      <c r="I408" t="s">
        <v>29</v>
      </c>
      <c r="J408" s="13">
        <v>46148</v>
      </c>
      <c r="K408" s="17" t="s">
        <v>57</v>
      </c>
      <c r="L408" s="13">
        <v>46178</v>
      </c>
      <c r="M408" t="s">
        <v>31</v>
      </c>
      <c r="N408" t="s">
        <v>100</v>
      </c>
      <c r="O408" s="13">
        <v>46159</v>
      </c>
      <c r="P408" s="13">
        <v>46185</v>
      </c>
      <c r="Q408">
        <f t="shared" ca="1" si="30"/>
        <v>41</v>
      </c>
      <c r="R408">
        <f t="shared" si="31"/>
        <v>11</v>
      </c>
      <c r="S408">
        <f t="shared" ca="1" si="32"/>
        <v>-11</v>
      </c>
      <c r="T408" t="str">
        <f t="shared" ca="1" si="33"/>
        <v>On Track</v>
      </c>
      <c r="U408" t="str">
        <f t="shared" ca="1" si="34"/>
        <v>Normal</v>
      </c>
      <c r="V408" t="s">
        <v>107</v>
      </c>
    </row>
    <row r="409" spans="1:22">
      <c r="A409" t="s">
        <v>1176</v>
      </c>
      <c r="B409" t="s">
        <v>172</v>
      </c>
      <c r="C409" t="s">
        <v>1177</v>
      </c>
      <c r="D409" s="16">
        <v>2843.63</v>
      </c>
      <c r="E409" t="s">
        <v>78</v>
      </c>
      <c r="F409" t="s">
        <v>38</v>
      </c>
      <c r="H409" t="s">
        <v>80</v>
      </c>
      <c r="I409" t="s">
        <v>29</v>
      </c>
      <c r="J409" s="13">
        <v>46179</v>
      </c>
      <c r="K409" s="17" t="s">
        <v>40</v>
      </c>
      <c r="L409" s="13">
        <v>46209</v>
      </c>
      <c r="M409" t="s">
        <v>41</v>
      </c>
      <c r="N409" t="s">
        <v>32</v>
      </c>
      <c r="Q409">
        <f t="shared" ca="1" si="30"/>
        <v>10</v>
      </c>
      <c r="R409" t="str">
        <f t="shared" si="31"/>
        <v/>
      </c>
      <c r="S409">
        <f t="shared" ca="1" si="32"/>
        <v>20</v>
      </c>
      <c r="T409" t="str">
        <f t="shared" ca="1" si="33"/>
        <v>Overdue</v>
      </c>
      <c r="U409" t="str">
        <f t="shared" ca="1" si="34"/>
        <v>Normal</v>
      </c>
      <c r="V409" t="s">
        <v>42</v>
      </c>
    </row>
    <row r="410" spans="1:22">
      <c r="A410" t="s">
        <v>1178</v>
      </c>
      <c r="B410" t="s">
        <v>53</v>
      </c>
      <c r="C410" t="s">
        <v>1179</v>
      </c>
      <c r="D410" s="16">
        <v>15724.33</v>
      </c>
      <c r="E410" t="s">
        <v>46</v>
      </c>
      <c r="F410" t="s">
        <v>26</v>
      </c>
      <c r="G410" t="s">
        <v>1180</v>
      </c>
      <c r="H410" t="s">
        <v>161</v>
      </c>
      <c r="I410" t="s">
        <v>92</v>
      </c>
      <c r="J410" s="13">
        <v>46154</v>
      </c>
      <c r="K410" s="17" t="s">
        <v>40</v>
      </c>
      <c r="L410" s="13">
        <v>46184</v>
      </c>
      <c r="M410" t="s">
        <v>84</v>
      </c>
      <c r="N410" t="s">
        <v>100</v>
      </c>
      <c r="O410" s="13">
        <v>46161</v>
      </c>
      <c r="Q410">
        <f t="shared" ca="1" si="30"/>
        <v>35</v>
      </c>
      <c r="R410">
        <f t="shared" si="31"/>
        <v>7</v>
      </c>
      <c r="S410">
        <f t="shared" ca="1" si="32"/>
        <v>-5</v>
      </c>
      <c r="T410" t="str">
        <f t="shared" ca="1" si="33"/>
        <v>On Track</v>
      </c>
      <c r="U410" t="str">
        <f t="shared" ca="1" si="34"/>
        <v>At Risk</v>
      </c>
      <c r="V410" t="s">
        <v>101</v>
      </c>
    </row>
    <row r="411" spans="1:22">
      <c r="A411" t="s">
        <v>1181</v>
      </c>
      <c r="B411" t="s">
        <v>103</v>
      </c>
      <c r="C411" t="s">
        <v>1182</v>
      </c>
      <c r="D411" s="16">
        <v>13396.47</v>
      </c>
      <c r="E411" t="s">
        <v>55</v>
      </c>
      <c r="F411" t="s">
        <v>38</v>
      </c>
      <c r="H411" t="s">
        <v>579</v>
      </c>
      <c r="I411" t="s">
        <v>92</v>
      </c>
      <c r="J411" s="13">
        <v>46182</v>
      </c>
      <c r="K411" s="17" t="s">
        <v>57</v>
      </c>
      <c r="L411" s="13">
        <v>46212</v>
      </c>
      <c r="M411" t="s">
        <v>65</v>
      </c>
      <c r="N411" t="s">
        <v>32</v>
      </c>
      <c r="Q411">
        <f t="shared" ca="1" si="30"/>
        <v>7</v>
      </c>
      <c r="R411" t="str">
        <f t="shared" si="31"/>
        <v/>
      </c>
      <c r="S411">
        <f t="shared" ca="1" si="32"/>
        <v>23</v>
      </c>
      <c r="T411" t="str">
        <f t="shared" ca="1" si="33"/>
        <v>On Track</v>
      </c>
      <c r="U411" t="str">
        <f t="shared" ca="1" si="34"/>
        <v>Normal</v>
      </c>
    </row>
    <row r="412" spans="1:22">
      <c r="A412" t="s">
        <v>1183</v>
      </c>
      <c r="B412" t="s">
        <v>208</v>
      </c>
      <c r="C412" t="s">
        <v>1184</v>
      </c>
      <c r="D412" s="16">
        <v>24167.65</v>
      </c>
      <c r="E412" t="s">
        <v>302</v>
      </c>
      <c r="F412" t="s">
        <v>26</v>
      </c>
      <c r="G412" t="s">
        <v>1185</v>
      </c>
      <c r="H412" t="s">
        <v>429</v>
      </c>
      <c r="I412" t="s">
        <v>92</v>
      </c>
      <c r="J412" s="13">
        <v>46152</v>
      </c>
      <c r="K412" s="17" t="s">
        <v>49</v>
      </c>
      <c r="L412" s="13">
        <v>46197</v>
      </c>
      <c r="M412" t="s">
        <v>31</v>
      </c>
      <c r="N412" t="s">
        <v>32</v>
      </c>
      <c r="O412" s="13">
        <v>46158</v>
      </c>
      <c r="P412" s="13">
        <v>46161</v>
      </c>
      <c r="Q412">
        <f t="shared" ca="1" si="30"/>
        <v>37</v>
      </c>
      <c r="R412">
        <f t="shared" si="31"/>
        <v>6</v>
      </c>
      <c r="S412">
        <f t="shared" ca="1" si="32"/>
        <v>8</v>
      </c>
      <c r="T412" t="str">
        <f t="shared" ca="1" si="33"/>
        <v>On Track</v>
      </c>
      <c r="U412" t="str">
        <f t="shared" ca="1" si="34"/>
        <v>Normal</v>
      </c>
      <c r="V412" t="s">
        <v>33</v>
      </c>
    </row>
    <row r="413" spans="1:22">
      <c r="A413" t="s">
        <v>1186</v>
      </c>
      <c r="B413" t="s">
        <v>109</v>
      </c>
      <c r="C413" t="s">
        <v>1187</v>
      </c>
      <c r="D413" s="16">
        <v>14969.79</v>
      </c>
      <c r="E413" t="s">
        <v>156</v>
      </c>
      <c r="F413" t="s">
        <v>26</v>
      </c>
      <c r="G413" t="s">
        <v>1188</v>
      </c>
      <c r="H413" t="s">
        <v>394</v>
      </c>
      <c r="I413" t="s">
        <v>92</v>
      </c>
      <c r="J413" s="13">
        <v>46153</v>
      </c>
      <c r="K413" s="17" t="s">
        <v>30</v>
      </c>
      <c r="L413" s="13">
        <v>46168</v>
      </c>
      <c r="M413" t="s">
        <v>31</v>
      </c>
      <c r="N413" t="s">
        <v>32</v>
      </c>
      <c r="O413" s="13">
        <v>46159</v>
      </c>
      <c r="P413" s="13">
        <v>46172</v>
      </c>
      <c r="Q413">
        <f t="shared" ca="1" si="30"/>
        <v>36</v>
      </c>
      <c r="R413">
        <f t="shared" si="31"/>
        <v>6</v>
      </c>
      <c r="S413">
        <f t="shared" ca="1" si="32"/>
        <v>-21</v>
      </c>
      <c r="T413" t="str">
        <f t="shared" ca="1" si="33"/>
        <v>On Track</v>
      </c>
      <c r="U413" t="str">
        <f t="shared" ca="1" si="34"/>
        <v>Normal</v>
      </c>
      <c r="V413" t="s">
        <v>107</v>
      </c>
    </row>
    <row r="414" spans="1:22">
      <c r="A414" t="s">
        <v>1189</v>
      </c>
      <c r="B414" t="s">
        <v>115</v>
      </c>
      <c r="C414" t="s">
        <v>1190</v>
      </c>
      <c r="D414" s="16">
        <v>3940.39</v>
      </c>
      <c r="E414" t="s">
        <v>126</v>
      </c>
      <c r="F414" t="s">
        <v>26</v>
      </c>
      <c r="G414" t="s">
        <v>1191</v>
      </c>
      <c r="H414" t="s">
        <v>241</v>
      </c>
      <c r="I414" t="s">
        <v>29</v>
      </c>
      <c r="J414" s="13">
        <v>46180</v>
      </c>
      <c r="K414" s="17" t="s">
        <v>57</v>
      </c>
      <c r="L414" s="13">
        <v>46210</v>
      </c>
      <c r="M414" t="s">
        <v>41</v>
      </c>
      <c r="N414" t="s">
        <v>32</v>
      </c>
      <c r="Q414">
        <f t="shared" ca="1" si="30"/>
        <v>9</v>
      </c>
      <c r="R414" t="str">
        <f t="shared" si="31"/>
        <v/>
      </c>
      <c r="S414">
        <f t="shared" ca="1" si="32"/>
        <v>21</v>
      </c>
      <c r="T414" t="str">
        <f t="shared" ca="1" si="33"/>
        <v>Overdue</v>
      </c>
      <c r="U414" t="str">
        <f t="shared" ca="1" si="34"/>
        <v>Normal</v>
      </c>
      <c r="V414" t="s">
        <v>42</v>
      </c>
    </row>
    <row r="415" spans="1:22">
      <c r="A415" t="s">
        <v>1192</v>
      </c>
      <c r="B415" t="s">
        <v>251</v>
      </c>
      <c r="C415" t="s">
        <v>1193</v>
      </c>
      <c r="D415" s="16">
        <v>3978.79</v>
      </c>
      <c r="E415" t="s">
        <v>69</v>
      </c>
      <c r="F415" t="s">
        <v>26</v>
      </c>
      <c r="G415" t="s">
        <v>1194</v>
      </c>
      <c r="H415" t="s">
        <v>71</v>
      </c>
      <c r="I415" t="s">
        <v>29</v>
      </c>
      <c r="J415" s="13">
        <v>46163</v>
      </c>
      <c r="K415" s="17" t="s">
        <v>30</v>
      </c>
      <c r="L415" s="13">
        <v>46178</v>
      </c>
      <c r="M415" t="s">
        <v>31</v>
      </c>
      <c r="N415" t="s">
        <v>32</v>
      </c>
      <c r="O415" s="13">
        <v>46170</v>
      </c>
      <c r="P415" s="13">
        <v>46185</v>
      </c>
      <c r="Q415">
        <f t="shared" ca="1" si="30"/>
        <v>26</v>
      </c>
      <c r="R415">
        <f t="shared" si="31"/>
        <v>7</v>
      </c>
      <c r="S415">
        <f t="shared" ca="1" si="32"/>
        <v>-11</v>
      </c>
      <c r="T415" t="str">
        <f t="shared" ca="1" si="33"/>
        <v>On Track</v>
      </c>
      <c r="U415" t="str">
        <f t="shared" ca="1" si="34"/>
        <v>Normal</v>
      </c>
      <c r="V415" t="s">
        <v>107</v>
      </c>
    </row>
    <row r="416" spans="1:22">
      <c r="A416" t="s">
        <v>1195</v>
      </c>
      <c r="B416" t="s">
        <v>73</v>
      </c>
      <c r="C416" t="s">
        <v>1196</v>
      </c>
      <c r="D416" s="16">
        <v>13468.94</v>
      </c>
      <c r="E416" t="s">
        <v>142</v>
      </c>
      <c r="F416" t="s">
        <v>38</v>
      </c>
      <c r="H416" t="s">
        <v>144</v>
      </c>
      <c r="I416" t="s">
        <v>92</v>
      </c>
      <c r="J416" s="13">
        <v>46151</v>
      </c>
      <c r="K416" s="17" t="s">
        <v>57</v>
      </c>
      <c r="L416" s="13">
        <v>46181</v>
      </c>
      <c r="M416" t="s">
        <v>31</v>
      </c>
      <c r="N416" t="s">
        <v>32</v>
      </c>
      <c r="O416" s="13">
        <v>46156</v>
      </c>
      <c r="P416" s="13">
        <v>46161</v>
      </c>
      <c r="Q416">
        <f t="shared" ca="1" si="30"/>
        <v>38</v>
      </c>
      <c r="R416">
        <f t="shared" si="31"/>
        <v>5</v>
      </c>
      <c r="S416">
        <f t="shared" ca="1" si="32"/>
        <v>-8</v>
      </c>
      <c r="T416" t="str">
        <f t="shared" ca="1" si="33"/>
        <v>On Track</v>
      </c>
      <c r="U416" t="str">
        <f t="shared" ca="1" si="34"/>
        <v>Normal</v>
      </c>
      <c r="V416" t="s">
        <v>33</v>
      </c>
    </row>
    <row r="417" spans="1:22">
      <c r="A417" t="s">
        <v>1197</v>
      </c>
      <c r="B417" t="s">
        <v>73</v>
      </c>
      <c r="C417" t="s">
        <v>1198</v>
      </c>
      <c r="D417" s="16">
        <v>1737.08</v>
      </c>
      <c r="E417" t="s">
        <v>78</v>
      </c>
      <c r="F417" t="s">
        <v>38</v>
      </c>
      <c r="H417" t="s">
        <v>80</v>
      </c>
      <c r="I417" t="s">
        <v>29</v>
      </c>
      <c r="J417" s="13">
        <v>46153</v>
      </c>
      <c r="K417" s="17" t="s">
        <v>30</v>
      </c>
      <c r="L417" s="13">
        <v>46168</v>
      </c>
      <c r="M417" t="s">
        <v>31</v>
      </c>
      <c r="N417" t="s">
        <v>32</v>
      </c>
      <c r="O417" s="13">
        <v>46162</v>
      </c>
      <c r="P417" s="13">
        <v>46165</v>
      </c>
      <c r="Q417">
        <f t="shared" ca="1" si="30"/>
        <v>36</v>
      </c>
      <c r="R417">
        <f t="shared" si="31"/>
        <v>9</v>
      </c>
      <c r="S417">
        <f t="shared" ca="1" si="32"/>
        <v>-21</v>
      </c>
      <c r="T417" t="str">
        <f t="shared" ca="1" si="33"/>
        <v>On Track</v>
      </c>
      <c r="U417" t="str">
        <f t="shared" ca="1" si="34"/>
        <v>Normal</v>
      </c>
      <c r="V417" t="s">
        <v>33</v>
      </c>
    </row>
    <row r="418" spans="1:22">
      <c r="A418" t="s">
        <v>1199</v>
      </c>
      <c r="B418" t="s">
        <v>208</v>
      </c>
      <c r="C418" t="s">
        <v>1200</v>
      </c>
      <c r="D418" s="16">
        <v>625.58000000000004</v>
      </c>
      <c r="E418" t="s">
        <v>46</v>
      </c>
      <c r="F418" t="s">
        <v>26</v>
      </c>
      <c r="G418" t="s">
        <v>1201</v>
      </c>
      <c r="H418" t="s">
        <v>48</v>
      </c>
      <c r="I418" t="s">
        <v>29</v>
      </c>
      <c r="J418" s="13">
        <v>46179</v>
      </c>
      <c r="K418" s="17" t="s">
        <v>40</v>
      </c>
      <c r="L418" s="13">
        <v>46209</v>
      </c>
      <c r="M418" t="s">
        <v>145</v>
      </c>
      <c r="N418" t="s">
        <v>32</v>
      </c>
      <c r="O418" s="13">
        <v>46186</v>
      </c>
      <c r="Q418">
        <f t="shared" ca="1" si="30"/>
        <v>10</v>
      </c>
      <c r="R418">
        <f t="shared" si="31"/>
        <v>7</v>
      </c>
      <c r="S418">
        <f t="shared" ca="1" si="32"/>
        <v>20</v>
      </c>
      <c r="T418" t="str">
        <f t="shared" ca="1" si="33"/>
        <v>On Track</v>
      </c>
      <c r="U418" t="str">
        <f t="shared" ca="1" si="34"/>
        <v>Normal</v>
      </c>
    </row>
    <row r="419" spans="1:22">
      <c r="A419" t="s">
        <v>1202</v>
      </c>
      <c r="B419" t="s">
        <v>109</v>
      </c>
      <c r="C419" t="s">
        <v>1203</v>
      </c>
      <c r="D419" s="16">
        <v>14377.99</v>
      </c>
      <c r="E419" t="s">
        <v>46</v>
      </c>
      <c r="F419" t="s">
        <v>26</v>
      </c>
      <c r="G419" t="s">
        <v>1204</v>
      </c>
      <c r="H419" t="s">
        <v>161</v>
      </c>
      <c r="I419" t="s">
        <v>92</v>
      </c>
      <c r="J419" s="13">
        <v>46185</v>
      </c>
      <c r="K419" s="17" t="s">
        <v>57</v>
      </c>
      <c r="L419" s="13">
        <v>46215</v>
      </c>
      <c r="M419" t="s">
        <v>41</v>
      </c>
      <c r="N419" t="s">
        <v>32</v>
      </c>
      <c r="Q419">
        <f t="shared" ca="1" si="30"/>
        <v>4</v>
      </c>
      <c r="R419" t="str">
        <f t="shared" si="31"/>
        <v/>
      </c>
      <c r="S419">
        <f t="shared" ca="1" si="32"/>
        <v>26</v>
      </c>
      <c r="T419" t="str">
        <f t="shared" ca="1" si="33"/>
        <v>On Track</v>
      </c>
      <c r="U419" t="str">
        <f t="shared" ca="1" si="34"/>
        <v>Normal</v>
      </c>
      <c r="V419" t="s">
        <v>42</v>
      </c>
    </row>
    <row r="420" spans="1:22">
      <c r="A420" t="s">
        <v>1205</v>
      </c>
      <c r="B420" t="s">
        <v>168</v>
      </c>
      <c r="C420" t="s">
        <v>1206</v>
      </c>
      <c r="D420" s="16">
        <v>2870.88</v>
      </c>
      <c r="E420" t="s">
        <v>142</v>
      </c>
      <c r="F420" t="s">
        <v>26</v>
      </c>
      <c r="G420" t="s">
        <v>1207</v>
      </c>
      <c r="H420" t="s">
        <v>335</v>
      </c>
      <c r="I420" t="s">
        <v>29</v>
      </c>
      <c r="J420" s="13">
        <v>46171</v>
      </c>
      <c r="K420" s="17" t="s">
        <v>49</v>
      </c>
      <c r="L420" s="13">
        <v>46216</v>
      </c>
      <c r="M420" t="s">
        <v>31</v>
      </c>
      <c r="N420" t="s">
        <v>32</v>
      </c>
      <c r="O420" s="13">
        <v>46177</v>
      </c>
      <c r="P420" s="13">
        <v>46183</v>
      </c>
      <c r="Q420">
        <f t="shared" ca="1" si="30"/>
        <v>18</v>
      </c>
      <c r="R420">
        <f t="shared" si="31"/>
        <v>6</v>
      </c>
      <c r="S420">
        <f t="shared" ca="1" si="32"/>
        <v>27</v>
      </c>
      <c r="T420" t="str">
        <f t="shared" ca="1" si="33"/>
        <v>On Track</v>
      </c>
      <c r="U420" t="str">
        <f t="shared" ca="1" si="34"/>
        <v>Normal</v>
      </c>
      <c r="V420" t="s">
        <v>33</v>
      </c>
    </row>
    <row r="421" spans="1:22">
      <c r="A421" t="s">
        <v>1208</v>
      </c>
      <c r="B421" t="s">
        <v>151</v>
      </c>
      <c r="C421" t="s">
        <v>1209</v>
      </c>
      <c r="D421" s="16">
        <v>68327.360000000001</v>
      </c>
      <c r="E421" t="s">
        <v>46</v>
      </c>
      <c r="F421" t="s">
        <v>38</v>
      </c>
      <c r="H421" t="s">
        <v>121</v>
      </c>
      <c r="I421" t="s">
        <v>122</v>
      </c>
      <c r="J421" s="13">
        <v>46172</v>
      </c>
      <c r="K421" s="17" t="s">
        <v>57</v>
      </c>
      <c r="L421" s="13">
        <v>46202</v>
      </c>
      <c r="M421" t="s">
        <v>41</v>
      </c>
      <c r="N421" t="s">
        <v>32</v>
      </c>
      <c r="Q421">
        <f t="shared" ca="1" si="30"/>
        <v>17</v>
      </c>
      <c r="R421" t="str">
        <f t="shared" si="31"/>
        <v/>
      </c>
      <c r="S421">
        <f t="shared" ca="1" si="32"/>
        <v>13</v>
      </c>
      <c r="T421" t="str">
        <f t="shared" ca="1" si="33"/>
        <v>Overdue</v>
      </c>
      <c r="U421" t="str">
        <f t="shared" ca="1" si="34"/>
        <v>Normal</v>
      </c>
      <c r="V421" t="s">
        <v>42</v>
      </c>
    </row>
    <row r="422" spans="1:22">
      <c r="A422" t="s">
        <v>1210</v>
      </c>
      <c r="B422" t="s">
        <v>76</v>
      </c>
      <c r="C422" t="s">
        <v>1211</v>
      </c>
      <c r="D422" s="16">
        <v>498.15</v>
      </c>
      <c r="E422" t="s">
        <v>25</v>
      </c>
      <c r="F422" t="s">
        <v>38</v>
      </c>
      <c r="H422" t="s">
        <v>28</v>
      </c>
      <c r="I422" t="s">
        <v>29</v>
      </c>
      <c r="J422" s="13">
        <v>46153</v>
      </c>
      <c r="K422" s="17" t="s">
        <v>49</v>
      </c>
      <c r="L422" s="13">
        <v>46198</v>
      </c>
      <c r="M422" t="s">
        <v>31</v>
      </c>
      <c r="N422" t="s">
        <v>32</v>
      </c>
      <c r="O422" s="13">
        <v>46160</v>
      </c>
      <c r="P422" s="13">
        <v>46161</v>
      </c>
      <c r="Q422">
        <f t="shared" ca="1" si="30"/>
        <v>36</v>
      </c>
      <c r="R422">
        <f t="shared" si="31"/>
        <v>7</v>
      </c>
      <c r="S422">
        <f t="shared" ca="1" si="32"/>
        <v>9</v>
      </c>
      <c r="T422" t="str">
        <f t="shared" ca="1" si="33"/>
        <v>On Track</v>
      </c>
      <c r="U422" t="str">
        <f t="shared" ca="1" si="34"/>
        <v>Normal</v>
      </c>
      <c r="V422" t="s">
        <v>33</v>
      </c>
    </row>
    <row r="423" spans="1:22">
      <c r="A423" t="s">
        <v>1212</v>
      </c>
      <c r="B423" t="s">
        <v>172</v>
      </c>
      <c r="C423" t="s">
        <v>1213</v>
      </c>
      <c r="D423" s="16">
        <v>1177.3</v>
      </c>
      <c r="E423" t="s">
        <v>69</v>
      </c>
      <c r="F423" t="s">
        <v>26</v>
      </c>
      <c r="G423" t="s">
        <v>873</v>
      </c>
      <c r="H423" t="s">
        <v>71</v>
      </c>
      <c r="I423" t="s">
        <v>29</v>
      </c>
      <c r="J423" s="13">
        <v>46179</v>
      </c>
      <c r="K423" s="17" t="s">
        <v>40</v>
      </c>
      <c r="L423" s="13">
        <v>46209</v>
      </c>
      <c r="M423" t="s">
        <v>41</v>
      </c>
      <c r="N423" t="s">
        <v>32</v>
      </c>
      <c r="Q423">
        <f t="shared" ca="1" si="30"/>
        <v>10</v>
      </c>
      <c r="R423" t="str">
        <f t="shared" si="31"/>
        <v/>
      </c>
      <c r="S423">
        <f t="shared" ca="1" si="32"/>
        <v>20</v>
      </c>
      <c r="T423" t="str">
        <f t="shared" ca="1" si="33"/>
        <v>Overdue</v>
      </c>
      <c r="U423" t="str">
        <f t="shared" ca="1" si="34"/>
        <v>Normal</v>
      </c>
      <c r="V423" t="s">
        <v>42</v>
      </c>
    </row>
    <row r="424" spans="1:22">
      <c r="A424" t="s">
        <v>1214</v>
      </c>
      <c r="B424" t="s">
        <v>94</v>
      </c>
      <c r="C424" t="s">
        <v>1215</v>
      </c>
      <c r="D424" s="16">
        <v>3269.05</v>
      </c>
      <c r="E424" t="s">
        <v>55</v>
      </c>
      <c r="F424" t="s">
        <v>26</v>
      </c>
      <c r="G424" t="s">
        <v>1216</v>
      </c>
      <c r="H424" t="s">
        <v>56</v>
      </c>
      <c r="I424" t="s">
        <v>29</v>
      </c>
      <c r="J424" s="13">
        <v>46147</v>
      </c>
      <c r="K424" s="17" t="s">
        <v>49</v>
      </c>
      <c r="L424" s="13">
        <v>46192</v>
      </c>
      <c r="M424" t="s">
        <v>31</v>
      </c>
      <c r="N424" t="s">
        <v>32</v>
      </c>
      <c r="O424" s="13">
        <v>46152</v>
      </c>
      <c r="P424" s="13">
        <v>46158</v>
      </c>
      <c r="Q424">
        <f t="shared" ca="1" si="30"/>
        <v>42</v>
      </c>
      <c r="R424">
        <f t="shared" si="31"/>
        <v>5</v>
      </c>
      <c r="S424">
        <f t="shared" ca="1" si="32"/>
        <v>3</v>
      </c>
      <c r="T424" t="str">
        <f t="shared" ca="1" si="33"/>
        <v>On Track</v>
      </c>
      <c r="U424" t="str">
        <f t="shared" ca="1" si="34"/>
        <v>Normal</v>
      </c>
      <c r="V424" t="s">
        <v>33</v>
      </c>
    </row>
    <row r="425" spans="1:22">
      <c r="A425" t="s">
        <v>1217</v>
      </c>
      <c r="B425" t="s">
        <v>137</v>
      </c>
      <c r="C425" t="s">
        <v>1218</v>
      </c>
      <c r="D425" s="16">
        <v>3266.57</v>
      </c>
      <c r="E425" t="s">
        <v>55</v>
      </c>
      <c r="F425" t="s">
        <v>38</v>
      </c>
      <c r="H425" t="s">
        <v>56</v>
      </c>
      <c r="I425" t="s">
        <v>29</v>
      </c>
      <c r="J425" s="13">
        <v>46167</v>
      </c>
      <c r="K425" s="17" t="s">
        <v>30</v>
      </c>
      <c r="L425" s="13">
        <v>46182</v>
      </c>
      <c r="M425" t="s">
        <v>65</v>
      </c>
      <c r="N425" t="s">
        <v>32</v>
      </c>
      <c r="Q425">
        <f t="shared" ca="1" si="30"/>
        <v>22</v>
      </c>
      <c r="R425" t="str">
        <f t="shared" si="31"/>
        <v/>
      </c>
      <c r="S425">
        <f t="shared" ca="1" si="32"/>
        <v>-7</v>
      </c>
      <c r="T425" t="str">
        <f t="shared" ca="1" si="33"/>
        <v>On Track</v>
      </c>
      <c r="U425" t="str">
        <f t="shared" ca="1" si="34"/>
        <v>At Risk</v>
      </c>
    </row>
    <row r="426" spans="1:22">
      <c r="A426" t="s">
        <v>1219</v>
      </c>
      <c r="B426" t="s">
        <v>109</v>
      </c>
      <c r="C426" t="s">
        <v>1220</v>
      </c>
      <c r="D426" s="16">
        <v>14450.91</v>
      </c>
      <c r="E426" t="s">
        <v>25</v>
      </c>
      <c r="F426" t="s">
        <v>26</v>
      </c>
      <c r="G426" t="s">
        <v>1221</v>
      </c>
      <c r="H426" t="s">
        <v>149</v>
      </c>
      <c r="I426" t="s">
        <v>92</v>
      </c>
      <c r="J426" s="13">
        <v>46155</v>
      </c>
      <c r="K426" s="17" t="s">
        <v>57</v>
      </c>
      <c r="L426" s="13">
        <v>46185</v>
      </c>
      <c r="M426" t="s">
        <v>31</v>
      </c>
      <c r="N426" t="s">
        <v>32</v>
      </c>
      <c r="O426" s="13">
        <v>46173</v>
      </c>
      <c r="P426" s="13">
        <v>46186</v>
      </c>
      <c r="Q426">
        <f t="shared" ca="1" si="30"/>
        <v>34</v>
      </c>
      <c r="R426">
        <f t="shared" si="31"/>
        <v>18</v>
      </c>
      <c r="S426">
        <f t="shared" ca="1" si="32"/>
        <v>-4</v>
      </c>
      <c r="T426" t="str">
        <f t="shared" ca="1" si="33"/>
        <v>On Track</v>
      </c>
      <c r="U426" t="str">
        <f t="shared" ca="1" si="34"/>
        <v>Normal</v>
      </c>
      <c r="V426" t="s">
        <v>107</v>
      </c>
    </row>
    <row r="427" spans="1:22">
      <c r="A427" t="s">
        <v>1222</v>
      </c>
      <c r="B427" t="s">
        <v>82</v>
      </c>
      <c r="C427" t="s">
        <v>1223</v>
      </c>
      <c r="D427" s="16">
        <v>10946.09</v>
      </c>
      <c r="E427" t="s">
        <v>126</v>
      </c>
      <c r="F427" t="s">
        <v>26</v>
      </c>
      <c r="G427" t="s">
        <v>1224</v>
      </c>
      <c r="H427" t="s">
        <v>127</v>
      </c>
      <c r="I427" t="s">
        <v>92</v>
      </c>
      <c r="J427" s="13">
        <v>46154</v>
      </c>
      <c r="K427" s="17" t="s">
        <v>30</v>
      </c>
      <c r="L427" s="13">
        <v>46169</v>
      </c>
      <c r="M427" t="s">
        <v>31</v>
      </c>
      <c r="N427" t="s">
        <v>32</v>
      </c>
      <c r="O427" s="13">
        <v>46165</v>
      </c>
      <c r="P427" s="13">
        <v>46168</v>
      </c>
      <c r="Q427">
        <f t="shared" ca="1" si="30"/>
        <v>35</v>
      </c>
      <c r="R427">
        <f t="shared" si="31"/>
        <v>11</v>
      </c>
      <c r="S427">
        <f t="shared" ca="1" si="32"/>
        <v>-20</v>
      </c>
      <c r="T427" t="str">
        <f t="shared" ca="1" si="33"/>
        <v>On Track</v>
      </c>
      <c r="U427" t="str">
        <f t="shared" ca="1" si="34"/>
        <v>Normal</v>
      </c>
      <c r="V427" t="s">
        <v>33</v>
      </c>
    </row>
    <row r="428" spans="1:22">
      <c r="A428" t="s">
        <v>1225</v>
      </c>
      <c r="B428" t="s">
        <v>35</v>
      </c>
      <c r="C428" t="s">
        <v>1226</v>
      </c>
      <c r="D428" s="16">
        <v>17202.95</v>
      </c>
      <c r="E428" t="s">
        <v>156</v>
      </c>
      <c r="F428" t="s">
        <v>38</v>
      </c>
      <c r="H428" t="s">
        <v>394</v>
      </c>
      <c r="I428" t="s">
        <v>92</v>
      </c>
      <c r="J428" s="13">
        <v>46145</v>
      </c>
      <c r="K428" s="17" t="s">
        <v>49</v>
      </c>
      <c r="L428" s="13">
        <v>46190</v>
      </c>
      <c r="M428" t="s">
        <v>31</v>
      </c>
      <c r="N428" t="s">
        <v>32</v>
      </c>
      <c r="O428" s="13">
        <v>46154</v>
      </c>
      <c r="P428" s="13">
        <v>46158</v>
      </c>
      <c r="Q428">
        <f t="shared" ca="1" si="30"/>
        <v>44</v>
      </c>
      <c r="R428">
        <f t="shared" si="31"/>
        <v>9</v>
      </c>
      <c r="S428">
        <f t="shared" ca="1" si="32"/>
        <v>1</v>
      </c>
      <c r="T428" t="str">
        <f t="shared" ca="1" si="33"/>
        <v>On Track</v>
      </c>
      <c r="U428" t="str">
        <f t="shared" ca="1" si="34"/>
        <v>Normal</v>
      </c>
      <c r="V428" t="s">
        <v>33</v>
      </c>
    </row>
    <row r="429" spans="1:22">
      <c r="A429" t="s">
        <v>1227</v>
      </c>
      <c r="B429" t="s">
        <v>118</v>
      </c>
      <c r="C429" t="s">
        <v>1228</v>
      </c>
      <c r="D429" s="16">
        <v>18387.2</v>
      </c>
      <c r="E429" t="s">
        <v>37</v>
      </c>
      <c r="F429" t="s">
        <v>26</v>
      </c>
      <c r="G429" t="s">
        <v>1229</v>
      </c>
      <c r="H429" t="s">
        <v>815</v>
      </c>
      <c r="I429" t="s">
        <v>92</v>
      </c>
      <c r="J429" s="13">
        <v>46153</v>
      </c>
      <c r="K429" s="17" t="s">
        <v>40</v>
      </c>
      <c r="L429" s="13">
        <v>46183</v>
      </c>
      <c r="M429" t="s">
        <v>31</v>
      </c>
      <c r="N429" t="s">
        <v>100</v>
      </c>
      <c r="O429" s="13">
        <v>46165</v>
      </c>
      <c r="P429" s="13">
        <v>46167</v>
      </c>
      <c r="Q429">
        <f t="shared" ca="1" si="30"/>
        <v>36</v>
      </c>
      <c r="R429">
        <f t="shared" si="31"/>
        <v>12</v>
      </c>
      <c r="S429">
        <f t="shared" ca="1" si="32"/>
        <v>-6</v>
      </c>
      <c r="T429" t="str">
        <f t="shared" ca="1" si="33"/>
        <v>On Track</v>
      </c>
      <c r="U429" t="str">
        <f t="shared" ca="1" si="34"/>
        <v>Normal</v>
      </c>
      <c r="V429" t="s">
        <v>101</v>
      </c>
    </row>
    <row r="430" spans="1:22">
      <c r="A430" t="s">
        <v>1230</v>
      </c>
      <c r="B430" t="s">
        <v>222</v>
      </c>
      <c r="C430" t="s">
        <v>1231</v>
      </c>
      <c r="D430" s="16">
        <v>3890.48</v>
      </c>
      <c r="E430" t="s">
        <v>37</v>
      </c>
      <c r="F430" t="s">
        <v>38</v>
      </c>
      <c r="H430" t="s">
        <v>39</v>
      </c>
      <c r="I430" t="s">
        <v>29</v>
      </c>
      <c r="J430" s="13">
        <v>46163</v>
      </c>
      <c r="K430" s="17" t="s">
        <v>57</v>
      </c>
      <c r="L430" s="13">
        <v>46193</v>
      </c>
      <c r="M430" t="s">
        <v>31</v>
      </c>
      <c r="N430" t="s">
        <v>32</v>
      </c>
      <c r="O430" s="13">
        <v>46168</v>
      </c>
      <c r="P430" s="13">
        <v>46173</v>
      </c>
      <c r="Q430">
        <f t="shared" ca="1" si="30"/>
        <v>26</v>
      </c>
      <c r="R430">
        <f t="shared" si="31"/>
        <v>5</v>
      </c>
      <c r="S430">
        <f t="shared" ca="1" si="32"/>
        <v>4</v>
      </c>
      <c r="T430" t="str">
        <f t="shared" ca="1" si="33"/>
        <v>On Track</v>
      </c>
      <c r="U430" t="str">
        <f t="shared" ca="1" si="34"/>
        <v>Normal</v>
      </c>
      <c r="V430" t="s">
        <v>33</v>
      </c>
    </row>
    <row r="431" spans="1:22">
      <c r="A431" t="s">
        <v>1232</v>
      </c>
      <c r="B431" t="s">
        <v>76</v>
      </c>
      <c r="C431" t="s">
        <v>1233</v>
      </c>
      <c r="D431" s="16">
        <v>4069.83</v>
      </c>
      <c r="E431" t="s">
        <v>25</v>
      </c>
      <c r="F431" t="s">
        <v>26</v>
      </c>
      <c r="G431" t="s">
        <v>1234</v>
      </c>
      <c r="H431" t="s">
        <v>28</v>
      </c>
      <c r="I431" t="s">
        <v>29</v>
      </c>
      <c r="J431" s="13">
        <v>46164</v>
      </c>
      <c r="K431" s="17" t="s">
        <v>40</v>
      </c>
      <c r="L431" s="13">
        <v>46194</v>
      </c>
      <c r="M431" t="s">
        <v>31</v>
      </c>
      <c r="N431" t="s">
        <v>100</v>
      </c>
      <c r="O431" s="13">
        <v>46179</v>
      </c>
      <c r="P431" s="13">
        <v>46186</v>
      </c>
      <c r="Q431">
        <f t="shared" ca="1" si="30"/>
        <v>25</v>
      </c>
      <c r="R431">
        <f t="shared" si="31"/>
        <v>15</v>
      </c>
      <c r="S431">
        <f t="shared" ca="1" si="32"/>
        <v>5</v>
      </c>
      <c r="T431" t="str">
        <f t="shared" ca="1" si="33"/>
        <v>On Track</v>
      </c>
      <c r="U431" t="str">
        <f t="shared" ca="1" si="34"/>
        <v>Normal</v>
      </c>
      <c r="V431" t="s">
        <v>101</v>
      </c>
    </row>
    <row r="432" spans="1:22">
      <c r="A432" t="s">
        <v>1235</v>
      </c>
      <c r="B432" t="s">
        <v>76</v>
      </c>
      <c r="C432" t="s">
        <v>1236</v>
      </c>
      <c r="D432" s="16">
        <v>1105.0999999999999</v>
      </c>
      <c r="E432" t="s">
        <v>156</v>
      </c>
      <c r="F432" t="s">
        <v>26</v>
      </c>
      <c r="G432" t="s">
        <v>1237</v>
      </c>
      <c r="H432" t="s">
        <v>157</v>
      </c>
      <c r="I432" t="s">
        <v>29</v>
      </c>
      <c r="J432" s="13">
        <v>46183</v>
      </c>
      <c r="K432" s="17" t="s">
        <v>49</v>
      </c>
      <c r="L432" s="13">
        <v>46228</v>
      </c>
      <c r="M432" t="s">
        <v>65</v>
      </c>
      <c r="N432" t="s">
        <v>32</v>
      </c>
      <c r="Q432">
        <f t="shared" ca="1" si="30"/>
        <v>6</v>
      </c>
      <c r="R432" t="str">
        <f t="shared" si="31"/>
        <v/>
      </c>
      <c r="S432">
        <f t="shared" ca="1" si="32"/>
        <v>39</v>
      </c>
      <c r="T432" t="str">
        <f t="shared" ca="1" si="33"/>
        <v>On Track</v>
      </c>
      <c r="U432" t="str">
        <f t="shared" ca="1" si="34"/>
        <v>Normal</v>
      </c>
    </row>
    <row r="433" spans="1:22">
      <c r="A433" t="s">
        <v>1238</v>
      </c>
      <c r="B433" t="s">
        <v>118</v>
      </c>
      <c r="C433" t="s">
        <v>1239</v>
      </c>
      <c r="D433" s="16">
        <v>3381.04</v>
      </c>
      <c r="E433" t="s">
        <v>302</v>
      </c>
      <c r="F433" t="s">
        <v>26</v>
      </c>
      <c r="G433" t="s">
        <v>1240</v>
      </c>
      <c r="H433" t="s">
        <v>304</v>
      </c>
      <c r="I433" t="s">
        <v>29</v>
      </c>
      <c r="J433" s="13">
        <v>46182</v>
      </c>
      <c r="K433" s="17" t="s">
        <v>40</v>
      </c>
      <c r="L433" s="13">
        <v>46212</v>
      </c>
      <c r="M433" t="s">
        <v>99</v>
      </c>
      <c r="N433" t="s">
        <v>32</v>
      </c>
      <c r="O433" s="13">
        <v>46189</v>
      </c>
      <c r="Q433">
        <f t="shared" ca="1" si="30"/>
        <v>7</v>
      </c>
      <c r="R433">
        <f t="shared" si="31"/>
        <v>7</v>
      </c>
      <c r="S433">
        <f t="shared" ca="1" si="32"/>
        <v>23</v>
      </c>
      <c r="T433" t="str">
        <f t="shared" ca="1" si="33"/>
        <v>On Track</v>
      </c>
      <c r="U433" t="str">
        <f t="shared" ca="1" si="34"/>
        <v>Normal</v>
      </c>
    </row>
    <row r="434" spans="1:22">
      <c r="A434" t="s">
        <v>1241</v>
      </c>
      <c r="B434" t="s">
        <v>251</v>
      </c>
      <c r="C434" t="s">
        <v>1242</v>
      </c>
      <c r="D434" s="16">
        <v>1279.54</v>
      </c>
      <c r="E434" t="s">
        <v>46</v>
      </c>
      <c r="F434" t="s">
        <v>26</v>
      </c>
      <c r="G434" t="s">
        <v>1243</v>
      </c>
      <c r="H434" t="s">
        <v>48</v>
      </c>
      <c r="I434" t="s">
        <v>29</v>
      </c>
      <c r="J434" s="13">
        <v>46161</v>
      </c>
      <c r="K434" s="17" t="s">
        <v>40</v>
      </c>
      <c r="L434" s="13">
        <v>46191</v>
      </c>
      <c r="M434" t="s">
        <v>31</v>
      </c>
      <c r="N434" t="s">
        <v>32</v>
      </c>
      <c r="O434" s="13">
        <v>46165</v>
      </c>
      <c r="P434" s="13">
        <v>46166</v>
      </c>
      <c r="Q434">
        <f t="shared" ca="1" si="30"/>
        <v>28</v>
      </c>
      <c r="R434">
        <f t="shared" si="31"/>
        <v>4</v>
      </c>
      <c r="S434">
        <f t="shared" ca="1" si="32"/>
        <v>2</v>
      </c>
      <c r="T434" t="str">
        <f t="shared" ca="1" si="33"/>
        <v>On Track</v>
      </c>
      <c r="U434" t="str">
        <f t="shared" ca="1" si="34"/>
        <v>Normal</v>
      </c>
      <c r="V434" t="s">
        <v>33</v>
      </c>
    </row>
    <row r="435" spans="1:22">
      <c r="A435" t="s">
        <v>1244</v>
      </c>
      <c r="B435" t="s">
        <v>124</v>
      </c>
      <c r="C435" t="s">
        <v>1245</v>
      </c>
      <c r="D435" s="16">
        <v>1728.28</v>
      </c>
      <c r="E435" t="s">
        <v>37</v>
      </c>
      <c r="F435" t="s">
        <v>26</v>
      </c>
      <c r="G435" t="s">
        <v>1246</v>
      </c>
      <c r="H435" t="s">
        <v>39</v>
      </c>
      <c r="I435" t="s">
        <v>29</v>
      </c>
      <c r="J435" s="13">
        <v>46171</v>
      </c>
      <c r="K435" s="17" t="s">
        <v>40</v>
      </c>
      <c r="L435" s="13">
        <v>46201</v>
      </c>
      <c r="M435" t="s">
        <v>41</v>
      </c>
      <c r="N435" t="s">
        <v>32</v>
      </c>
      <c r="Q435">
        <f t="shared" ca="1" si="30"/>
        <v>18</v>
      </c>
      <c r="R435" t="str">
        <f t="shared" si="31"/>
        <v/>
      </c>
      <c r="S435">
        <f t="shared" ca="1" si="32"/>
        <v>12</v>
      </c>
      <c r="T435" t="str">
        <f t="shared" ca="1" si="33"/>
        <v>Overdue</v>
      </c>
      <c r="U435" t="str">
        <f t="shared" ca="1" si="34"/>
        <v>Normal</v>
      </c>
      <c r="V435" t="s">
        <v>42</v>
      </c>
    </row>
    <row r="436" spans="1:22">
      <c r="A436" t="s">
        <v>1247</v>
      </c>
      <c r="B436" t="s">
        <v>187</v>
      </c>
      <c r="C436" t="s">
        <v>1248</v>
      </c>
      <c r="D436" s="16">
        <v>2689.53</v>
      </c>
      <c r="E436" t="s">
        <v>69</v>
      </c>
      <c r="F436" t="s">
        <v>38</v>
      </c>
      <c r="H436" t="s">
        <v>71</v>
      </c>
      <c r="I436" t="s">
        <v>29</v>
      </c>
      <c r="J436" s="13">
        <v>46189</v>
      </c>
      <c r="K436" s="17" t="s">
        <v>30</v>
      </c>
      <c r="L436" s="13">
        <v>46204</v>
      </c>
      <c r="M436" t="s">
        <v>65</v>
      </c>
      <c r="N436" t="s">
        <v>32</v>
      </c>
      <c r="Q436">
        <f t="shared" ca="1" si="30"/>
        <v>0</v>
      </c>
      <c r="R436" t="str">
        <f t="shared" si="31"/>
        <v/>
      </c>
      <c r="S436">
        <f t="shared" ca="1" si="32"/>
        <v>15</v>
      </c>
      <c r="T436" t="str">
        <f t="shared" ca="1" si="33"/>
        <v>On Track</v>
      </c>
      <c r="U436" t="str">
        <f t="shared" ca="1" si="34"/>
        <v>Normal</v>
      </c>
    </row>
    <row r="437" spans="1:22">
      <c r="A437" t="s">
        <v>1249</v>
      </c>
      <c r="B437" t="s">
        <v>76</v>
      </c>
      <c r="C437" t="s">
        <v>1250</v>
      </c>
      <c r="D437" s="16">
        <v>2598.38</v>
      </c>
      <c r="E437" t="s">
        <v>302</v>
      </c>
      <c r="F437" t="s">
        <v>38</v>
      </c>
      <c r="H437" t="s">
        <v>304</v>
      </c>
      <c r="I437" t="s">
        <v>29</v>
      </c>
      <c r="J437" s="13">
        <v>46147</v>
      </c>
      <c r="K437" s="17" t="s">
        <v>57</v>
      </c>
      <c r="L437" s="13">
        <v>46177</v>
      </c>
      <c r="M437" t="s">
        <v>31</v>
      </c>
      <c r="N437" t="s">
        <v>32</v>
      </c>
      <c r="O437" s="13">
        <v>46156</v>
      </c>
      <c r="P437" s="13">
        <v>46160</v>
      </c>
      <c r="Q437">
        <f t="shared" ca="1" si="30"/>
        <v>42</v>
      </c>
      <c r="R437">
        <f t="shared" si="31"/>
        <v>9</v>
      </c>
      <c r="S437">
        <f t="shared" ca="1" si="32"/>
        <v>-12</v>
      </c>
      <c r="T437" t="str">
        <f t="shared" ca="1" si="33"/>
        <v>On Track</v>
      </c>
      <c r="U437" t="str">
        <f t="shared" ca="1" si="34"/>
        <v>Normal</v>
      </c>
      <c r="V437" t="s">
        <v>33</v>
      </c>
    </row>
    <row r="438" spans="1:22">
      <c r="A438" t="s">
        <v>1251</v>
      </c>
      <c r="B438" t="s">
        <v>187</v>
      </c>
      <c r="C438" t="s">
        <v>1252</v>
      </c>
      <c r="D438" s="16">
        <v>4361.72</v>
      </c>
      <c r="E438" t="s">
        <v>302</v>
      </c>
      <c r="F438" t="s">
        <v>26</v>
      </c>
      <c r="G438" t="s">
        <v>1253</v>
      </c>
      <c r="H438" t="s">
        <v>304</v>
      </c>
      <c r="I438" t="s">
        <v>29</v>
      </c>
      <c r="J438" s="13">
        <v>46172</v>
      </c>
      <c r="K438" s="17" t="s">
        <v>30</v>
      </c>
      <c r="L438" s="13">
        <v>46187</v>
      </c>
      <c r="M438" t="s">
        <v>31</v>
      </c>
      <c r="N438" t="s">
        <v>32</v>
      </c>
      <c r="O438" s="13">
        <v>46175</v>
      </c>
      <c r="P438" s="13">
        <v>46180</v>
      </c>
      <c r="Q438">
        <f t="shared" ca="1" si="30"/>
        <v>17</v>
      </c>
      <c r="R438">
        <f t="shared" si="31"/>
        <v>3</v>
      </c>
      <c r="S438">
        <f t="shared" ca="1" si="32"/>
        <v>-2</v>
      </c>
      <c r="T438" t="str">
        <f t="shared" ca="1" si="33"/>
        <v>On Track</v>
      </c>
      <c r="U438" t="str">
        <f t="shared" ca="1" si="34"/>
        <v>Normal</v>
      </c>
      <c r="V438" t="s">
        <v>33</v>
      </c>
    </row>
    <row r="439" spans="1:22">
      <c r="A439" t="s">
        <v>1254</v>
      </c>
      <c r="B439" t="s">
        <v>67</v>
      </c>
      <c r="C439" t="s">
        <v>1255</v>
      </c>
      <c r="D439" s="16">
        <v>1721.75</v>
      </c>
      <c r="E439" t="s">
        <v>46</v>
      </c>
      <c r="F439" t="s">
        <v>26</v>
      </c>
      <c r="G439" t="s">
        <v>1256</v>
      </c>
      <c r="H439" t="s">
        <v>48</v>
      </c>
      <c r="I439" t="s">
        <v>29</v>
      </c>
      <c r="J439" s="13">
        <v>46181</v>
      </c>
      <c r="K439" s="17" t="s">
        <v>57</v>
      </c>
      <c r="L439" s="13">
        <v>46211</v>
      </c>
      <c r="M439" t="s">
        <v>99</v>
      </c>
      <c r="N439" t="s">
        <v>179</v>
      </c>
      <c r="O439" s="13">
        <v>46188</v>
      </c>
      <c r="Q439">
        <f t="shared" ca="1" si="30"/>
        <v>8</v>
      </c>
      <c r="R439">
        <f t="shared" si="31"/>
        <v>7</v>
      </c>
      <c r="S439">
        <f t="shared" ca="1" si="32"/>
        <v>22</v>
      </c>
      <c r="T439" t="str">
        <f t="shared" ca="1" si="33"/>
        <v>On Track</v>
      </c>
      <c r="U439" t="str">
        <f t="shared" ca="1" si="34"/>
        <v>Normal</v>
      </c>
      <c r="V439" t="s">
        <v>180</v>
      </c>
    </row>
    <row r="440" spans="1:22">
      <c r="A440" t="s">
        <v>1257</v>
      </c>
      <c r="B440" t="s">
        <v>271</v>
      </c>
      <c r="C440" t="s">
        <v>1258</v>
      </c>
      <c r="D440" s="16">
        <v>6778.23</v>
      </c>
      <c r="E440" t="s">
        <v>69</v>
      </c>
      <c r="F440" t="s">
        <v>38</v>
      </c>
      <c r="H440" t="s">
        <v>178</v>
      </c>
      <c r="I440" t="s">
        <v>92</v>
      </c>
      <c r="J440" s="13">
        <v>46184</v>
      </c>
      <c r="K440" s="17" t="s">
        <v>49</v>
      </c>
      <c r="L440" s="13">
        <v>46229</v>
      </c>
      <c r="M440" t="s">
        <v>65</v>
      </c>
      <c r="N440" t="s">
        <v>32</v>
      </c>
      <c r="Q440">
        <f t="shared" ca="1" si="30"/>
        <v>5</v>
      </c>
      <c r="R440" t="str">
        <f t="shared" si="31"/>
        <v/>
      </c>
      <c r="S440">
        <f t="shared" ca="1" si="32"/>
        <v>40</v>
      </c>
      <c r="T440" t="str">
        <f t="shared" ca="1" si="33"/>
        <v>On Track</v>
      </c>
      <c r="U440" t="str">
        <f t="shared" ca="1" si="34"/>
        <v>Normal</v>
      </c>
    </row>
    <row r="441" spans="1:22">
      <c r="A441" t="s">
        <v>1259</v>
      </c>
      <c r="B441" t="s">
        <v>271</v>
      </c>
      <c r="C441" t="s">
        <v>1260</v>
      </c>
      <c r="D441" s="16">
        <v>3250.86</v>
      </c>
      <c r="E441" t="s">
        <v>142</v>
      </c>
      <c r="F441" t="s">
        <v>26</v>
      </c>
      <c r="G441" t="s">
        <v>1261</v>
      </c>
      <c r="H441" t="s">
        <v>335</v>
      </c>
      <c r="I441" t="s">
        <v>29</v>
      </c>
      <c r="J441" s="13">
        <v>46153</v>
      </c>
      <c r="K441" s="17" t="s">
        <v>57</v>
      </c>
      <c r="L441" s="13">
        <v>46183</v>
      </c>
      <c r="M441" t="s">
        <v>31</v>
      </c>
      <c r="N441" t="s">
        <v>32</v>
      </c>
      <c r="O441" s="13">
        <v>46158</v>
      </c>
      <c r="P441" s="13">
        <v>46165</v>
      </c>
      <c r="Q441">
        <f t="shared" ca="1" si="30"/>
        <v>36</v>
      </c>
      <c r="R441">
        <f t="shared" si="31"/>
        <v>5</v>
      </c>
      <c r="S441">
        <f t="shared" ca="1" si="32"/>
        <v>-6</v>
      </c>
      <c r="T441" t="str">
        <f t="shared" ca="1" si="33"/>
        <v>On Track</v>
      </c>
      <c r="U441" t="str">
        <f t="shared" ca="1" si="34"/>
        <v>Normal</v>
      </c>
      <c r="V441" t="s">
        <v>33</v>
      </c>
    </row>
    <row r="442" spans="1:22">
      <c r="A442" t="s">
        <v>1262</v>
      </c>
      <c r="B442" t="s">
        <v>151</v>
      </c>
      <c r="C442" t="s">
        <v>1263</v>
      </c>
      <c r="D442" s="16">
        <v>4338.37</v>
      </c>
      <c r="E442" t="s">
        <v>111</v>
      </c>
      <c r="F442" t="s">
        <v>38</v>
      </c>
      <c r="H442" t="s">
        <v>113</v>
      </c>
      <c r="I442" t="s">
        <v>29</v>
      </c>
      <c r="J442" s="13">
        <v>46144</v>
      </c>
      <c r="K442" s="17" t="s">
        <v>49</v>
      </c>
      <c r="L442" s="13">
        <v>46189</v>
      </c>
      <c r="M442" t="s">
        <v>31</v>
      </c>
      <c r="N442" t="s">
        <v>32</v>
      </c>
      <c r="O442" s="13">
        <v>46153</v>
      </c>
      <c r="P442" s="13">
        <v>46157</v>
      </c>
      <c r="Q442">
        <f t="shared" ca="1" si="30"/>
        <v>45</v>
      </c>
      <c r="R442">
        <f t="shared" si="31"/>
        <v>9</v>
      </c>
      <c r="S442">
        <f t="shared" ca="1" si="32"/>
        <v>0</v>
      </c>
      <c r="T442" t="str">
        <f t="shared" ca="1" si="33"/>
        <v>On Track</v>
      </c>
      <c r="U442" t="str">
        <f t="shared" ca="1" si="34"/>
        <v>Normal</v>
      </c>
      <c r="V442" t="s">
        <v>33</v>
      </c>
    </row>
    <row r="443" spans="1:22">
      <c r="A443" t="s">
        <v>1264</v>
      </c>
      <c r="B443" t="s">
        <v>172</v>
      </c>
      <c r="C443" t="s">
        <v>1265</v>
      </c>
      <c r="D443" s="16">
        <v>2314.5100000000002</v>
      </c>
      <c r="E443" t="s">
        <v>37</v>
      </c>
      <c r="F443" t="s">
        <v>26</v>
      </c>
      <c r="G443" t="s">
        <v>1266</v>
      </c>
      <c r="H443" t="s">
        <v>39</v>
      </c>
      <c r="I443" t="s">
        <v>29</v>
      </c>
      <c r="J443" s="13">
        <v>46182</v>
      </c>
      <c r="K443" s="17" t="s">
        <v>30</v>
      </c>
      <c r="L443" s="13">
        <v>46197</v>
      </c>
      <c r="M443" t="s">
        <v>41</v>
      </c>
      <c r="N443" t="s">
        <v>32</v>
      </c>
      <c r="Q443">
        <f t="shared" ca="1" si="30"/>
        <v>7</v>
      </c>
      <c r="R443" t="str">
        <f t="shared" si="31"/>
        <v/>
      </c>
      <c r="S443">
        <f t="shared" ca="1" si="32"/>
        <v>8</v>
      </c>
      <c r="T443" t="str">
        <f t="shared" ca="1" si="33"/>
        <v>Overdue</v>
      </c>
      <c r="U443" t="str">
        <f t="shared" ca="1" si="34"/>
        <v>Normal</v>
      </c>
      <c r="V443" t="s">
        <v>42</v>
      </c>
    </row>
    <row r="444" spans="1:22">
      <c r="A444" t="s">
        <v>1267</v>
      </c>
      <c r="B444" t="s">
        <v>172</v>
      </c>
      <c r="C444" t="s">
        <v>1268</v>
      </c>
      <c r="D444" s="16">
        <v>500.54</v>
      </c>
      <c r="E444" t="s">
        <v>302</v>
      </c>
      <c r="F444" t="s">
        <v>26</v>
      </c>
      <c r="G444" t="s">
        <v>1269</v>
      </c>
      <c r="H444" t="s">
        <v>304</v>
      </c>
      <c r="I444" t="s">
        <v>29</v>
      </c>
      <c r="J444" s="13">
        <v>46146</v>
      </c>
      <c r="K444" s="17" t="s">
        <v>49</v>
      </c>
      <c r="L444" s="13">
        <v>46191</v>
      </c>
      <c r="M444" t="s">
        <v>31</v>
      </c>
      <c r="N444" t="s">
        <v>32</v>
      </c>
      <c r="O444" s="13">
        <v>46149</v>
      </c>
      <c r="P444" s="13">
        <v>46153</v>
      </c>
      <c r="Q444">
        <f t="shared" ca="1" si="30"/>
        <v>43</v>
      </c>
      <c r="R444">
        <f t="shared" si="31"/>
        <v>3</v>
      </c>
      <c r="S444">
        <f t="shared" ca="1" si="32"/>
        <v>2</v>
      </c>
      <c r="T444" t="str">
        <f t="shared" ca="1" si="33"/>
        <v>On Track</v>
      </c>
      <c r="U444" t="str">
        <f t="shared" ca="1" si="34"/>
        <v>Normal</v>
      </c>
      <c r="V444" t="s">
        <v>33</v>
      </c>
    </row>
    <row r="445" spans="1:22">
      <c r="A445" t="s">
        <v>1270</v>
      </c>
      <c r="B445" t="s">
        <v>271</v>
      </c>
      <c r="C445" t="s">
        <v>1271</v>
      </c>
      <c r="D445" s="16">
        <v>3257.21</v>
      </c>
      <c r="E445" t="s">
        <v>111</v>
      </c>
      <c r="F445" t="s">
        <v>38</v>
      </c>
      <c r="H445" t="s">
        <v>113</v>
      </c>
      <c r="I445" t="s">
        <v>29</v>
      </c>
      <c r="J445" s="13">
        <v>46180</v>
      </c>
      <c r="K445" s="17" t="s">
        <v>57</v>
      </c>
      <c r="L445" s="13">
        <v>46210</v>
      </c>
      <c r="M445" t="s">
        <v>41</v>
      </c>
      <c r="N445" t="s">
        <v>100</v>
      </c>
      <c r="Q445">
        <f t="shared" ca="1" si="30"/>
        <v>9</v>
      </c>
      <c r="R445" t="str">
        <f t="shared" si="31"/>
        <v/>
      </c>
      <c r="S445">
        <f t="shared" ca="1" si="32"/>
        <v>21</v>
      </c>
      <c r="T445" t="str">
        <f t="shared" ca="1" si="33"/>
        <v>Overdue</v>
      </c>
      <c r="U445" t="str">
        <f t="shared" ca="1" si="34"/>
        <v>Normal</v>
      </c>
      <c r="V445" t="s">
        <v>101</v>
      </c>
    </row>
    <row r="446" spans="1:22">
      <c r="A446" t="s">
        <v>1272</v>
      </c>
      <c r="B446" t="s">
        <v>103</v>
      </c>
      <c r="C446" t="s">
        <v>1273</v>
      </c>
      <c r="D446" s="16">
        <v>19789.62</v>
      </c>
      <c r="E446" t="s">
        <v>55</v>
      </c>
      <c r="F446" t="s">
        <v>38</v>
      </c>
      <c r="H446" t="s">
        <v>579</v>
      </c>
      <c r="I446" t="s">
        <v>92</v>
      </c>
      <c r="J446" s="13">
        <v>46148</v>
      </c>
      <c r="K446" s="17" t="s">
        <v>49</v>
      </c>
      <c r="L446" s="13">
        <v>46193</v>
      </c>
      <c r="M446" t="s">
        <v>31</v>
      </c>
      <c r="N446" t="s">
        <v>50</v>
      </c>
      <c r="O446" s="13">
        <v>46165</v>
      </c>
      <c r="P446" s="13">
        <v>46167</v>
      </c>
      <c r="Q446">
        <f t="shared" ca="1" si="30"/>
        <v>41</v>
      </c>
      <c r="R446">
        <f t="shared" si="31"/>
        <v>17</v>
      </c>
      <c r="S446">
        <f t="shared" ca="1" si="32"/>
        <v>4</v>
      </c>
      <c r="T446" t="str">
        <f t="shared" ca="1" si="33"/>
        <v>On Track</v>
      </c>
      <c r="U446" t="str">
        <f t="shared" ca="1" si="34"/>
        <v>Normal</v>
      </c>
      <c r="V446" t="s">
        <v>51</v>
      </c>
    </row>
    <row r="447" spans="1:22">
      <c r="A447" t="s">
        <v>1274</v>
      </c>
      <c r="B447" t="s">
        <v>82</v>
      </c>
      <c r="C447" t="s">
        <v>1275</v>
      </c>
      <c r="D447" s="16">
        <v>4706.04</v>
      </c>
      <c r="E447" t="s">
        <v>25</v>
      </c>
      <c r="F447" t="s">
        <v>26</v>
      </c>
      <c r="G447" t="s">
        <v>1276</v>
      </c>
      <c r="H447" t="s">
        <v>28</v>
      </c>
      <c r="I447" t="s">
        <v>29</v>
      </c>
      <c r="J447" s="13">
        <v>46174</v>
      </c>
      <c r="K447" s="17" t="s">
        <v>49</v>
      </c>
      <c r="L447" s="13">
        <v>46219</v>
      </c>
      <c r="M447" t="s">
        <v>31</v>
      </c>
      <c r="N447" t="s">
        <v>32</v>
      </c>
      <c r="O447" s="13">
        <v>46183</v>
      </c>
      <c r="P447" s="13">
        <v>46188</v>
      </c>
      <c r="Q447">
        <f t="shared" ca="1" si="30"/>
        <v>15</v>
      </c>
      <c r="R447">
        <f t="shared" si="31"/>
        <v>9</v>
      </c>
      <c r="S447">
        <f t="shared" ca="1" si="32"/>
        <v>30</v>
      </c>
      <c r="T447" t="str">
        <f t="shared" ca="1" si="33"/>
        <v>On Track</v>
      </c>
      <c r="U447" t="str">
        <f t="shared" ca="1" si="34"/>
        <v>Normal</v>
      </c>
      <c r="V447" t="s">
        <v>33</v>
      </c>
    </row>
    <row r="448" spans="1:22">
      <c r="A448" t="s">
        <v>1277</v>
      </c>
      <c r="B448" t="s">
        <v>103</v>
      </c>
      <c r="C448" t="s">
        <v>1278</v>
      </c>
      <c r="D448" s="16">
        <v>2508.61</v>
      </c>
      <c r="E448" t="s">
        <v>46</v>
      </c>
      <c r="F448" t="s">
        <v>38</v>
      </c>
      <c r="H448" t="s">
        <v>48</v>
      </c>
      <c r="I448" t="s">
        <v>29</v>
      </c>
      <c r="J448" s="13">
        <v>46175</v>
      </c>
      <c r="K448" s="17" t="s">
        <v>40</v>
      </c>
      <c r="L448" s="13">
        <v>46205</v>
      </c>
      <c r="M448" t="s">
        <v>31</v>
      </c>
      <c r="N448" t="s">
        <v>58</v>
      </c>
      <c r="O448" s="13">
        <v>46186</v>
      </c>
      <c r="P448" s="13">
        <v>46187</v>
      </c>
      <c r="Q448">
        <f t="shared" ca="1" si="30"/>
        <v>14</v>
      </c>
      <c r="R448">
        <f t="shared" si="31"/>
        <v>11</v>
      </c>
      <c r="S448">
        <f t="shared" ca="1" si="32"/>
        <v>16</v>
      </c>
      <c r="T448" t="str">
        <f t="shared" ca="1" si="33"/>
        <v>On Track</v>
      </c>
      <c r="U448" t="str">
        <f t="shared" ca="1" si="34"/>
        <v>Normal</v>
      </c>
      <c r="V448" t="s">
        <v>59</v>
      </c>
    </row>
    <row r="449" spans="1:22">
      <c r="A449" t="s">
        <v>1279</v>
      </c>
      <c r="B449" t="s">
        <v>23</v>
      </c>
      <c r="C449" t="s">
        <v>1280</v>
      </c>
      <c r="D449" s="16">
        <v>9042.9500000000007</v>
      </c>
      <c r="E449" t="s">
        <v>25</v>
      </c>
      <c r="F449" t="s">
        <v>38</v>
      </c>
      <c r="H449" t="s">
        <v>149</v>
      </c>
      <c r="I449" t="s">
        <v>92</v>
      </c>
      <c r="J449" s="13">
        <v>46170</v>
      </c>
      <c r="K449" s="17" t="s">
        <v>40</v>
      </c>
      <c r="L449" s="13">
        <v>46200</v>
      </c>
      <c r="M449" t="s">
        <v>41</v>
      </c>
      <c r="N449" t="s">
        <v>32</v>
      </c>
      <c r="Q449">
        <f t="shared" ca="1" si="30"/>
        <v>19</v>
      </c>
      <c r="R449" t="str">
        <f t="shared" si="31"/>
        <v/>
      </c>
      <c r="S449">
        <f t="shared" ca="1" si="32"/>
        <v>11</v>
      </c>
      <c r="T449" t="str">
        <f t="shared" ca="1" si="33"/>
        <v>Overdue</v>
      </c>
      <c r="U449" t="str">
        <f t="shared" ca="1" si="34"/>
        <v>Normal</v>
      </c>
      <c r="V449" t="s">
        <v>42</v>
      </c>
    </row>
    <row r="450" spans="1:22">
      <c r="A450" t="s">
        <v>1281</v>
      </c>
      <c r="B450" t="s">
        <v>151</v>
      </c>
      <c r="C450" t="s">
        <v>1282</v>
      </c>
      <c r="D450" s="16">
        <v>11001.56</v>
      </c>
      <c r="E450" t="s">
        <v>156</v>
      </c>
      <c r="F450" t="s">
        <v>26</v>
      </c>
      <c r="G450" t="s">
        <v>1283</v>
      </c>
      <c r="H450" t="s">
        <v>394</v>
      </c>
      <c r="I450" t="s">
        <v>92</v>
      </c>
      <c r="J450" s="13">
        <v>46144</v>
      </c>
      <c r="K450" s="17" t="s">
        <v>30</v>
      </c>
      <c r="L450" s="13">
        <v>46159</v>
      </c>
      <c r="M450" t="s">
        <v>31</v>
      </c>
      <c r="N450" t="s">
        <v>32</v>
      </c>
      <c r="O450" s="13">
        <v>46150</v>
      </c>
      <c r="P450" s="13">
        <v>46155</v>
      </c>
      <c r="Q450">
        <f t="shared" ref="Q450:Q513" ca="1" si="35">IF(J450="","",TODAY()-J450)</f>
        <v>45</v>
      </c>
      <c r="R450">
        <f t="shared" ref="R450:R513" si="36">IF(O450="","",O450-J450)</f>
        <v>6</v>
      </c>
      <c r="S450">
        <f t="shared" ref="S450:S513" ca="1" si="37">IF(L450="","",L450-TODAY())</f>
        <v>-30</v>
      </c>
      <c r="T450" t="str">
        <f t="shared" ref="T450:T513" ca="1" si="38">IF(AND(M450="Pending Approval",Q450&gt;5),"Overdue","On Track")</f>
        <v>On Track</v>
      </c>
      <c r="U450" t="str">
        <f t="shared" ref="U450:U513" ca="1" si="39">IF(AND(M450&lt;&gt;"Paid",S450&lt;=5),"At Risk","Normal")</f>
        <v>Normal</v>
      </c>
      <c r="V450" t="s">
        <v>33</v>
      </c>
    </row>
    <row r="451" spans="1:22">
      <c r="A451" t="s">
        <v>1284</v>
      </c>
      <c r="B451" t="s">
        <v>94</v>
      </c>
      <c r="C451" t="s">
        <v>1285</v>
      </c>
      <c r="D451" s="16">
        <v>4043.91</v>
      </c>
      <c r="E451" t="s">
        <v>46</v>
      </c>
      <c r="F451" t="s">
        <v>38</v>
      </c>
      <c r="H451" t="s">
        <v>48</v>
      </c>
      <c r="I451" t="s">
        <v>29</v>
      </c>
      <c r="J451" s="13">
        <v>46174</v>
      </c>
      <c r="K451" s="17" t="s">
        <v>40</v>
      </c>
      <c r="L451" s="13">
        <v>46204</v>
      </c>
      <c r="M451" t="s">
        <v>41</v>
      </c>
      <c r="N451" t="s">
        <v>58</v>
      </c>
      <c r="Q451">
        <f t="shared" ca="1" si="35"/>
        <v>15</v>
      </c>
      <c r="R451" t="str">
        <f t="shared" si="36"/>
        <v/>
      </c>
      <c r="S451">
        <f t="shared" ca="1" si="37"/>
        <v>15</v>
      </c>
      <c r="T451" t="str">
        <f t="shared" ca="1" si="38"/>
        <v>Overdue</v>
      </c>
      <c r="U451" t="str">
        <f t="shared" ca="1" si="39"/>
        <v>Normal</v>
      </c>
      <c r="V451" t="s">
        <v>59</v>
      </c>
    </row>
    <row r="452" spans="1:22">
      <c r="A452" t="s">
        <v>1286</v>
      </c>
      <c r="B452" t="s">
        <v>73</v>
      </c>
      <c r="C452" t="s">
        <v>1287</v>
      </c>
      <c r="D452" s="16">
        <v>13072.08</v>
      </c>
      <c r="E452" t="s">
        <v>62</v>
      </c>
      <c r="F452" t="s">
        <v>38</v>
      </c>
      <c r="H452" t="s">
        <v>106</v>
      </c>
      <c r="I452" t="s">
        <v>92</v>
      </c>
      <c r="J452" s="13">
        <v>46177</v>
      </c>
      <c r="K452" s="17" t="s">
        <v>49</v>
      </c>
      <c r="L452" s="13">
        <v>46222</v>
      </c>
      <c r="M452" t="s">
        <v>41</v>
      </c>
      <c r="N452" t="s">
        <v>32</v>
      </c>
      <c r="Q452">
        <f t="shared" ca="1" si="35"/>
        <v>12</v>
      </c>
      <c r="R452" t="str">
        <f t="shared" si="36"/>
        <v/>
      </c>
      <c r="S452">
        <f t="shared" ca="1" si="37"/>
        <v>33</v>
      </c>
      <c r="T452" t="str">
        <f t="shared" ca="1" si="38"/>
        <v>Overdue</v>
      </c>
      <c r="U452" t="str">
        <f t="shared" ca="1" si="39"/>
        <v>Normal</v>
      </c>
      <c r="V452" t="s">
        <v>42</v>
      </c>
    </row>
    <row r="453" spans="1:22">
      <c r="A453" t="s">
        <v>1288</v>
      </c>
      <c r="B453" t="s">
        <v>103</v>
      </c>
      <c r="C453" t="s">
        <v>1289</v>
      </c>
      <c r="D453" s="16">
        <v>44991.97</v>
      </c>
      <c r="E453" t="s">
        <v>25</v>
      </c>
      <c r="F453" t="s">
        <v>26</v>
      </c>
      <c r="G453" t="s">
        <v>1290</v>
      </c>
      <c r="H453" t="s">
        <v>121</v>
      </c>
      <c r="I453" t="s">
        <v>122</v>
      </c>
      <c r="J453" s="13">
        <v>46184</v>
      </c>
      <c r="K453" s="17" t="s">
        <v>57</v>
      </c>
      <c r="L453" s="13">
        <v>46214</v>
      </c>
      <c r="M453" t="s">
        <v>41</v>
      </c>
      <c r="N453" t="s">
        <v>32</v>
      </c>
      <c r="Q453">
        <f t="shared" ca="1" si="35"/>
        <v>5</v>
      </c>
      <c r="R453" t="str">
        <f t="shared" si="36"/>
        <v/>
      </c>
      <c r="S453">
        <f t="shared" ca="1" si="37"/>
        <v>25</v>
      </c>
      <c r="T453" t="str">
        <f t="shared" ca="1" si="38"/>
        <v>On Track</v>
      </c>
      <c r="U453" t="str">
        <f t="shared" ca="1" si="39"/>
        <v>Normal</v>
      </c>
      <c r="V453" t="s">
        <v>42</v>
      </c>
    </row>
    <row r="454" spans="1:22">
      <c r="A454" t="s">
        <v>1291</v>
      </c>
      <c r="B454" t="s">
        <v>151</v>
      </c>
      <c r="C454" t="s">
        <v>1292</v>
      </c>
      <c r="D454" s="16">
        <v>18841.88</v>
      </c>
      <c r="E454" t="s">
        <v>69</v>
      </c>
      <c r="F454" t="s">
        <v>26</v>
      </c>
      <c r="G454" t="s">
        <v>1293</v>
      </c>
      <c r="H454" t="s">
        <v>178</v>
      </c>
      <c r="I454" t="s">
        <v>92</v>
      </c>
      <c r="J454" s="13">
        <v>46175</v>
      </c>
      <c r="K454" s="17" t="s">
        <v>57</v>
      </c>
      <c r="L454" s="13">
        <v>46205</v>
      </c>
      <c r="M454" t="s">
        <v>31</v>
      </c>
      <c r="N454" t="s">
        <v>32</v>
      </c>
      <c r="O454" s="13">
        <v>46180</v>
      </c>
      <c r="P454" s="13">
        <v>46183</v>
      </c>
      <c r="Q454">
        <f t="shared" ca="1" si="35"/>
        <v>14</v>
      </c>
      <c r="R454">
        <f t="shared" si="36"/>
        <v>5</v>
      </c>
      <c r="S454">
        <f t="shared" ca="1" si="37"/>
        <v>16</v>
      </c>
      <c r="T454" t="str">
        <f t="shared" ca="1" si="38"/>
        <v>On Track</v>
      </c>
      <c r="U454" t="str">
        <f t="shared" ca="1" si="39"/>
        <v>Normal</v>
      </c>
      <c r="V454" t="s">
        <v>33</v>
      </c>
    </row>
    <row r="455" spans="1:22">
      <c r="A455" t="s">
        <v>1294</v>
      </c>
      <c r="B455" t="s">
        <v>53</v>
      </c>
      <c r="C455" t="s">
        <v>1295</v>
      </c>
      <c r="D455" s="16">
        <v>20166.91</v>
      </c>
      <c r="E455" t="s">
        <v>142</v>
      </c>
      <c r="F455" t="s">
        <v>38</v>
      </c>
      <c r="H455" t="s">
        <v>144</v>
      </c>
      <c r="I455" t="s">
        <v>92</v>
      </c>
      <c r="J455" s="13">
        <v>46172</v>
      </c>
      <c r="K455" s="17" t="s">
        <v>30</v>
      </c>
      <c r="L455" s="13">
        <v>46187</v>
      </c>
      <c r="M455" t="s">
        <v>65</v>
      </c>
      <c r="N455" t="s">
        <v>58</v>
      </c>
      <c r="Q455">
        <f t="shared" ca="1" si="35"/>
        <v>17</v>
      </c>
      <c r="R455" t="str">
        <f t="shared" si="36"/>
        <v/>
      </c>
      <c r="S455">
        <f t="shared" ca="1" si="37"/>
        <v>-2</v>
      </c>
      <c r="T455" t="str">
        <f t="shared" ca="1" si="38"/>
        <v>On Track</v>
      </c>
      <c r="U455" t="str">
        <f t="shared" ca="1" si="39"/>
        <v>At Risk</v>
      </c>
      <c r="V455" t="s">
        <v>59</v>
      </c>
    </row>
    <row r="456" spans="1:22">
      <c r="A456" t="s">
        <v>1296</v>
      </c>
      <c r="B456" t="s">
        <v>35</v>
      </c>
      <c r="C456" t="s">
        <v>1297</v>
      </c>
      <c r="D456" s="16">
        <v>7794.25</v>
      </c>
      <c r="E456" t="s">
        <v>156</v>
      </c>
      <c r="F456" t="s">
        <v>38</v>
      </c>
      <c r="H456" t="s">
        <v>394</v>
      </c>
      <c r="I456" t="s">
        <v>92</v>
      </c>
      <c r="J456" s="13">
        <v>46177</v>
      </c>
      <c r="K456" s="17" t="s">
        <v>57</v>
      </c>
      <c r="L456" s="13">
        <v>46207</v>
      </c>
      <c r="M456" t="s">
        <v>65</v>
      </c>
      <c r="N456" t="s">
        <v>50</v>
      </c>
      <c r="Q456">
        <f t="shared" ca="1" si="35"/>
        <v>12</v>
      </c>
      <c r="R456" t="str">
        <f t="shared" si="36"/>
        <v/>
      </c>
      <c r="S456">
        <f t="shared" ca="1" si="37"/>
        <v>18</v>
      </c>
      <c r="T456" t="str">
        <f t="shared" ca="1" si="38"/>
        <v>On Track</v>
      </c>
      <c r="U456" t="str">
        <f t="shared" ca="1" si="39"/>
        <v>Normal</v>
      </c>
      <c r="V456" t="s">
        <v>51</v>
      </c>
    </row>
    <row r="457" spans="1:22">
      <c r="A457" t="s">
        <v>1298</v>
      </c>
      <c r="B457" t="s">
        <v>187</v>
      </c>
      <c r="C457" t="s">
        <v>1299</v>
      </c>
      <c r="D457" s="16">
        <v>4295.8</v>
      </c>
      <c r="E457" t="s">
        <v>25</v>
      </c>
      <c r="F457" t="s">
        <v>26</v>
      </c>
      <c r="G457" t="s">
        <v>1300</v>
      </c>
      <c r="H457" t="s">
        <v>28</v>
      </c>
      <c r="I457" t="s">
        <v>29</v>
      </c>
      <c r="J457" s="13">
        <v>46186</v>
      </c>
      <c r="K457" s="17" t="s">
        <v>49</v>
      </c>
      <c r="L457" s="13">
        <v>46231</v>
      </c>
      <c r="M457" t="s">
        <v>65</v>
      </c>
      <c r="N457" t="s">
        <v>32</v>
      </c>
      <c r="Q457">
        <f t="shared" ca="1" si="35"/>
        <v>3</v>
      </c>
      <c r="R457" t="str">
        <f t="shared" si="36"/>
        <v/>
      </c>
      <c r="S457">
        <f t="shared" ca="1" si="37"/>
        <v>42</v>
      </c>
      <c r="T457" t="str">
        <f t="shared" ca="1" si="38"/>
        <v>On Track</v>
      </c>
      <c r="U457" t="str">
        <f t="shared" ca="1" si="39"/>
        <v>Normal</v>
      </c>
    </row>
    <row r="458" spans="1:22">
      <c r="A458" t="s">
        <v>1301</v>
      </c>
      <c r="B458" t="s">
        <v>73</v>
      </c>
      <c r="C458" t="s">
        <v>1302</v>
      </c>
      <c r="D458" s="16">
        <v>1508.76</v>
      </c>
      <c r="E458" t="s">
        <v>126</v>
      </c>
      <c r="F458" t="s">
        <v>26</v>
      </c>
      <c r="G458" t="s">
        <v>1303</v>
      </c>
      <c r="H458" t="s">
        <v>241</v>
      </c>
      <c r="I458" t="s">
        <v>29</v>
      </c>
      <c r="J458" s="13">
        <v>46186</v>
      </c>
      <c r="K458" s="17" t="s">
        <v>30</v>
      </c>
      <c r="L458" s="13">
        <v>46201</v>
      </c>
      <c r="M458" t="s">
        <v>41</v>
      </c>
      <c r="N458" t="s">
        <v>32</v>
      </c>
      <c r="Q458">
        <f t="shared" ca="1" si="35"/>
        <v>3</v>
      </c>
      <c r="R458" t="str">
        <f t="shared" si="36"/>
        <v/>
      </c>
      <c r="S458">
        <f t="shared" ca="1" si="37"/>
        <v>12</v>
      </c>
      <c r="T458" t="str">
        <f t="shared" ca="1" si="38"/>
        <v>On Track</v>
      </c>
      <c r="U458" t="str">
        <f t="shared" ca="1" si="39"/>
        <v>Normal</v>
      </c>
      <c r="V458" t="s">
        <v>42</v>
      </c>
    </row>
    <row r="459" spans="1:22">
      <c r="A459" t="s">
        <v>1304</v>
      </c>
      <c r="B459" t="s">
        <v>187</v>
      </c>
      <c r="C459" t="s">
        <v>1305</v>
      </c>
      <c r="D459" s="16">
        <v>1189.93</v>
      </c>
      <c r="E459" t="s">
        <v>78</v>
      </c>
      <c r="F459" t="s">
        <v>26</v>
      </c>
      <c r="G459" t="s">
        <v>1306</v>
      </c>
      <c r="H459" t="s">
        <v>80</v>
      </c>
      <c r="I459" t="s">
        <v>29</v>
      </c>
      <c r="J459" s="13">
        <v>46161</v>
      </c>
      <c r="K459" s="17" t="s">
        <v>57</v>
      </c>
      <c r="L459" s="13">
        <v>46191</v>
      </c>
      <c r="M459" t="s">
        <v>31</v>
      </c>
      <c r="N459" t="s">
        <v>100</v>
      </c>
      <c r="O459" s="13">
        <v>46173</v>
      </c>
      <c r="P459" s="13">
        <v>46174</v>
      </c>
      <c r="Q459">
        <f t="shared" ca="1" si="35"/>
        <v>28</v>
      </c>
      <c r="R459">
        <f t="shared" si="36"/>
        <v>12</v>
      </c>
      <c r="S459">
        <f t="shared" ca="1" si="37"/>
        <v>2</v>
      </c>
      <c r="T459" t="str">
        <f t="shared" ca="1" si="38"/>
        <v>On Track</v>
      </c>
      <c r="U459" t="str">
        <f t="shared" ca="1" si="39"/>
        <v>Normal</v>
      </c>
      <c r="V459" t="s">
        <v>101</v>
      </c>
    </row>
    <row r="460" spans="1:22">
      <c r="A460" t="s">
        <v>1307</v>
      </c>
      <c r="B460" t="s">
        <v>187</v>
      </c>
      <c r="C460" t="s">
        <v>1308</v>
      </c>
      <c r="D460" s="16">
        <v>480.8</v>
      </c>
      <c r="E460" t="s">
        <v>142</v>
      </c>
      <c r="F460" t="s">
        <v>26</v>
      </c>
      <c r="G460" t="s">
        <v>1309</v>
      </c>
      <c r="H460" t="s">
        <v>335</v>
      </c>
      <c r="I460" t="s">
        <v>29</v>
      </c>
      <c r="J460" s="13">
        <v>46187</v>
      </c>
      <c r="K460" s="17" t="s">
        <v>30</v>
      </c>
      <c r="L460" s="13">
        <v>46202</v>
      </c>
      <c r="M460" t="s">
        <v>41</v>
      </c>
      <c r="N460" t="s">
        <v>32</v>
      </c>
      <c r="Q460">
        <f t="shared" ca="1" si="35"/>
        <v>2</v>
      </c>
      <c r="R460" t="str">
        <f t="shared" si="36"/>
        <v/>
      </c>
      <c r="S460">
        <f t="shared" ca="1" si="37"/>
        <v>13</v>
      </c>
      <c r="T460" t="str">
        <f t="shared" ca="1" si="38"/>
        <v>On Track</v>
      </c>
      <c r="U460" t="str">
        <f t="shared" ca="1" si="39"/>
        <v>Normal</v>
      </c>
      <c r="V460" t="s">
        <v>42</v>
      </c>
    </row>
    <row r="461" spans="1:22">
      <c r="A461" t="s">
        <v>1310</v>
      </c>
      <c r="B461" t="s">
        <v>271</v>
      </c>
      <c r="C461" t="s">
        <v>1311</v>
      </c>
      <c r="D461" s="16">
        <v>2947.04</v>
      </c>
      <c r="E461" t="s">
        <v>69</v>
      </c>
      <c r="F461" t="s">
        <v>38</v>
      </c>
      <c r="H461" t="s">
        <v>71</v>
      </c>
      <c r="I461" t="s">
        <v>29</v>
      </c>
      <c r="J461" s="13">
        <v>46188</v>
      </c>
      <c r="K461" s="17" t="s">
        <v>40</v>
      </c>
      <c r="L461" s="13">
        <v>46218</v>
      </c>
      <c r="M461" t="s">
        <v>99</v>
      </c>
      <c r="N461" t="s">
        <v>32</v>
      </c>
      <c r="O461" s="13">
        <v>46189</v>
      </c>
      <c r="Q461">
        <f t="shared" ca="1" si="35"/>
        <v>1</v>
      </c>
      <c r="R461">
        <f t="shared" si="36"/>
        <v>1</v>
      </c>
      <c r="S461">
        <f t="shared" ca="1" si="37"/>
        <v>29</v>
      </c>
      <c r="T461" t="str">
        <f t="shared" ca="1" si="38"/>
        <v>On Track</v>
      </c>
      <c r="U461" t="str">
        <f t="shared" ca="1" si="39"/>
        <v>Normal</v>
      </c>
    </row>
    <row r="462" spans="1:22">
      <c r="A462" t="s">
        <v>1312</v>
      </c>
      <c r="B462" t="s">
        <v>124</v>
      </c>
      <c r="C462" t="s">
        <v>1313</v>
      </c>
      <c r="D462" s="16">
        <v>3948.47</v>
      </c>
      <c r="E462" t="s">
        <v>37</v>
      </c>
      <c r="F462" t="s">
        <v>38</v>
      </c>
      <c r="H462" t="s">
        <v>39</v>
      </c>
      <c r="I462" t="s">
        <v>29</v>
      </c>
      <c r="J462" s="13">
        <v>46173</v>
      </c>
      <c r="K462" s="17" t="s">
        <v>30</v>
      </c>
      <c r="L462" s="13">
        <v>46188</v>
      </c>
      <c r="M462" t="s">
        <v>31</v>
      </c>
      <c r="N462" t="s">
        <v>32</v>
      </c>
      <c r="O462" s="13">
        <v>46185</v>
      </c>
      <c r="P462" s="13">
        <v>46187</v>
      </c>
      <c r="Q462">
        <f t="shared" ca="1" si="35"/>
        <v>16</v>
      </c>
      <c r="R462">
        <f t="shared" si="36"/>
        <v>12</v>
      </c>
      <c r="S462">
        <f t="shared" ca="1" si="37"/>
        <v>-1</v>
      </c>
      <c r="T462" t="str">
        <f t="shared" ca="1" si="38"/>
        <v>On Track</v>
      </c>
      <c r="U462" t="str">
        <f t="shared" ca="1" si="39"/>
        <v>Normal</v>
      </c>
      <c r="V462" t="s">
        <v>33</v>
      </c>
    </row>
    <row r="463" spans="1:22">
      <c r="A463" t="s">
        <v>1314</v>
      </c>
      <c r="B463" t="s">
        <v>187</v>
      </c>
      <c r="C463" t="s">
        <v>1315</v>
      </c>
      <c r="D463" s="16">
        <v>12645.5</v>
      </c>
      <c r="E463" t="s">
        <v>156</v>
      </c>
      <c r="F463" t="s">
        <v>38</v>
      </c>
      <c r="H463" t="s">
        <v>394</v>
      </c>
      <c r="I463" t="s">
        <v>92</v>
      </c>
      <c r="J463" s="13">
        <v>46186</v>
      </c>
      <c r="K463" s="17" t="s">
        <v>49</v>
      </c>
      <c r="L463" s="13">
        <v>46231</v>
      </c>
      <c r="M463" t="s">
        <v>41</v>
      </c>
      <c r="N463" t="s">
        <v>58</v>
      </c>
      <c r="Q463">
        <f t="shared" ca="1" si="35"/>
        <v>3</v>
      </c>
      <c r="R463" t="str">
        <f t="shared" si="36"/>
        <v/>
      </c>
      <c r="S463">
        <f t="shared" ca="1" si="37"/>
        <v>42</v>
      </c>
      <c r="T463" t="str">
        <f t="shared" ca="1" si="38"/>
        <v>On Track</v>
      </c>
      <c r="U463" t="str">
        <f t="shared" ca="1" si="39"/>
        <v>Normal</v>
      </c>
      <c r="V463" t="s">
        <v>59</v>
      </c>
    </row>
    <row r="464" spans="1:22">
      <c r="A464" t="s">
        <v>1316</v>
      </c>
      <c r="B464" t="s">
        <v>53</v>
      </c>
      <c r="C464" t="s">
        <v>1317</v>
      </c>
      <c r="D464" s="16">
        <v>4098.24</v>
      </c>
      <c r="E464" t="s">
        <v>142</v>
      </c>
      <c r="F464" t="s">
        <v>26</v>
      </c>
      <c r="G464" t="s">
        <v>1318</v>
      </c>
      <c r="H464" t="s">
        <v>335</v>
      </c>
      <c r="I464" t="s">
        <v>29</v>
      </c>
      <c r="J464" s="13">
        <v>46182</v>
      </c>
      <c r="K464" s="17" t="s">
        <v>57</v>
      </c>
      <c r="L464" s="13">
        <v>46212</v>
      </c>
      <c r="M464" t="s">
        <v>41</v>
      </c>
      <c r="N464" t="s">
        <v>32</v>
      </c>
      <c r="Q464">
        <f t="shared" ca="1" si="35"/>
        <v>7</v>
      </c>
      <c r="R464" t="str">
        <f t="shared" si="36"/>
        <v/>
      </c>
      <c r="S464">
        <f t="shared" ca="1" si="37"/>
        <v>23</v>
      </c>
      <c r="T464" t="str">
        <f t="shared" ca="1" si="38"/>
        <v>Overdue</v>
      </c>
      <c r="U464" t="str">
        <f t="shared" ca="1" si="39"/>
        <v>Normal</v>
      </c>
      <c r="V464" t="s">
        <v>42</v>
      </c>
    </row>
    <row r="465" spans="1:22">
      <c r="A465" t="s">
        <v>1319</v>
      </c>
      <c r="B465" t="s">
        <v>53</v>
      </c>
      <c r="C465" t="s">
        <v>1320</v>
      </c>
      <c r="D465" s="16">
        <v>572.70000000000005</v>
      </c>
      <c r="E465" t="s">
        <v>142</v>
      </c>
      <c r="F465" t="s">
        <v>26</v>
      </c>
      <c r="G465" t="s">
        <v>1321</v>
      </c>
      <c r="H465" t="s">
        <v>335</v>
      </c>
      <c r="I465" t="s">
        <v>29</v>
      </c>
      <c r="J465" s="13">
        <v>46169</v>
      </c>
      <c r="K465" s="17" t="s">
        <v>40</v>
      </c>
      <c r="L465" s="13">
        <v>46199</v>
      </c>
      <c r="M465" t="s">
        <v>31</v>
      </c>
      <c r="N465" t="s">
        <v>32</v>
      </c>
      <c r="O465" s="13">
        <v>46173</v>
      </c>
      <c r="P465" s="13">
        <v>46177</v>
      </c>
      <c r="Q465">
        <f t="shared" ca="1" si="35"/>
        <v>20</v>
      </c>
      <c r="R465">
        <f t="shared" si="36"/>
        <v>4</v>
      </c>
      <c r="S465">
        <f t="shared" ca="1" si="37"/>
        <v>10</v>
      </c>
      <c r="T465" t="str">
        <f t="shared" ca="1" si="38"/>
        <v>On Track</v>
      </c>
      <c r="U465" t="str">
        <f t="shared" ca="1" si="39"/>
        <v>Normal</v>
      </c>
      <c r="V465" t="s">
        <v>33</v>
      </c>
    </row>
    <row r="466" spans="1:22">
      <c r="A466" t="s">
        <v>1322</v>
      </c>
      <c r="B466" t="s">
        <v>137</v>
      </c>
      <c r="C466" t="s">
        <v>1323</v>
      </c>
      <c r="D466" s="16">
        <v>3407.97</v>
      </c>
      <c r="E466" t="s">
        <v>142</v>
      </c>
      <c r="F466" t="s">
        <v>26</v>
      </c>
      <c r="G466" t="s">
        <v>1324</v>
      </c>
      <c r="H466" t="s">
        <v>335</v>
      </c>
      <c r="I466" t="s">
        <v>29</v>
      </c>
      <c r="J466" s="13">
        <v>46180</v>
      </c>
      <c r="K466" s="17" t="s">
        <v>49</v>
      </c>
      <c r="L466" s="13">
        <v>46225</v>
      </c>
      <c r="M466" t="s">
        <v>99</v>
      </c>
      <c r="N466" t="s">
        <v>32</v>
      </c>
      <c r="O466" s="13">
        <v>46184</v>
      </c>
      <c r="Q466">
        <f t="shared" ca="1" si="35"/>
        <v>9</v>
      </c>
      <c r="R466">
        <f t="shared" si="36"/>
        <v>4</v>
      </c>
      <c r="S466">
        <f t="shared" ca="1" si="37"/>
        <v>36</v>
      </c>
      <c r="T466" t="str">
        <f t="shared" ca="1" si="38"/>
        <v>On Track</v>
      </c>
      <c r="U466" t="str">
        <f t="shared" ca="1" si="39"/>
        <v>Normal</v>
      </c>
    </row>
    <row r="467" spans="1:22">
      <c r="A467" t="s">
        <v>1325</v>
      </c>
      <c r="B467" t="s">
        <v>76</v>
      </c>
      <c r="C467" t="s">
        <v>1326</v>
      </c>
      <c r="D467" s="16">
        <v>2464.17</v>
      </c>
      <c r="E467" t="s">
        <v>69</v>
      </c>
      <c r="F467" t="s">
        <v>26</v>
      </c>
      <c r="G467" t="s">
        <v>1327</v>
      </c>
      <c r="H467" t="s">
        <v>71</v>
      </c>
      <c r="I467" t="s">
        <v>29</v>
      </c>
      <c r="J467" s="13">
        <v>46164</v>
      </c>
      <c r="K467" s="17" t="s">
        <v>30</v>
      </c>
      <c r="L467" s="13">
        <v>46179</v>
      </c>
      <c r="M467" t="s">
        <v>65</v>
      </c>
      <c r="N467" t="s">
        <v>50</v>
      </c>
      <c r="Q467">
        <f t="shared" ca="1" si="35"/>
        <v>25</v>
      </c>
      <c r="R467" t="str">
        <f t="shared" si="36"/>
        <v/>
      </c>
      <c r="S467">
        <f t="shared" ca="1" si="37"/>
        <v>-10</v>
      </c>
      <c r="T467" t="str">
        <f t="shared" ca="1" si="38"/>
        <v>On Track</v>
      </c>
      <c r="U467" t="str">
        <f t="shared" ca="1" si="39"/>
        <v>At Risk</v>
      </c>
      <c r="V467" t="s">
        <v>51</v>
      </c>
    </row>
    <row r="468" spans="1:22">
      <c r="A468" t="s">
        <v>1328</v>
      </c>
      <c r="B468" t="s">
        <v>187</v>
      </c>
      <c r="C468" t="s">
        <v>1329</v>
      </c>
      <c r="D468" s="16">
        <v>2963.64</v>
      </c>
      <c r="E468" t="s">
        <v>25</v>
      </c>
      <c r="F468" t="s">
        <v>38</v>
      </c>
      <c r="H468" t="s">
        <v>28</v>
      </c>
      <c r="I468" t="s">
        <v>29</v>
      </c>
      <c r="J468" s="13">
        <v>46164</v>
      </c>
      <c r="K468" s="17" t="s">
        <v>40</v>
      </c>
      <c r="L468" s="13">
        <v>46194</v>
      </c>
      <c r="M468" t="s">
        <v>31</v>
      </c>
      <c r="N468" t="s">
        <v>58</v>
      </c>
      <c r="O468" s="13">
        <v>46182</v>
      </c>
      <c r="P468" s="13">
        <v>46184</v>
      </c>
      <c r="Q468">
        <f t="shared" ca="1" si="35"/>
        <v>25</v>
      </c>
      <c r="R468">
        <f t="shared" si="36"/>
        <v>18</v>
      </c>
      <c r="S468">
        <f t="shared" ca="1" si="37"/>
        <v>5</v>
      </c>
      <c r="T468" t="str">
        <f t="shared" ca="1" si="38"/>
        <v>On Track</v>
      </c>
      <c r="U468" t="str">
        <f t="shared" ca="1" si="39"/>
        <v>Normal</v>
      </c>
      <c r="V468" t="s">
        <v>59</v>
      </c>
    </row>
    <row r="469" spans="1:22">
      <c r="A469" t="s">
        <v>1330</v>
      </c>
      <c r="B469" t="s">
        <v>67</v>
      </c>
      <c r="C469" t="s">
        <v>1331</v>
      </c>
      <c r="D469" s="16">
        <v>2879.59</v>
      </c>
      <c r="E469" t="s">
        <v>156</v>
      </c>
      <c r="F469" t="s">
        <v>26</v>
      </c>
      <c r="G469" t="s">
        <v>1332</v>
      </c>
      <c r="H469" t="s">
        <v>157</v>
      </c>
      <c r="I469" t="s">
        <v>29</v>
      </c>
      <c r="J469" s="13">
        <v>46164</v>
      </c>
      <c r="K469" s="17" t="s">
        <v>49</v>
      </c>
      <c r="L469" s="13">
        <v>46209</v>
      </c>
      <c r="M469" t="s">
        <v>41</v>
      </c>
      <c r="N469" t="s">
        <v>32</v>
      </c>
      <c r="Q469">
        <f t="shared" ca="1" si="35"/>
        <v>25</v>
      </c>
      <c r="R469" t="str">
        <f t="shared" si="36"/>
        <v/>
      </c>
      <c r="S469">
        <f t="shared" ca="1" si="37"/>
        <v>20</v>
      </c>
      <c r="T469" t="str">
        <f t="shared" ca="1" si="38"/>
        <v>Overdue</v>
      </c>
      <c r="U469" t="str">
        <f t="shared" ca="1" si="39"/>
        <v>Normal</v>
      </c>
      <c r="V469" t="s">
        <v>42</v>
      </c>
    </row>
    <row r="470" spans="1:22">
      <c r="A470" t="s">
        <v>1333</v>
      </c>
      <c r="B470" t="s">
        <v>109</v>
      </c>
      <c r="C470" t="s">
        <v>1334</v>
      </c>
      <c r="D470" s="16">
        <v>65999.520000000004</v>
      </c>
      <c r="E470" t="s">
        <v>142</v>
      </c>
      <c r="F470" t="s">
        <v>38</v>
      </c>
      <c r="H470" t="s">
        <v>121</v>
      </c>
      <c r="I470" t="s">
        <v>122</v>
      </c>
      <c r="J470" s="13">
        <v>46176</v>
      </c>
      <c r="K470" s="17" t="s">
        <v>40</v>
      </c>
      <c r="L470" s="13">
        <v>46206</v>
      </c>
      <c r="M470" t="s">
        <v>65</v>
      </c>
      <c r="N470" t="s">
        <v>50</v>
      </c>
      <c r="Q470">
        <f t="shared" ca="1" si="35"/>
        <v>13</v>
      </c>
      <c r="R470" t="str">
        <f t="shared" si="36"/>
        <v/>
      </c>
      <c r="S470">
        <f t="shared" ca="1" si="37"/>
        <v>17</v>
      </c>
      <c r="T470" t="str">
        <f t="shared" ca="1" si="38"/>
        <v>On Track</v>
      </c>
      <c r="U470" t="str">
        <f t="shared" ca="1" si="39"/>
        <v>Normal</v>
      </c>
      <c r="V470" t="s">
        <v>51</v>
      </c>
    </row>
    <row r="471" spans="1:22">
      <c r="A471" t="s">
        <v>1335</v>
      </c>
      <c r="B471" t="s">
        <v>94</v>
      </c>
      <c r="C471" t="s">
        <v>1336</v>
      </c>
      <c r="D471" s="16">
        <v>4703.07</v>
      </c>
      <c r="E471" t="s">
        <v>69</v>
      </c>
      <c r="F471" t="s">
        <v>26</v>
      </c>
      <c r="G471" t="s">
        <v>1337</v>
      </c>
      <c r="H471" t="s">
        <v>71</v>
      </c>
      <c r="I471" t="s">
        <v>29</v>
      </c>
      <c r="J471" s="13">
        <v>46145</v>
      </c>
      <c r="K471" s="17" t="s">
        <v>57</v>
      </c>
      <c r="L471" s="13">
        <v>46175</v>
      </c>
      <c r="M471" t="s">
        <v>31</v>
      </c>
      <c r="N471" t="s">
        <v>32</v>
      </c>
      <c r="O471" s="13">
        <v>46152</v>
      </c>
      <c r="P471" s="13">
        <v>46158</v>
      </c>
      <c r="Q471">
        <f t="shared" ca="1" si="35"/>
        <v>44</v>
      </c>
      <c r="R471">
        <f t="shared" si="36"/>
        <v>7</v>
      </c>
      <c r="S471">
        <f t="shared" ca="1" si="37"/>
        <v>-14</v>
      </c>
      <c r="T471" t="str">
        <f t="shared" ca="1" si="38"/>
        <v>On Track</v>
      </c>
      <c r="U471" t="str">
        <f t="shared" ca="1" si="39"/>
        <v>Normal</v>
      </c>
      <c r="V471" t="s">
        <v>33</v>
      </c>
    </row>
    <row r="472" spans="1:22">
      <c r="A472" t="s">
        <v>1338</v>
      </c>
      <c r="B472" t="s">
        <v>208</v>
      </c>
      <c r="C472" t="s">
        <v>1339</v>
      </c>
      <c r="D472" s="16">
        <v>1211.03</v>
      </c>
      <c r="E472" t="s">
        <v>55</v>
      </c>
      <c r="F472" t="s">
        <v>26</v>
      </c>
      <c r="G472" t="s">
        <v>1340</v>
      </c>
      <c r="H472" t="s">
        <v>56</v>
      </c>
      <c r="I472" t="s">
        <v>29</v>
      </c>
      <c r="J472" s="13">
        <v>46156</v>
      </c>
      <c r="K472" s="17" t="s">
        <v>40</v>
      </c>
      <c r="L472" s="13">
        <v>46186</v>
      </c>
      <c r="M472" t="s">
        <v>31</v>
      </c>
      <c r="N472" t="s">
        <v>50</v>
      </c>
      <c r="O472" s="13">
        <v>46171</v>
      </c>
      <c r="P472" s="13">
        <v>46174</v>
      </c>
      <c r="Q472">
        <f t="shared" ca="1" si="35"/>
        <v>33</v>
      </c>
      <c r="R472">
        <f t="shared" si="36"/>
        <v>15</v>
      </c>
      <c r="S472">
        <f t="shared" ca="1" si="37"/>
        <v>-3</v>
      </c>
      <c r="T472" t="str">
        <f t="shared" ca="1" si="38"/>
        <v>On Track</v>
      </c>
      <c r="U472" t="str">
        <f t="shared" ca="1" si="39"/>
        <v>Normal</v>
      </c>
      <c r="V472" t="s">
        <v>51</v>
      </c>
    </row>
    <row r="473" spans="1:22">
      <c r="A473" t="s">
        <v>1341</v>
      </c>
      <c r="B473" t="s">
        <v>222</v>
      </c>
      <c r="C473" t="s">
        <v>1342</v>
      </c>
      <c r="D473" s="16">
        <v>3200.17</v>
      </c>
      <c r="E473" t="s">
        <v>46</v>
      </c>
      <c r="F473" t="s">
        <v>26</v>
      </c>
      <c r="G473" t="s">
        <v>1343</v>
      </c>
      <c r="H473" t="s">
        <v>48</v>
      </c>
      <c r="I473" t="s">
        <v>29</v>
      </c>
      <c r="J473" s="13">
        <v>46175</v>
      </c>
      <c r="K473" s="17" t="s">
        <v>40</v>
      </c>
      <c r="L473" s="13">
        <v>46205</v>
      </c>
      <c r="M473" t="s">
        <v>31</v>
      </c>
      <c r="N473" t="s">
        <v>100</v>
      </c>
      <c r="O473" s="13">
        <v>46181</v>
      </c>
      <c r="P473" s="13">
        <v>46211</v>
      </c>
      <c r="Q473">
        <f t="shared" ca="1" si="35"/>
        <v>14</v>
      </c>
      <c r="R473">
        <f t="shared" si="36"/>
        <v>6</v>
      </c>
      <c r="S473">
        <f t="shared" ca="1" si="37"/>
        <v>16</v>
      </c>
      <c r="T473" t="str">
        <f t="shared" ca="1" si="38"/>
        <v>On Track</v>
      </c>
      <c r="U473" t="str">
        <f t="shared" ca="1" si="39"/>
        <v>Normal</v>
      </c>
      <c r="V473" t="s">
        <v>107</v>
      </c>
    </row>
    <row r="474" spans="1:22">
      <c r="A474" t="s">
        <v>1344</v>
      </c>
      <c r="B474" t="s">
        <v>124</v>
      </c>
      <c r="C474" t="s">
        <v>1345</v>
      </c>
      <c r="D474" s="16">
        <v>2186.9499999999998</v>
      </c>
      <c r="E474" t="s">
        <v>69</v>
      </c>
      <c r="F474" t="s">
        <v>26</v>
      </c>
      <c r="G474" t="s">
        <v>1346</v>
      </c>
      <c r="H474" t="s">
        <v>71</v>
      </c>
      <c r="I474" t="s">
        <v>29</v>
      </c>
      <c r="J474" s="13">
        <v>46171</v>
      </c>
      <c r="K474" s="17" t="s">
        <v>40</v>
      </c>
      <c r="L474" s="13">
        <v>46201</v>
      </c>
      <c r="M474" t="s">
        <v>31</v>
      </c>
      <c r="N474" t="s">
        <v>32</v>
      </c>
      <c r="O474" s="13">
        <v>46175</v>
      </c>
      <c r="P474" s="13">
        <v>46180</v>
      </c>
      <c r="Q474">
        <f t="shared" ca="1" si="35"/>
        <v>18</v>
      </c>
      <c r="R474">
        <f t="shared" si="36"/>
        <v>4</v>
      </c>
      <c r="S474">
        <f t="shared" ca="1" si="37"/>
        <v>12</v>
      </c>
      <c r="T474" t="str">
        <f t="shared" ca="1" si="38"/>
        <v>On Track</v>
      </c>
      <c r="U474" t="str">
        <f t="shared" ca="1" si="39"/>
        <v>Normal</v>
      </c>
      <c r="V474" t="s">
        <v>33</v>
      </c>
    </row>
    <row r="475" spans="1:22">
      <c r="A475" t="s">
        <v>1347</v>
      </c>
      <c r="B475" t="s">
        <v>115</v>
      </c>
      <c r="C475" t="s">
        <v>1348</v>
      </c>
      <c r="D475" s="16">
        <v>9616.6200000000008</v>
      </c>
      <c r="E475" t="s">
        <v>62</v>
      </c>
      <c r="F475" t="s">
        <v>26</v>
      </c>
      <c r="G475" t="s">
        <v>1349</v>
      </c>
      <c r="H475" t="s">
        <v>106</v>
      </c>
      <c r="I475" t="s">
        <v>92</v>
      </c>
      <c r="J475" s="13">
        <v>46178</v>
      </c>
      <c r="K475" s="17" t="s">
        <v>49</v>
      </c>
      <c r="L475" s="13">
        <v>46223</v>
      </c>
      <c r="M475" t="s">
        <v>145</v>
      </c>
      <c r="N475" t="s">
        <v>32</v>
      </c>
      <c r="O475" s="13">
        <v>46180</v>
      </c>
      <c r="Q475">
        <f t="shared" ca="1" si="35"/>
        <v>11</v>
      </c>
      <c r="R475">
        <f t="shared" si="36"/>
        <v>2</v>
      </c>
      <c r="S475">
        <f t="shared" ca="1" si="37"/>
        <v>34</v>
      </c>
      <c r="T475" t="str">
        <f t="shared" ca="1" si="38"/>
        <v>On Track</v>
      </c>
      <c r="U475" t="str">
        <f t="shared" ca="1" si="39"/>
        <v>Normal</v>
      </c>
    </row>
    <row r="476" spans="1:22">
      <c r="A476" t="s">
        <v>1350</v>
      </c>
      <c r="B476" t="s">
        <v>103</v>
      </c>
      <c r="C476" t="s">
        <v>1351</v>
      </c>
      <c r="D476" s="16">
        <v>4625.91</v>
      </c>
      <c r="E476" t="s">
        <v>25</v>
      </c>
      <c r="F476" t="s">
        <v>26</v>
      </c>
      <c r="G476" t="s">
        <v>1352</v>
      </c>
      <c r="H476" t="s">
        <v>28</v>
      </c>
      <c r="I476" t="s">
        <v>29</v>
      </c>
      <c r="J476" s="13">
        <v>46177</v>
      </c>
      <c r="K476" s="17" t="s">
        <v>49</v>
      </c>
      <c r="L476" s="13">
        <v>46222</v>
      </c>
      <c r="M476" t="s">
        <v>145</v>
      </c>
      <c r="N476" t="s">
        <v>32</v>
      </c>
      <c r="O476" s="13">
        <v>46180</v>
      </c>
      <c r="Q476">
        <f t="shared" ca="1" si="35"/>
        <v>12</v>
      </c>
      <c r="R476">
        <f t="shared" si="36"/>
        <v>3</v>
      </c>
      <c r="S476">
        <f t="shared" ca="1" si="37"/>
        <v>33</v>
      </c>
      <c r="T476" t="str">
        <f t="shared" ca="1" si="38"/>
        <v>On Track</v>
      </c>
      <c r="U476" t="str">
        <f t="shared" ca="1" si="39"/>
        <v>Normal</v>
      </c>
    </row>
    <row r="477" spans="1:22">
      <c r="A477" t="s">
        <v>1353</v>
      </c>
      <c r="B477" t="s">
        <v>137</v>
      </c>
      <c r="C477" t="s">
        <v>1354</v>
      </c>
      <c r="D477" s="16">
        <v>3624.67</v>
      </c>
      <c r="E477" t="s">
        <v>126</v>
      </c>
      <c r="F477" t="s">
        <v>38</v>
      </c>
      <c r="H477" t="s">
        <v>241</v>
      </c>
      <c r="I477" t="s">
        <v>29</v>
      </c>
      <c r="J477" s="13">
        <v>46148</v>
      </c>
      <c r="K477" s="17" t="s">
        <v>49</v>
      </c>
      <c r="L477" s="13">
        <v>46193</v>
      </c>
      <c r="M477" t="s">
        <v>31</v>
      </c>
      <c r="N477" t="s">
        <v>32</v>
      </c>
      <c r="O477" s="13">
        <v>46155</v>
      </c>
      <c r="P477" s="13">
        <v>46159</v>
      </c>
      <c r="Q477">
        <f t="shared" ca="1" si="35"/>
        <v>41</v>
      </c>
      <c r="R477">
        <f t="shared" si="36"/>
        <v>7</v>
      </c>
      <c r="S477">
        <f t="shared" ca="1" si="37"/>
        <v>4</v>
      </c>
      <c r="T477" t="str">
        <f t="shared" ca="1" si="38"/>
        <v>On Track</v>
      </c>
      <c r="U477" t="str">
        <f t="shared" ca="1" si="39"/>
        <v>Normal</v>
      </c>
      <c r="V477" t="s">
        <v>33</v>
      </c>
    </row>
    <row r="478" spans="1:22">
      <c r="A478" t="s">
        <v>1355</v>
      </c>
      <c r="B478" t="s">
        <v>76</v>
      </c>
      <c r="C478" t="s">
        <v>1356</v>
      </c>
      <c r="D478" s="16">
        <v>4620.6400000000003</v>
      </c>
      <c r="E478" t="s">
        <v>142</v>
      </c>
      <c r="F478" t="s">
        <v>38</v>
      </c>
      <c r="H478" t="s">
        <v>335</v>
      </c>
      <c r="I478" t="s">
        <v>29</v>
      </c>
      <c r="J478" s="13">
        <v>46162</v>
      </c>
      <c r="K478" s="17" t="s">
        <v>57</v>
      </c>
      <c r="L478" s="13">
        <v>46192</v>
      </c>
      <c r="M478" t="s">
        <v>31</v>
      </c>
      <c r="N478" t="s">
        <v>32</v>
      </c>
      <c r="O478" s="13">
        <v>46170</v>
      </c>
      <c r="P478" s="13">
        <v>46194</v>
      </c>
      <c r="Q478">
        <f t="shared" ca="1" si="35"/>
        <v>27</v>
      </c>
      <c r="R478">
        <f t="shared" si="36"/>
        <v>8</v>
      </c>
      <c r="S478">
        <f t="shared" ca="1" si="37"/>
        <v>3</v>
      </c>
      <c r="T478" t="str">
        <f t="shared" ca="1" si="38"/>
        <v>On Track</v>
      </c>
      <c r="U478" t="str">
        <f t="shared" ca="1" si="39"/>
        <v>Normal</v>
      </c>
      <c r="V478" t="s">
        <v>107</v>
      </c>
    </row>
    <row r="479" spans="1:22">
      <c r="A479" t="s">
        <v>1357</v>
      </c>
      <c r="B479" t="s">
        <v>271</v>
      </c>
      <c r="C479" t="s">
        <v>1358</v>
      </c>
      <c r="D479" s="16">
        <v>4756.16</v>
      </c>
      <c r="E479" t="s">
        <v>37</v>
      </c>
      <c r="F479" t="s">
        <v>38</v>
      </c>
      <c r="H479" t="s">
        <v>39</v>
      </c>
      <c r="I479" t="s">
        <v>29</v>
      </c>
      <c r="J479" s="13">
        <v>46183</v>
      </c>
      <c r="K479" s="17" t="s">
        <v>30</v>
      </c>
      <c r="L479" s="13">
        <v>46198</v>
      </c>
      <c r="M479" t="s">
        <v>41</v>
      </c>
      <c r="N479" t="s">
        <v>100</v>
      </c>
      <c r="Q479">
        <f t="shared" ca="1" si="35"/>
        <v>6</v>
      </c>
      <c r="R479" t="str">
        <f t="shared" si="36"/>
        <v/>
      </c>
      <c r="S479">
        <f t="shared" ca="1" si="37"/>
        <v>9</v>
      </c>
      <c r="T479" t="str">
        <f t="shared" ca="1" si="38"/>
        <v>Overdue</v>
      </c>
      <c r="U479" t="str">
        <f t="shared" ca="1" si="39"/>
        <v>Normal</v>
      </c>
      <c r="V479" t="s">
        <v>101</v>
      </c>
    </row>
    <row r="480" spans="1:22">
      <c r="A480" t="s">
        <v>1359</v>
      </c>
      <c r="B480" t="s">
        <v>44</v>
      </c>
      <c r="C480" t="s">
        <v>1360</v>
      </c>
      <c r="D480" s="16">
        <v>757.55</v>
      </c>
      <c r="E480" t="s">
        <v>156</v>
      </c>
      <c r="F480" t="s">
        <v>26</v>
      </c>
      <c r="G480" t="s">
        <v>1361</v>
      </c>
      <c r="H480" t="s">
        <v>157</v>
      </c>
      <c r="I480" t="s">
        <v>29</v>
      </c>
      <c r="J480" s="13">
        <v>46153</v>
      </c>
      <c r="K480" s="17" t="s">
        <v>40</v>
      </c>
      <c r="L480" s="13">
        <v>46183</v>
      </c>
      <c r="M480" t="s">
        <v>31</v>
      </c>
      <c r="N480" t="s">
        <v>32</v>
      </c>
      <c r="O480" s="13">
        <v>46156</v>
      </c>
      <c r="P480" s="13">
        <v>46162</v>
      </c>
      <c r="Q480">
        <f t="shared" ca="1" si="35"/>
        <v>36</v>
      </c>
      <c r="R480">
        <f t="shared" si="36"/>
        <v>3</v>
      </c>
      <c r="S480">
        <f t="shared" ca="1" si="37"/>
        <v>-6</v>
      </c>
      <c r="T480" t="str">
        <f t="shared" ca="1" si="38"/>
        <v>On Track</v>
      </c>
      <c r="U480" t="str">
        <f t="shared" ca="1" si="39"/>
        <v>Normal</v>
      </c>
      <c r="V480" t="s">
        <v>33</v>
      </c>
    </row>
    <row r="481" spans="1:22">
      <c r="A481" t="s">
        <v>1362</v>
      </c>
      <c r="B481" t="s">
        <v>251</v>
      </c>
      <c r="C481" t="s">
        <v>1363</v>
      </c>
      <c r="D481" s="16">
        <v>21809.279999999999</v>
      </c>
      <c r="E481" t="s">
        <v>46</v>
      </c>
      <c r="F481" t="s">
        <v>26</v>
      </c>
      <c r="G481" t="s">
        <v>1364</v>
      </c>
      <c r="H481" t="s">
        <v>161</v>
      </c>
      <c r="I481" t="s">
        <v>92</v>
      </c>
      <c r="J481" s="13">
        <v>46153</v>
      </c>
      <c r="K481" s="17" t="s">
        <v>57</v>
      </c>
      <c r="L481" s="13">
        <v>46183</v>
      </c>
      <c r="M481" t="s">
        <v>31</v>
      </c>
      <c r="N481" t="s">
        <v>50</v>
      </c>
      <c r="O481" s="13">
        <v>46169</v>
      </c>
      <c r="P481" s="13">
        <v>46175</v>
      </c>
      <c r="Q481">
        <f t="shared" ca="1" si="35"/>
        <v>36</v>
      </c>
      <c r="R481">
        <f t="shared" si="36"/>
        <v>16</v>
      </c>
      <c r="S481">
        <f t="shared" ca="1" si="37"/>
        <v>-6</v>
      </c>
      <c r="T481" t="str">
        <f t="shared" ca="1" si="38"/>
        <v>On Track</v>
      </c>
      <c r="U481" t="str">
        <f t="shared" ca="1" si="39"/>
        <v>Normal</v>
      </c>
      <c r="V481" t="s">
        <v>51</v>
      </c>
    </row>
    <row r="482" spans="1:22">
      <c r="A482" t="s">
        <v>1365</v>
      </c>
      <c r="B482" t="s">
        <v>76</v>
      </c>
      <c r="C482" t="s">
        <v>1366</v>
      </c>
      <c r="D482" s="16">
        <v>2878.8</v>
      </c>
      <c r="E482" t="s">
        <v>111</v>
      </c>
      <c r="F482" t="s">
        <v>38</v>
      </c>
      <c r="H482" t="s">
        <v>113</v>
      </c>
      <c r="I482" t="s">
        <v>29</v>
      </c>
      <c r="J482" s="13">
        <v>46147</v>
      </c>
      <c r="K482" s="17" t="s">
        <v>49</v>
      </c>
      <c r="L482" s="13">
        <v>46192</v>
      </c>
      <c r="M482" t="s">
        <v>31</v>
      </c>
      <c r="N482" t="s">
        <v>58</v>
      </c>
      <c r="O482" s="13">
        <v>46154</v>
      </c>
      <c r="P482" s="13">
        <v>46158</v>
      </c>
      <c r="Q482">
        <f t="shared" ca="1" si="35"/>
        <v>42</v>
      </c>
      <c r="R482">
        <f t="shared" si="36"/>
        <v>7</v>
      </c>
      <c r="S482">
        <f t="shared" ca="1" si="37"/>
        <v>3</v>
      </c>
      <c r="T482" t="str">
        <f t="shared" ca="1" si="38"/>
        <v>On Track</v>
      </c>
      <c r="U482" t="str">
        <f t="shared" ca="1" si="39"/>
        <v>Normal</v>
      </c>
      <c r="V482" t="s">
        <v>59</v>
      </c>
    </row>
    <row r="483" spans="1:22">
      <c r="A483" t="s">
        <v>1367</v>
      </c>
      <c r="B483" t="s">
        <v>251</v>
      </c>
      <c r="C483" t="s">
        <v>1368</v>
      </c>
      <c r="D483" s="16">
        <v>89610.92</v>
      </c>
      <c r="E483" t="s">
        <v>69</v>
      </c>
      <c r="F483" t="s">
        <v>26</v>
      </c>
      <c r="G483" t="s">
        <v>1369</v>
      </c>
      <c r="H483" t="s">
        <v>121</v>
      </c>
      <c r="I483" t="s">
        <v>122</v>
      </c>
      <c r="J483" s="13">
        <v>46189</v>
      </c>
      <c r="K483" s="17" t="s">
        <v>40</v>
      </c>
      <c r="L483" s="13">
        <v>46219</v>
      </c>
      <c r="M483" t="s">
        <v>65</v>
      </c>
      <c r="N483" t="s">
        <v>32</v>
      </c>
      <c r="Q483">
        <f t="shared" ca="1" si="35"/>
        <v>0</v>
      </c>
      <c r="R483" t="str">
        <f t="shared" si="36"/>
        <v/>
      </c>
      <c r="S483">
        <f t="shared" ca="1" si="37"/>
        <v>30</v>
      </c>
      <c r="T483" t="str">
        <f t="shared" ca="1" si="38"/>
        <v>On Track</v>
      </c>
      <c r="U483" t="str">
        <f t="shared" ca="1" si="39"/>
        <v>Normal</v>
      </c>
    </row>
    <row r="484" spans="1:22">
      <c r="A484" t="s">
        <v>1370</v>
      </c>
      <c r="B484" t="s">
        <v>94</v>
      </c>
      <c r="C484" t="s">
        <v>1371</v>
      </c>
      <c r="D484" s="16">
        <v>13752</v>
      </c>
      <c r="E484" t="s">
        <v>156</v>
      </c>
      <c r="F484" t="s">
        <v>38</v>
      </c>
      <c r="H484" t="s">
        <v>394</v>
      </c>
      <c r="I484" t="s">
        <v>92</v>
      </c>
      <c r="J484" s="13">
        <v>46177</v>
      </c>
      <c r="K484" s="17" t="s">
        <v>30</v>
      </c>
      <c r="L484" s="13">
        <v>46192</v>
      </c>
      <c r="M484" t="s">
        <v>41</v>
      </c>
      <c r="N484" t="s">
        <v>32</v>
      </c>
      <c r="Q484">
        <f t="shared" ca="1" si="35"/>
        <v>12</v>
      </c>
      <c r="R484" t="str">
        <f t="shared" si="36"/>
        <v/>
      </c>
      <c r="S484">
        <f t="shared" ca="1" si="37"/>
        <v>3</v>
      </c>
      <c r="T484" t="str">
        <f t="shared" ca="1" si="38"/>
        <v>Overdue</v>
      </c>
      <c r="U484" t="str">
        <f t="shared" ca="1" si="39"/>
        <v>At Risk</v>
      </c>
      <c r="V484" t="s">
        <v>42</v>
      </c>
    </row>
    <row r="485" spans="1:22">
      <c r="A485" t="s">
        <v>1372</v>
      </c>
      <c r="B485" t="s">
        <v>44</v>
      </c>
      <c r="C485" t="s">
        <v>1373</v>
      </c>
      <c r="D485" s="16">
        <v>3900.54</v>
      </c>
      <c r="E485" t="s">
        <v>142</v>
      </c>
      <c r="F485" t="s">
        <v>26</v>
      </c>
      <c r="G485" t="s">
        <v>1374</v>
      </c>
      <c r="H485" t="s">
        <v>335</v>
      </c>
      <c r="I485" t="s">
        <v>29</v>
      </c>
      <c r="J485" s="13">
        <v>46169</v>
      </c>
      <c r="K485" s="17" t="s">
        <v>40</v>
      </c>
      <c r="L485" s="13">
        <v>46199</v>
      </c>
      <c r="M485" t="s">
        <v>31</v>
      </c>
      <c r="N485" t="s">
        <v>50</v>
      </c>
      <c r="O485" s="13">
        <v>46180</v>
      </c>
      <c r="P485" s="13">
        <v>46186</v>
      </c>
      <c r="Q485">
        <f t="shared" ca="1" si="35"/>
        <v>20</v>
      </c>
      <c r="R485">
        <f t="shared" si="36"/>
        <v>11</v>
      </c>
      <c r="S485">
        <f t="shared" ca="1" si="37"/>
        <v>10</v>
      </c>
      <c r="T485" t="str">
        <f t="shared" ca="1" si="38"/>
        <v>On Track</v>
      </c>
      <c r="U485" t="str">
        <f t="shared" ca="1" si="39"/>
        <v>Normal</v>
      </c>
      <c r="V485" t="s">
        <v>51</v>
      </c>
    </row>
    <row r="486" spans="1:22">
      <c r="A486" t="s">
        <v>1375</v>
      </c>
      <c r="B486" t="s">
        <v>73</v>
      </c>
      <c r="C486" t="s">
        <v>1376</v>
      </c>
      <c r="D486" s="16">
        <v>288.57</v>
      </c>
      <c r="E486" t="s">
        <v>78</v>
      </c>
      <c r="F486" t="s">
        <v>26</v>
      </c>
      <c r="G486" t="s">
        <v>1377</v>
      </c>
      <c r="H486" t="s">
        <v>80</v>
      </c>
      <c r="I486" t="s">
        <v>29</v>
      </c>
      <c r="J486" s="13">
        <v>46150</v>
      </c>
      <c r="K486" s="17" t="s">
        <v>30</v>
      </c>
      <c r="L486" s="13">
        <v>46165</v>
      </c>
      <c r="M486" t="s">
        <v>31</v>
      </c>
      <c r="N486" t="s">
        <v>32</v>
      </c>
      <c r="O486" s="13">
        <v>46156</v>
      </c>
      <c r="P486" s="13">
        <v>46159</v>
      </c>
      <c r="Q486">
        <f t="shared" ca="1" si="35"/>
        <v>39</v>
      </c>
      <c r="R486">
        <f t="shared" si="36"/>
        <v>6</v>
      </c>
      <c r="S486">
        <f t="shared" ca="1" si="37"/>
        <v>-24</v>
      </c>
      <c r="T486" t="str">
        <f t="shared" ca="1" si="38"/>
        <v>On Track</v>
      </c>
      <c r="U486" t="str">
        <f t="shared" ca="1" si="39"/>
        <v>Normal</v>
      </c>
      <c r="V486" t="s">
        <v>33</v>
      </c>
    </row>
    <row r="487" spans="1:22">
      <c r="A487" t="s">
        <v>1378</v>
      </c>
      <c r="B487" t="s">
        <v>172</v>
      </c>
      <c r="C487" t="s">
        <v>1379</v>
      </c>
      <c r="D487" s="16">
        <v>668.33</v>
      </c>
      <c r="E487" t="s">
        <v>302</v>
      </c>
      <c r="F487" t="s">
        <v>38</v>
      </c>
      <c r="H487" t="s">
        <v>304</v>
      </c>
      <c r="I487" t="s">
        <v>29</v>
      </c>
      <c r="J487" s="13">
        <v>46186</v>
      </c>
      <c r="K487" s="17" t="s">
        <v>57</v>
      </c>
      <c r="L487" s="13">
        <v>46216</v>
      </c>
      <c r="M487" t="s">
        <v>145</v>
      </c>
      <c r="N487" t="s">
        <v>100</v>
      </c>
      <c r="O487" s="13">
        <v>46189</v>
      </c>
      <c r="Q487">
        <f t="shared" ca="1" si="35"/>
        <v>3</v>
      </c>
      <c r="R487">
        <f t="shared" si="36"/>
        <v>3</v>
      </c>
      <c r="S487">
        <f t="shared" ca="1" si="37"/>
        <v>27</v>
      </c>
      <c r="T487" t="str">
        <f t="shared" ca="1" si="38"/>
        <v>On Track</v>
      </c>
      <c r="U487" t="str">
        <f t="shared" ca="1" si="39"/>
        <v>Normal</v>
      </c>
      <c r="V487" t="s">
        <v>101</v>
      </c>
    </row>
    <row r="488" spans="1:22">
      <c r="A488" t="s">
        <v>1380</v>
      </c>
      <c r="B488" t="s">
        <v>208</v>
      </c>
      <c r="C488" t="s">
        <v>1381</v>
      </c>
      <c r="D488" s="16">
        <v>17634.16</v>
      </c>
      <c r="E488" t="s">
        <v>111</v>
      </c>
      <c r="F488" t="s">
        <v>38</v>
      </c>
      <c r="H488" t="s">
        <v>122</v>
      </c>
      <c r="I488" t="s">
        <v>92</v>
      </c>
      <c r="J488" s="13">
        <v>46155</v>
      </c>
      <c r="K488" s="17" t="s">
        <v>30</v>
      </c>
      <c r="L488" s="13">
        <v>46170</v>
      </c>
      <c r="M488" t="s">
        <v>31</v>
      </c>
      <c r="N488" t="s">
        <v>32</v>
      </c>
      <c r="O488" s="13">
        <v>46164</v>
      </c>
      <c r="P488" s="13">
        <v>46167</v>
      </c>
      <c r="Q488">
        <f t="shared" ca="1" si="35"/>
        <v>34</v>
      </c>
      <c r="R488">
        <f t="shared" si="36"/>
        <v>9</v>
      </c>
      <c r="S488">
        <f t="shared" ca="1" si="37"/>
        <v>-19</v>
      </c>
      <c r="T488" t="str">
        <f t="shared" ca="1" si="38"/>
        <v>On Track</v>
      </c>
      <c r="U488" t="str">
        <f t="shared" ca="1" si="39"/>
        <v>Normal</v>
      </c>
      <c r="V488" t="s">
        <v>33</v>
      </c>
    </row>
    <row r="489" spans="1:22">
      <c r="A489" t="s">
        <v>1382</v>
      </c>
      <c r="B489" t="s">
        <v>168</v>
      </c>
      <c r="C489" t="s">
        <v>1383</v>
      </c>
      <c r="D489" s="16">
        <v>20012.669999999998</v>
      </c>
      <c r="E489" t="s">
        <v>69</v>
      </c>
      <c r="F489" t="s">
        <v>26</v>
      </c>
      <c r="G489" t="s">
        <v>1384</v>
      </c>
      <c r="H489" t="s">
        <v>178</v>
      </c>
      <c r="I489" t="s">
        <v>92</v>
      </c>
      <c r="J489" s="13">
        <v>46148</v>
      </c>
      <c r="K489" s="17" t="s">
        <v>49</v>
      </c>
      <c r="L489" s="13">
        <v>46193</v>
      </c>
      <c r="M489" t="s">
        <v>84</v>
      </c>
      <c r="N489" t="s">
        <v>32</v>
      </c>
      <c r="O489" s="13">
        <v>46154</v>
      </c>
      <c r="Q489">
        <f t="shared" ca="1" si="35"/>
        <v>41</v>
      </c>
      <c r="R489">
        <f t="shared" si="36"/>
        <v>6</v>
      </c>
      <c r="S489">
        <f t="shared" ca="1" si="37"/>
        <v>4</v>
      </c>
      <c r="T489" t="str">
        <f t="shared" ca="1" si="38"/>
        <v>On Track</v>
      </c>
      <c r="U489" t="str">
        <f t="shared" ca="1" si="39"/>
        <v>At Risk</v>
      </c>
    </row>
    <row r="490" spans="1:22">
      <c r="A490" t="s">
        <v>1385</v>
      </c>
      <c r="B490" t="s">
        <v>44</v>
      </c>
      <c r="C490" t="s">
        <v>1386</v>
      </c>
      <c r="D490" s="16">
        <v>2487.33</v>
      </c>
      <c r="E490" t="s">
        <v>46</v>
      </c>
      <c r="F490" t="s">
        <v>38</v>
      </c>
      <c r="H490" t="s">
        <v>48</v>
      </c>
      <c r="I490" t="s">
        <v>29</v>
      </c>
      <c r="J490" s="13">
        <v>46183</v>
      </c>
      <c r="K490" s="17" t="s">
        <v>40</v>
      </c>
      <c r="L490" s="13">
        <v>46213</v>
      </c>
      <c r="M490" t="s">
        <v>41</v>
      </c>
      <c r="N490" t="s">
        <v>32</v>
      </c>
      <c r="Q490">
        <f t="shared" ca="1" si="35"/>
        <v>6</v>
      </c>
      <c r="R490" t="str">
        <f t="shared" si="36"/>
        <v/>
      </c>
      <c r="S490">
        <f t="shared" ca="1" si="37"/>
        <v>24</v>
      </c>
      <c r="T490" t="str">
        <f t="shared" ca="1" si="38"/>
        <v>Overdue</v>
      </c>
      <c r="U490" t="str">
        <f t="shared" ca="1" si="39"/>
        <v>Normal</v>
      </c>
      <c r="V490" t="s">
        <v>42</v>
      </c>
    </row>
    <row r="491" spans="1:22">
      <c r="A491" t="s">
        <v>1387</v>
      </c>
      <c r="B491" t="s">
        <v>53</v>
      </c>
      <c r="C491" t="s">
        <v>1388</v>
      </c>
      <c r="D491" s="16">
        <v>719.96</v>
      </c>
      <c r="E491" t="s">
        <v>62</v>
      </c>
      <c r="F491" t="s">
        <v>26</v>
      </c>
      <c r="G491" t="s">
        <v>1389</v>
      </c>
      <c r="H491" t="s">
        <v>64</v>
      </c>
      <c r="I491" t="s">
        <v>29</v>
      </c>
      <c r="J491" s="13">
        <v>46160</v>
      </c>
      <c r="K491" s="17" t="s">
        <v>40</v>
      </c>
      <c r="L491" s="13">
        <v>46190</v>
      </c>
      <c r="M491" t="s">
        <v>31</v>
      </c>
      <c r="N491" t="s">
        <v>32</v>
      </c>
      <c r="O491" s="13">
        <v>46170</v>
      </c>
      <c r="P491" s="13">
        <v>46176</v>
      </c>
      <c r="Q491">
        <f t="shared" ca="1" si="35"/>
        <v>29</v>
      </c>
      <c r="R491">
        <f t="shared" si="36"/>
        <v>10</v>
      </c>
      <c r="S491">
        <f t="shared" ca="1" si="37"/>
        <v>1</v>
      </c>
      <c r="T491" t="str">
        <f t="shared" ca="1" si="38"/>
        <v>On Track</v>
      </c>
      <c r="U491" t="str">
        <f t="shared" ca="1" si="39"/>
        <v>Normal</v>
      </c>
      <c r="V491" t="s">
        <v>33</v>
      </c>
    </row>
    <row r="492" spans="1:22">
      <c r="A492" t="s">
        <v>1390</v>
      </c>
      <c r="B492" t="s">
        <v>82</v>
      </c>
      <c r="C492" t="s">
        <v>1391</v>
      </c>
      <c r="D492" s="16">
        <v>939.81</v>
      </c>
      <c r="E492" t="s">
        <v>111</v>
      </c>
      <c r="F492" t="s">
        <v>26</v>
      </c>
      <c r="G492" t="s">
        <v>1392</v>
      </c>
      <c r="H492" t="s">
        <v>113</v>
      </c>
      <c r="I492" t="s">
        <v>29</v>
      </c>
      <c r="J492" s="13">
        <v>46180</v>
      </c>
      <c r="K492" s="17" t="s">
        <v>30</v>
      </c>
      <c r="L492" s="13">
        <v>46195</v>
      </c>
      <c r="M492" t="s">
        <v>145</v>
      </c>
      <c r="N492" t="s">
        <v>32</v>
      </c>
      <c r="O492" s="13">
        <v>46188</v>
      </c>
      <c r="Q492">
        <f t="shared" ca="1" si="35"/>
        <v>9</v>
      </c>
      <c r="R492">
        <f t="shared" si="36"/>
        <v>8</v>
      </c>
      <c r="S492">
        <f t="shared" ca="1" si="37"/>
        <v>6</v>
      </c>
      <c r="T492" t="str">
        <f t="shared" ca="1" si="38"/>
        <v>On Track</v>
      </c>
      <c r="U492" t="str">
        <f t="shared" ca="1" si="39"/>
        <v>Normal</v>
      </c>
    </row>
    <row r="493" spans="1:22">
      <c r="A493" t="s">
        <v>1393</v>
      </c>
      <c r="B493" t="s">
        <v>76</v>
      </c>
      <c r="C493" t="s">
        <v>1394</v>
      </c>
      <c r="D493" s="16">
        <v>265.05</v>
      </c>
      <c r="E493" t="s">
        <v>25</v>
      </c>
      <c r="F493" t="s">
        <v>38</v>
      </c>
      <c r="H493" t="s">
        <v>28</v>
      </c>
      <c r="I493" t="s">
        <v>29</v>
      </c>
      <c r="J493" s="13">
        <v>46174</v>
      </c>
      <c r="K493" s="17" t="s">
        <v>30</v>
      </c>
      <c r="L493" s="13">
        <v>46189</v>
      </c>
      <c r="M493" t="s">
        <v>41</v>
      </c>
      <c r="N493" t="s">
        <v>32</v>
      </c>
      <c r="Q493">
        <f t="shared" ca="1" si="35"/>
        <v>15</v>
      </c>
      <c r="R493" t="str">
        <f t="shared" si="36"/>
        <v/>
      </c>
      <c r="S493">
        <f t="shared" ca="1" si="37"/>
        <v>0</v>
      </c>
      <c r="T493" t="str">
        <f t="shared" ca="1" si="38"/>
        <v>Overdue</v>
      </c>
      <c r="U493" t="str">
        <f t="shared" ca="1" si="39"/>
        <v>At Risk</v>
      </c>
      <c r="V493" t="s">
        <v>42</v>
      </c>
    </row>
    <row r="494" spans="1:22">
      <c r="A494" t="s">
        <v>1395</v>
      </c>
      <c r="B494" t="s">
        <v>82</v>
      </c>
      <c r="C494" t="s">
        <v>1396</v>
      </c>
      <c r="D494" s="16">
        <v>70471.67</v>
      </c>
      <c r="E494" t="s">
        <v>111</v>
      </c>
      <c r="F494" t="s">
        <v>26</v>
      </c>
      <c r="G494" t="s">
        <v>1397</v>
      </c>
      <c r="H494" t="s">
        <v>121</v>
      </c>
      <c r="I494" t="s">
        <v>122</v>
      </c>
      <c r="J494" s="13">
        <v>46165</v>
      </c>
      <c r="K494" s="17" t="s">
        <v>30</v>
      </c>
      <c r="L494" s="13">
        <v>46180</v>
      </c>
      <c r="M494" t="s">
        <v>31</v>
      </c>
      <c r="N494" t="s">
        <v>50</v>
      </c>
      <c r="O494" s="13">
        <v>46184</v>
      </c>
      <c r="P494" s="13">
        <v>46189</v>
      </c>
      <c r="Q494">
        <f t="shared" ca="1" si="35"/>
        <v>24</v>
      </c>
      <c r="R494">
        <f t="shared" si="36"/>
        <v>19</v>
      </c>
      <c r="S494">
        <f t="shared" ca="1" si="37"/>
        <v>-9</v>
      </c>
      <c r="T494" t="str">
        <f t="shared" ca="1" si="38"/>
        <v>On Track</v>
      </c>
      <c r="U494" t="str">
        <f t="shared" ca="1" si="39"/>
        <v>Normal</v>
      </c>
      <c r="V494" t="s">
        <v>51</v>
      </c>
    </row>
    <row r="495" spans="1:22">
      <c r="A495" t="s">
        <v>1398</v>
      </c>
      <c r="B495" t="s">
        <v>208</v>
      </c>
      <c r="C495" t="s">
        <v>1399</v>
      </c>
      <c r="D495" s="16">
        <v>3416.26</v>
      </c>
      <c r="E495" t="s">
        <v>111</v>
      </c>
      <c r="F495" t="s">
        <v>38</v>
      </c>
      <c r="H495" t="s">
        <v>113</v>
      </c>
      <c r="I495" t="s">
        <v>29</v>
      </c>
      <c r="J495" s="13">
        <v>46184</v>
      </c>
      <c r="K495" s="17" t="s">
        <v>49</v>
      </c>
      <c r="L495" s="13">
        <v>46229</v>
      </c>
      <c r="M495" t="s">
        <v>41</v>
      </c>
      <c r="N495" t="s">
        <v>32</v>
      </c>
      <c r="Q495">
        <f t="shared" ca="1" si="35"/>
        <v>5</v>
      </c>
      <c r="R495" t="str">
        <f t="shared" si="36"/>
        <v/>
      </c>
      <c r="S495">
        <f t="shared" ca="1" si="37"/>
        <v>40</v>
      </c>
      <c r="T495" t="str">
        <f t="shared" ca="1" si="38"/>
        <v>On Track</v>
      </c>
      <c r="U495" t="str">
        <f t="shared" ca="1" si="39"/>
        <v>Normal</v>
      </c>
      <c r="V495" t="s">
        <v>42</v>
      </c>
    </row>
    <row r="496" spans="1:22">
      <c r="A496" t="s">
        <v>1400</v>
      </c>
      <c r="B496" t="s">
        <v>94</v>
      </c>
      <c r="C496" t="s">
        <v>1401</v>
      </c>
      <c r="D496" s="16">
        <v>42074.720000000001</v>
      </c>
      <c r="E496" t="s">
        <v>69</v>
      </c>
      <c r="F496" t="s">
        <v>26</v>
      </c>
      <c r="G496" t="s">
        <v>1402</v>
      </c>
      <c r="H496" t="s">
        <v>121</v>
      </c>
      <c r="I496" t="s">
        <v>122</v>
      </c>
      <c r="J496" s="13">
        <v>46178</v>
      </c>
      <c r="K496" s="17" t="s">
        <v>49</v>
      </c>
      <c r="L496" s="13">
        <v>46223</v>
      </c>
      <c r="M496" t="s">
        <v>65</v>
      </c>
      <c r="N496" t="s">
        <v>32</v>
      </c>
      <c r="Q496">
        <f t="shared" ca="1" si="35"/>
        <v>11</v>
      </c>
      <c r="R496" t="str">
        <f t="shared" si="36"/>
        <v/>
      </c>
      <c r="S496">
        <f t="shared" ca="1" si="37"/>
        <v>34</v>
      </c>
      <c r="T496" t="str">
        <f t="shared" ca="1" si="38"/>
        <v>On Track</v>
      </c>
      <c r="U496" t="str">
        <f t="shared" ca="1" si="39"/>
        <v>Normal</v>
      </c>
    </row>
    <row r="497" spans="1:22">
      <c r="A497" t="s">
        <v>1403</v>
      </c>
      <c r="B497" t="s">
        <v>82</v>
      </c>
      <c r="C497" t="s">
        <v>1404</v>
      </c>
      <c r="D497" s="16">
        <v>3834.39</v>
      </c>
      <c r="E497" t="s">
        <v>142</v>
      </c>
      <c r="F497" t="s">
        <v>26</v>
      </c>
      <c r="G497" t="s">
        <v>1405</v>
      </c>
      <c r="H497" t="s">
        <v>335</v>
      </c>
      <c r="I497" t="s">
        <v>29</v>
      </c>
      <c r="J497" s="13">
        <v>46157</v>
      </c>
      <c r="K497" s="17" t="s">
        <v>40</v>
      </c>
      <c r="L497" s="13">
        <v>46187</v>
      </c>
      <c r="M497" t="s">
        <v>31</v>
      </c>
      <c r="N497" t="s">
        <v>100</v>
      </c>
      <c r="O497" s="13">
        <v>46168</v>
      </c>
      <c r="P497" s="13">
        <v>46195</v>
      </c>
      <c r="Q497">
        <f t="shared" ca="1" si="35"/>
        <v>32</v>
      </c>
      <c r="R497">
        <f t="shared" si="36"/>
        <v>11</v>
      </c>
      <c r="S497">
        <f t="shared" ca="1" si="37"/>
        <v>-2</v>
      </c>
      <c r="T497" t="str">
        <f t="shared" ca="1" si="38"/>
        <v>On Track</v>
      </c>
      <c r="U497" t="str">
        <f t="shared" ca="1" si="39"/>
        <v>Normal</v>
      </c>
      <c r="V497" t="s">
        <v>107</v>
      </c>
    </row>
    <row r="498" spans="1:22">
      <c r="A498" t="s">
        <v>1406</v>
      </c>
      <c r="B498" t="s">
        <v>76</v>
      </c>
      <c r="C498" t="s">
        <v>1407</v>
      </c>
      <c r="D498" s="16">
        <v>336.74</v>
      </c>
      <c r="E498" t="s">
        <v>46</v>
      </c>
      <c r="F498" t="s">
        <v>38</v>
      </c>
      <c r="H498" t="s">
        <v>48</v>
      </c>
      <c r="I498" t="s">
        <v>29</v>
      </c>
      <c r="J498" s="13">
        <v>46183</v>
      </c>
      <c r="K498" s="17" t="s">
        <v>30</v>
      </c>
      <c r="L498" s="13">
        <v>46198</v>
      </c>
      <c r="M498" t="s">
        <v>65</v>
      </c>
      <c r="N498" t="s">
        <v>32</v>
      </c>
      <c r="Q498">
        <f t="shared" ca="1" si="35"/>
        <v>6</v>
      </c>
      <c r="R498" t="str">
        <f t="shared" si="36"/>
        <v/>
      </c>
      <c r="S498">
        <f t="shared" ca="1" si="37"/>
        <v>9</v>
      </c>
      <c r="T498" t="str">
        <f t="shared" ca="1" si="38"/>
        <v>On Track</v>
      </c>
      <c r="U498" t="str">
        <f t="shared" ca="1" si="39"/>
        <v>Normal</v>
      </c>
    </row>
    <row r="499" spans="1:22">
      <c r="A499" t="s">
        <v>1408</v>
      </c>
      <c r="B499" t="s">
        <v>53</v>
      </c>
      <c r="C499" t="s">
        <v>1409</v>
      </c>
      <c r="D499" s="16">
        <v>4050.85</v>
      </c>
      <c r="E499" t="s">
        <v>62</v>
      </c>
      <c r="F499" t="s">
        <v>26</v>
      </c>
      <c r="G499" t="s">
        <v>1410</v>
      </c>
      <c r="H499" t="s">
        <v>64</v>
      </c>
      <c r="I499" t="s">
        <v>29</v>
      </c>
      <c r="J499" s="13">
        <v>46150</v>
      </c>
      <c r="K499" s="17" t="s">
        <v>30</v>
      </c>
      <c r="L499" s="13">
        <v>46165</v>
      </c>
      <c r="M499" t="s">
        <v>31</v>
      </c>
      <c r="N499" t="s">
        <v>32</v>
      </c>
      <c r="O499" s="13">
        <v>46155</v>
      </c>
      <c r="P499" s="13">
        <v>46157</v>
      </c>
      <c r="Q499">
        <f t="shared" ca="1" si="35"/>
        <v>39</v>
      </c>
      <c r="R499">
        <f t="shared" si="36"/>
        <v>5</v>
      </c>
      <c r="S499">
        <f t="shared" ca="1" si="37"/>
        <v>-24</v>
      </c>
      <c r="T499" t="str">
        <f t="shared" ca="1" si="38"/>
        <v>On Track</v>
      </c>
      <c r="U499" t="str">
        <f t="shared" ca="1" si="39"/>
        <v>Normal</v>
      </c>
      <c r="V499" t="s">
        <v>33</v>
      </c>
    </row>
    <row r="500" spans="1:22">
      <c r="A500" t="s">
        <v>1411</v>
      </c>
      <c r="B500" t="s">
        <v>73</v>
      </c>
      <c r="C500" t="s">
        <v>1412</v>
      </c>
      <c r="D500" s="16">
        <v>1725.27</v>
      </c>
      <c r="E500" t="s">
        <v>69</v>
      </c>
      <c r="F500" t="s">
        <v>38</v>
      </c>
      <c r="H500" t="s">
        <v>71</v>
      </c>
      <c r="I500" t="s">
        <v>29</v>
      </c>
      <c r="J500" s="13">
        <v>46180</v>
      </c>
      <c r="K500" s="17" t="s">
        <v>57</v>
      </c>
      <c r="L500" s="13">
        <v>46210</v>
      </c>
      <c r="M500" t="s">
        <v>41</v>
      </c>
      <c r="N500" t="s">
        <v>32</v>
      </c>
      <c r="Q500">
        <f t="shared" ca="1" si="35"/>
        <v>9</v>
      </c>
      <c r="R500" t="str">
        <f t="shared" si="36"/>
        <v/>
      </c>
      <c r="S500">
        <f t="shared" ca="1" si="37"/>
        <v>21</v>
      </c>
      <c r="T500" t="str">
        <f t="shared" ca="1" si="38"/>
        <v>Overdue</v>
      </c>
      <c r="U500" t="str">
        <f t="shared" ca="1" si="39"/>
        <v>Normal</v>
      </c>
      <c r="V500" t="s">
        <v>42</v>
      </c>
    </row>
    <row r="501" spans="1:22">
      <c r="A501" t="s">
        <v>1413</v>
      </c>
      <c r="B501" t="s">
        <v>137</v>
      </c>
      <c r="C501" t="s">
        <v>1414</v>
      </c>
      <c r="D501" s="16">
        <v>3696.85</v>
      </c>
      <c r="E501" t="s">
        <v>25</v>
      </c>
      <c r="F501" t="s">
        <v>26</v>
      </c>
      <c r="G501" t="s">
        <v>1415</v>
      </c>
      <c r="H501" t="s">
        <v>28</v>
      </c>
      <c r="I501" t="s">
        <v>29</v>
      </c>
      <c r="J501" s="13">
        <v>46179</v>
      </c>
      <c r="K501" s="17" t="s">
        <v>57</v>
      </c>
      <c r="L501" s="13">
        <v>46209</v>
      </c>
      <c r="M501" t="s">
        <v>31</v>
      </c>
      <c r="N501" t="s">
        <v>32</v>
      </c>
      <c r="O501" s="13">
        <v>46181</v>
      </c>
      <c r="P501" s="13">
        <v>46188</v>
      </c>
      <c r="Q501">
        <f t="shared" ca="1" si="35"/>
        <v>10</v>
      </c>
      <c r="R501">
        <f t="shared" si="36"/>
        <v>2</v>
      </c>
      <c r="S501">
        <f t="shared" ca="1" si="37"/>
        <v>20</v>
      </c>
      <c r="T501" t="str">
        <f t="shared" ca="1" si="38"/>
        <v>On Track</v>
      </c>
      <c r="U501" t="str">
        <f t="shared" ca="1" si="39"/>
        <v>Normal</v>
      </c>
      <c r="V501" t="s">
        <v>33</v>
      </c>
    </row>
    <row r="502" spans="1:22">
      <c r="A502" t="s">
        <v>1416</v>
      </c>
      <c r="B502" t="s">
        <v>23</v>
      </c>
      <c r="C502" t="s">
        <v>1417</v>
      </c>
      <c r="D502" s="16">
        <v>967.78</v>
      </c>
      <c r="E502" t="s">
        <v>37</v>
      </c>
      <c r="F502" t="s">
        <v>38</v>
      </c>
      <c r="H502" t="s">
        <v>39</v>
      </c>
      <c r="I502" t="s">
        <v>29</v>
      </c>
      <c r="J502" s="13">
        <v>46149</v>
      </c>
      <c r="K502" s="17" t="s">
        <v>30</v>
      </c>
      <c r="L502" s="13">
        <v>46164</v>
      </c>
      <c r="M502" t="s">
        <v>31</v>
      </c>
      <c r="N502" t="s">
        <v>32</v>
      </c>
      <c r="O502" s="13">
        <v>46158</v>
      </c>
      <c r="P502" s="13">
        <v>46165</v>
      </c>
      <c r="Q502">
        <f t="shared" ca="1" si="35"/>
        <v>40</v>
      </c>
      <c r="R502">
        <f t="shared" si="36"/>
        <v>9</v>
      </c>
      <c r="S502">
        <f t="shared" ca="1" si="37"/>
        <v>-25</v>
      </c>
      <c r="T502" t="str">
        <f t="shared" ca="1" si="38"/>
        <v>On Track</v>
      </c>
      <c r="U502" t="str">
        <f t="shared" ca="1" si="39"/>
        <v>Normal</v>
      </c>
      <c r="V502" t="s">
        <v>33</v>
      </c>
    </row>
    <row r="503" spans="1:22">
      <c r="A503" t="s">
        <v>1418</v>
      </c>
      <c r="B503" t="s">
        <v>251</v>
      </c>
      <c r="C503" t="s">
        <v>1419</v>
      </c>
      <c r="D503" s="16">
        <v>901.05</v>
      </c>
      <c r="E503" t="s">
        <v>69</v>
      </c>
      <c r="F503" t="s">
        <v>26</v>
      </c>
      <c r="G503" t="s">
        <v>1420</v>
      </c>
      <c r="H503" t="s">
        <v>71</v>
      </c>
      <c r="I503" t="s">
        <v>29</v>
      </c>
      <c r="J503" s="13">
        <v>46170</v>
      </c>
      <c r="K503" s="17" t="s">
        <v>57</v>
      </c>
      <c r="L503" s="13">
        <v>46200</v>
      </c>
      <c r="M503" t="s">
        <v>31</v>
      </c>
      <c r="N503" t="s">
        <v>100</v>
      </c>
      <c r="O503" s="13">
        <v>46178</v>
      </c>
      <c r="P503" s="13">
        <v>46182</v>
      </c>
      <c r="Q503">
        <f t="shared" ca="1" si="35"/>
        <v>19</v>
      </c>
      <c r="R503">
        <f t="shared" si="36"/>
        <v>8</v>
      </c>
      <c r="S503">
        <f t="shared" ca="1" si="37"/>
        <v>11</v>
      </c>
      <c r="T503" t="str">
        <f t="shared" ca="1" si="38"/>
        <v>On Track</v>
      </c>
      <c r="U503" t="str">
        <f t="shared" ca="1" si="39"/>
        <v>Normal</v>
      </c>
      <c r="V503" t="s">
        <v>101</v>
      </c>
    </row>
    <row r="504" spans="1:22">
      <c r="A504" t="s">
        <v>1421</v>
      </c>
      <c r="B504" t="s">
        <v>137</v>
      </c>
      <c r="C504" t="s">
        <v>1422</v>
      </c>
      <c r="D504" s="16">
        <v>10873.4</v>
      </c>
      <c r="E504" t="s">
        <v>111</v>
      </c>
      <c r="F504" t="s">
        <v>26</v>
      </c>
      <c r="G504" t="s">
        <v>1423</v>
      </c>
      <c r="H504" t="s">
        <v>122</v>
      </c>
      <c r="I504" t="s">
        <v>92</v>
      </c>
      <c r="J504" s="13">
        <v>46159</v>
      </c>
      <c r="K504" s="17" t="s">
        <v>57</v>
      </c>
      <c r="L504" s="13">
        <v>46189</v>
      </c>
      <c r="M504" t="s">
        <v>31</v>
      </c>
      <c r="N504" t="s">
        <v>32</v>
      </c>
      <c r="O504" s="13">
        <v>46161</v>
      </c>
      <c r="P504" s="13">
        <v>46168</v>
      </c>
      <c r="Q504">
        <f t="shared" ca="1" si="35"/>
        <v>30</v>
      </c>
      <c r="R504">
        <f t="shared" si="36"/>
        <v>2</v>
      </c>
      <c r="S504">
        <f t="shared" ca="1" si="37"/>
        <v>0</v>
      </c>
      <c r="T504" t="str">
        <f t="shared" ca="1" si="38"/>
        <v>On Track</v>
      </c>
      <c r="U504" t="str">
        <f t="shared" ca="1" si="39"/>
        <v>Normal</v>
      </c>
      <c r="V504" t="s">
        <v>33</v>
      </c>
    </row>
    <row r="505" spans="1:22">
      <c r="A505" t="s">
        <v>1424</v>
      </c>
      <c r="B505" t="s">
        <v>67</v>
      </c>
      <c r="C505" t="s">
        <v>1425</v>
      </c>
      <c r="D505" s="16">
        <v>3755.01</v>
      </c>
      <c r="E505" t="s">
        <v>78</v>
      </c>
      <c r="F505" t="s">
        <v>38</v>
      </c>
      <c r="H505" t="s">
        <v>80</v>
      </c>
      <c r="I505" t="s">
        <v>29</v>
      </c>
      <c r="J505" s="13">
        <v>46161</v>
      </c>
      <c r="K505" s="17" t="s">
        <v>30</v>
      </c>
      <c r="L505" s="13">
        <v>46176</v>
      </c>
      <c r="M505" t="s">
        <v>31</v>
      </c>
      <c r="N505" t="s">
        <v>32</v>
      </c>
      <c r="O505" s="13">
        <v>46173</v>
      </c>
      <c r="P505" s="13">
        <v>46179</v>
      </c>
      <c r="Q505">
        <f t="shared" ca="1" si="35"/>
        <v>28</v>
      </c>
      <c r="R505">
        <f t="shared" si="36"/>
        <v>12</v>
      </c>
      <c r="S505">
        <f t="shared" ca="1" si="37"/>
        <v>-13</v>
      </c>
      <c r="T505" t="str">
        <f t="shared" ca="1" si="38"/>
        <v>On Track</v>
      </c>
      <c r="U505" t="str">
        <f t="shared" ca="1" si="39"/>
        <v>Normal</v>
      </c>
      <c r="V505" t="s">
        <v>33</v>
      </c>
    </row>
    <row r="506" spans="1:22">
      <c r="A506" t="s">
        <v>1426</v>
      </c>
      <c r="B506" t="s">
        <v>82</v>
      </c>
      <c r="C506" t="s">
        <v>1427</v>
      </c>
      <c r="D506" s="16">
        <v>1203.6300000000001</v>
      </c>
      <c r="E506" t="s">
        <v>111</v>
      </c>
      <c r="F506" t="s">
        <v>26</v>
      </c>
      <c r="G506" t="s">
        <v>1428</v>
      </c>
      <c r="H506" t="s">
        <v>113</v>
      </c>
      <c r="I506" t="s">
        <v>29</v>
      </c>
      <c r="J506" s="13">
        <v>46173</v>
      </c>
      <c r="K506" s="17" t="s">
        <v>30</v>
      </c>
      <c r="L506" s="13">
        <v>46188</v>
      </c>
      <c r="M506" t="s">
        <v>65</v>
      </c>
      <c r="N506" t="s">
        <v>32</v>
      </c>
      <c r="Q506">
        <f t="shared" ca="1" si="35"/>
        <v>16</v>
      </c>
      <c r="R506" t="str">
        <f t="shared" si="36"/>
        <v/>
      </c>
      <c r="S506">
        <f t="shared" ca="1" si="37"/>
        <v>-1</v>
      </c>
      <c r="T506" t="str">
        <f t="shared" ca="1" si="38"/>
        <v>On Track</v>
      </c>
      <c r="U506" t="str">
        <f t="shared" ca="1" si="39"/>
        <v>At Risk</v>
      </c>
    </row>
    <row r="507" spans="1:22">
      <c r="A507" t="s">
        <v>1429</v>
      </c>
      <c r="B507" t="s">
        <v>271</v>
      </c>
      <c r="C507" t="s">
        <v>1430</v>
      </c>
      <c r="D507" s="16">
        <v>778.1</v>
      </c>
      <c r="E507" t="s">
        <v>302</v>
      </c>
      <c r="F507" t="s">
        <v>38</v>
      </c>
      <c r="H507" t="s">
        <v>304</v>
      </c>
      <c r="I507" t="s">
        <v>29</v>
      </c>
      <c r="J507" s="13">
        <v>46172</v>
      </c>
      <c r="K507" s="17" t="s">
        <v>49</v>
      </c>
      <c r="L507" s="13">
        <v>46217</v>
      </c>
      <c r="M507" t="s">
        <v>41</v>
      </c>
      <c r="N507" t="s">
        <v>32</v>
      </c>
      <c r="Q507">
        <f t="shared" ca="1" si="35"/>
        <v>17</v>
      </c>
      <c r="R507" t="str">
        <f t="shared" si="36"/>
        <v/>
      </c>
      <c r="S507">
        <f t="shared" ca="1" si="37"/>
        <v>28</v>
      </c>
      <c r="T507" t="str">
        <f t="shared" ca="1" si="38"/>
        <v>Overdue</v>
      </c>
      <c r="U507" t="str">
        <f t="shared" ca="1" si="39"/>
        <v>Normal</v>
      </c>
      <c r="V507" t="s">
        <v>42</v>
      </c>
    </row>
    <row r="508" spans="1:22">
      <c r="A508" t="s">
        <v>1431</v>
      </c>
      <c r="B508" t="s">
        <v>129</v>
      </c>
      <c r="C508" t="s">
        <v>1432</v>
      </c>
      <c r="D508" s="16">
        <v>2127.31</v>
      </c>
      <c r="E508" t="s">
        <v>25</v>
      </c>
      <c r="F508" t="s">
        <v>26</v>
      </c>
      <c r="G508" t="s">
        <v>1433</v>
      </c>
      <c r="H508" t="s">
        <v>28</v>
      </c>
      <c r="I508" t="s">
        <v>29</v>
      </c>
      <c r="J508" s="13">
        <v>46158</v>
      </c>
      <c r="K508" s="17" t="s">
        <v>30</v>
      </c>
      <c r="L508" s="13">
        <v>46173</v>
      </c>
      <c r="M508" t="s">
        <v>31</v>
      </c>
      <c r="N508" t="s">
        <v>32</v>
      </c>
      <c r="O508" s="13">
        <v>46169</v>
      </c>
      <c r="P508" s="13">
        <v>46173</v>
      </c>
      <c r="Q508">
        <f t="shared" ca="1" si="35"/>
        <v>31</v>
      </c>
      <c r="R508">
        <f t="shared" si="36"/>
        <v>11</v>
      </c>
      <c r="S508">
        <f t="shared" ca="1" si="37"/>
        <v>-16</v>
      </c>
      <c r="T508" t="str">
        <f t="shared" ca="1" si="38"/>
        <v>On Track</v>
      </c>
      <c r="U508" t="str">
        <f t="shared" ca="1" si="39"/>
        <v>Normal</v>
      </c>
      <c r="V508" t="s">
        <v>33</v>
      </c>
    </row>
    <row r="509" spans="1:22">
      <c r="A509" t="s">
        <v>1434</v>
      </c>
      <c r="B509" t="s">
        <v>172</v>
      </c>
      <c r="C509" t="s">
        <v>1435</v>
      </c>
      <c r="D509" s="16">
        <v>2012.35</v>
      </c>
      <c r="E509" t="s">
        <v>37</v>
      </c>
      <c r="F509" t="s">
        <v>26</v>
      </c>
      <c r="G509" t="s">
        <v>1436</v>
      </c>
      <c r="H509" t="s">
        <v>39</v>
      </c>
      <c r="I509" t="s">
        <v>29</v>
      </c>
      <c r="J509" s="13">
        <v>46156</v>
      </c>
      <c r="K509" s="17" t="s">
        <v>49</v>
      </c>
      <c r="L509" s="13">
        <v>46201</v>
      </c>
      <c r="M509" t="s">
        <v>31</v>
      </c>
      <c r="N509" t="s">
        <v>100</v>
      </c>
      <c r="O509" s="13">
        <v>46165</v>
      </c>
      <c r="P509" s="13">
        <v>46171</v>
      </c>
      <c r="Q509">
        <f t="shared" ca="1" si="35"/>
        <v>33</v>
      </c>
      <c r="R509">
        <f t="shared" si="36"/>
        <v>9</v>
      </c>
      <c r="S509">
        <f t="shared" ca="1" si="37"/>
        <v>12</v>
      </c>
      <c r="T509" t="str">
        <f t="shared" ca="1" si="38"/>
        <v>On Track</v>
      </c>
      <c r="U509" t="str">
        <f t="shared" ca="1" si="39"/>
        <v>Normal</v>
      </c>
      <c r="V509" t="s">
        <v>101</v>
      </c>
    </row>
    <row r="510" spans="1:22">
      <c r="A510" t="s">
        <v>1437</v>
      </c>
      <c r="B510" t="s">
        <v>82</v>
      </c>
      <c r="C510" t="s">
        <v>1438</v>
      </c>
      <c r="D510" s="16">
        <v>4125.01</v>
      </c>
      <c r="E510" t="s">
        <v>156</v>
      </c>
      <c r="F510" t="s">
        <v>26</v>
      </c>
      <c r="G510" t="s">
        <v>1439</v>
      </c>
      <c r="H510" t="s">
        <v>157</v>
      </c>
      <c r="I510" t="s">
        <v>29</v>
      </c>
      <c r="J510" s="13">
        <v>46165</v>
      </c>
      <c r="K510" s="17" t="s">
        <v>57</v>
      </c>
      <c r="L510" s="13">
        <v>46195</v>
      </c>
      <c r="M510" t="s">
        <v>99</v>
      </c>
      <c r="N510" t="s">
        <v>179</v>
      </c>
      <c r="O510" s="13">
        <v>46177</v>
      </c>
      <c r="Q510">
        <f t="shared" ca="1" si="35"/>
        <v>24</v>
      </c>
      <c r="R510">
        <f t="shared" si="36"/>
        <v>12</v>
      </c>
      <c r="S510">
        <f t="shared" ca="1" si="37"/>
        <v>6</v>
      </c>
      <c r="T510" t="str">
        <f t="shared" ca="1" si="38"/>
        <v>On Track</v>
      </c>
      <c r="U510" t="str">
        <f t="shared" ca="1" si="39"/>
        <v>Normal</v>
      </c>
      <c r="V510" t="s">
        <v>180</v>
      </c>
    </row>
    <row r="511" spans="1:22">
      <c r="A511" t="s">
        <v>1440</v>
      </c>
      <c r="B511" t="s">
        <v>271</v>
      </c>
      <c r="C511" t="s">
        <v>1441</v>
      </c>
      <c r="D511" s="16">
        <v>84922.78</v>
      </c>
      <c r="E511" t="s">
        <v>37</v>
      </c>
      <c r="F511" t="s">
        <v>26</v>
      </c>
      <c r="G511" t="s">
        <v>1442</v>
      </c>
      <c r="H511" t="s">
        <v>121</v>
      </c>
      <c r="I511" t="s">
        <v>122</v>
      </c>
      <c r="J511" s="13">
        <v>46177</v>
      </c>
      <c r="K511" s="17" t="s">
        <v>40</v>
      </c>
      <c r="L511" s="13">
        <v>46207</v>
      </c>
      <c r="M511" t="s">
        <v>145</v>
      </c>
      <c r="N511" t="s">
        <v>50</v>
      </c>
      <c r="O511" s="13">
        <v>46189</v>
      </c>
      <c r="Q511">
        <f t="shared" ca="1" si="35"/>
        <v>12</v>
      </c>
      <c r="R511">
        <f t="shared" si="36"/>
        <v>12</v>
      </c>
      <c r="S511">
        <f t="shared" ca="1" si="37"/>
        <v>18</v>
      </c>
      <c r="T511" t="str">
        <f t="shared" ca="1" si="38"/>
        <v>On Track</v>
      </c>
      <c r="U511" t="str">
        <f t="shared" ca="1" si="39"/>
        <v>Normal</v>
      </c>
      <c r="V511" t="s">
        <v>51</v>
      </c>
    </row>
    <row r="512" spans="1:22">
      <c r="A512" t="s">
        <v>1443</v>
      </c>
      <c r="B512" t="s">
        <v>44</v>
      </c>
      <c r="C512" t="s">
        <v>1444</v>
      </c>
      <c r="D512" s="16">
        <v>19355.490000000002</v>
      </c>
      <c r="E512" t="s">
        <v>302</v>
      </c>
      <c r="F512" t="s">
        <v>26</v>
      </c>
      <c r="G512" t="s">
        <v>1445</v>
      </c>
      <c r="H512" t="s">
        <v>429</v>
      </c>
      <c r="I512" t="s">
        <v>92</v>
      </c>
      <c r="J512" s="13">
        <v>46171</v>
      </c>
      <c r="K512" s="17" t="s">
        <v>57</v>
      </c>
      <c r="L512" s="13">
        <v>46201</v>
      </c>
      <c r="M512" t="s">
        <v>65</v>
      </c>
      <c r="N512" t="s">
        <v>179</v>
      </c>
      <c r="Q512">
        <f t="shared" ca="1" si="35"/>
        <v>18</v>
      </c>
      <c r="R512" t="str">
        <f t="shared" si="36"/>
        <v/>
      </c>
      <c r="S512">
        <f t="shared" ca="1" si="37"/>
        <v>12</v>
      </c>
      <c r="T512" t="str">
        <f t="shared" ca="1" si="38"/>
        <v>On Track</v>
      </c>
      <c r="U512" t="str">
        <f t="shared" ca="1" si="39"/>
        <v>Normal</v>
      </c>
      <c r="V512" t="s">
        <v>180</v>
      </c>
    </row>
    <row r="513" spans="1:22">
      <c r="A513" t="s">
        <v>1446</v>
      </c>
      <c r="B513" t="s">
        <v>82</v>
      </c>
      <c r="C513" t="s">
        <v>1447</v>
      </c>
      <c r="D513" s="16">
        <v>76476.600000000006</v>
      </c>
      <c r="E513" t="s">
        <v>302</v>
      </c>
      <c r="F513" t="s">
        <v>26</v>
      </c>
      <c r="G513" t="s">
        <v>1448</v>
      </c>
      <c r="H513" t="s">
        <v>121</v>
      </c>
      <c r="I513" t="s">
        <v>122</v>
      </c>
      <c r="J513" s="13">
        <v>46177</v>
      </c>
      <c r="K513" s="17" t="s">
        <v>40</v>
      </c>
      <c r="L513" s="13">
        <v>46207</v>
      </c>
      <c r="M513" t="s">
        <v>99</v>
      </c>
      <c r="N513" t="s">
        <v>32</v>
      </c>
      <c r="O513" s="13">
        <v>46181</v>
      </c>
      <c r="Q513">
        <f t="shared" ca="1" si="35"/>
        <v>12</v>
      </c>
      <c r="R513">
        <f t="shared" si="36"/>
        <v>4</v>
      </c>
      <c r="S513">
        <f t="shared" ca="1" si="37"/>
        <v>18</v>
      </c>
      <c r="T513" t="str">
        <f t="shared" ca="1" si="38"/>
        <v>On Track</v>
      </c>
      <c r="U513" t="str">
        <f t="shared" ca="1" si="39"/>
        <v>Normal</v>
      </c>
    </row>
    <row r="514" spans="1:22">
      <c r="A514" t="s">
        <v>1449</v>
      </c>
      <c r="B514" t="s">
        <v>137</v>
      </c>
      <c r="C514" t="s">
        <v>1450</v>
      </c>
      <c r="D514" s="16">
        <v>18516.62</v>
      </c>
      <c r="E514" t="s">
        <v>78</v>
      </c>
      <c r="F514" t="s">
        <v>26</v>
      </c>
      <c r="G514" t="s">
        <v>1451</v>
      </c>
      <c r="H514" t="s">
        <v>91</v>
      </c>
      <c r="I514" t="s">
        <v>92</v>
      </c>
      <c r="J514" s="13">
        <v>46152</v>
      </c>
      <c r="K514" s="17" t="s">
        <v>49</v>
      </c>
      <c r="L514" s="13">
        <v>46197</v>
      </c>
      <c r="M514" t="s">
        <v>31</v>
      </c>
      <c r="N514" t="s">
        <v>32</v>
      </c>
      <c r="O514" s="13">
        <v>46154</v>
      </c>
      <c r="P514" s="13">
        <v>46160</v>
      </c>
      <c r="Q514">
        <f t="shared" ref="Q514:Q577" ca="1" si="40">IF(J514="","",TODAY()-J514)</f>
        <v>37</v>
      </c>
      <c r="R514">
        <f t="shared" ref="R514:R577" si="41">IF(O514="","",O514-J514)</f>
        <v>2</v>
      </c>
      <c r="S514">
        <f t="shared" ref="S514:S577" ca="1" si="42">IF(L514="","",L514-TODAY())</f>
        <v>8</v>
      </c>
      <c r="T514" t="str">
        <f t="shared" ref="T514:T577" ca="1" si="43">IF(AND(M514="Pending Approval",Q514&gt;5),"Overdue","On Track")</f>
        <v>On Track</v>
      </c>
      <c r="U514" t="str">
        <f t="shared" ref="U514:U577" ca="1" si="44">IF(AND(M514&lt;&gt;"Paid",S514&lt;=5),"At Risk","Normal")</f>
        <v>Normal</v>
      </c>
      <c r="V514" t="s">
        <v>33</v>
      </c>
    </row>
    <row r="515" spans="1:22">
      <c r="A515" t="s">
        <v>1452</v>
      </c>
      <c r="B515" t="s">
        <v>271</v>
      </c>
      <c r="C515" t="s">
        <v>1453</v>
      </c>
      <c r="D515" s="16">
        <v>2845.23</v>
      </c>
      <c r="E515" t="s">
        <v>69</v>
      </c>
      <c r="F515" t="s">
        <v>26</v>
      </c>
      <c r="G515" t="s">
        <v>1454</v>
      </c>
      <c r="H515" t="s">
        <v>71</v>
      </c>
      <c r="I515" t="s">
        <v>29</v>
      </c>
      <c r="J515" s="13">
        <v>46173</v>
      </c>
      <c r="K515" s="17" t="s">
        <v>57</v>
      </c>
      <c r="L515" s="13">
        <v>46203</v>
      </c>
      <c r="M515" t="s">
        <v>41</v>
      </c>
      <c r="N515" t="s">
        <v>179</v>
      </c>
      <c r="Q515">
        <f t="shared" ca="1" si="40"/>
        <v>16</v>
      </c>
      <c r="R515" t="str">
        <f t="shared" si="41"/>
        <v/>
      </c>
      <c r="S515">
        <f t="shared" ca="1" si="42"/>
        <v>14</v>
      </c>
      <c r="T515" t="str">
        <f t="shared" ca="1" si="43"/>
        <v>Overdue</v>
      </c>
      <c r="U515" t="str">
        <f t="shared" ca="1" si="44"/>
        <v>Normal</v>
      </c>
      <c r="V515" t="s">
        <v>180</v>
      </c>
    </row>
    <row r="516" spans="1:22">
      <c r="A516" t="s">
        <v>1455</v>
      </c>
      <c r="B516" t="s">
        <v>23</v>
      </c>
      <c r="C516" t="s">
        <v>1456</v>
      </c>
      <c r="D516" s="16">
        <v>256.2</v>
      </c>
      <c r="E516" t="s">
        <v>62</v>
      </c>
      <c r="F516" t="s">
        <v>38</v>
      </c>
      <c r="H516" t="s">
        <v>64</v>
      </c>
      <c r="I516" t="s">
        <v>29</v>
      </c>
      <c r="J516" s="13">
        <v>46168</v>
      </c>
      <c r="K516" s="17" t="s">
        <v>49</v>
      </c>
      <c r="L516" s="13">
        <v>46213</v>
      </c>
      <c r="M516" t="s">
        <v>99</v>
      </c>
      <c r="N516" t="s">
        <v>32</v>
      </c>
      <c r="O516" s="13">
        <v>46177</v>
      </c>
      <c r="Q516">
        <f t="shared" ca="1" si="40"/>
        <v>21</v>
      </c>
      <c r="R516">
        <f t="shared" si="41"/>
        <v>9</v>
      </c>
      <c r="S516">
        <f t="shared" ca="1" si="42"/>
        <v>24</v>
      </c>
      <c r="T516" t="str">
        <f t="shared" ca="1" si="43"/>
        <v>On Track</v>
      </c>
      <c r="U516" t="str">
        <f t="shared" ca="1" si="44"/>
        <v>Normal</v>
      </c>
    </row>
    <row r="517" spans="1:22">
      <c r="A517" t="s">
        <v>1457</v>
      </c>
      <c r="B517" t="s">
        <v>187</v>
      </c>
      <c r="C517" t="s">
        <v>1458</v>
      </c>
      <c r="D517" s="16">
        <v>6068.83</v>
      </c>
      <c r="E517" t="s">
        <v>142</v>
      </c>
      <c r="F517" t="s">
        <v>38</v>
      </c>
      <c r="H517" t="s">
        <v>144</v>
      </c>
      <c r="I517" t="s">
        <v>92</v>
      </c>
      <c r="J517" s="13">
        <v>46187</v>
      </c>
      <c r="K517" s="17" t="s">
        <v>49</v>
      </c>
      <c r="L517" s="13">
        <v>46232</v>
      </c>
      <c r="M517" t="s">
        <v>41</v>
      </c>
      <c r="N517" t="s">
        <v>179</v>
      </c>
      <c r="Q517">
        <f t="shared" ca="1" si="40"/>
        <v>2</v>
      </c>
      <c r="R517" t="str">
        <f t="shared" si="41"/>
        <v/>
      </c>
      <c r="S517">
        <f t="shared" ca="1" si="42"/>
        <v>43</v>
      </c>
      <c r="T517" t="str">
        <f t="shared" ca="1" si="43"/>
        <v>On Track</v>
      </c>
      <c r="U517" t="str">
        <f t="shared" ca="1" si="44"/>
        <v>Normal</v>
      </c>
      <c r="V517" t="s">
        <v>180</v>
      </c>
    </row>
    <row r="518" spans="1:22">
      <c r="A518" t="s">
        <v>1459</v>
      </c>
      <c r="B518" t="s">
        <v>103</v>
      </c>
      <c r="C518" t="s">
        <v>1460</v>
      </c>
      <c r="D518" s="16">
        <v>2792.5</v>
      </c>
      <c r="E518" t="s">
        <v>142</v>
      </c>
      <c r="F518" t="s">
        <v>26</v>
      </c>
      <c r="G518" t="s">
        <v>1461</v>
      </c>
      <c r="H518" t="s">
        <v>335</v>
      </c>
      <c r="I518" t="s">
        <v>29</v>
      </c>
      <c r="J518" s="13">
        <v>46157</v>
      </c>
      <c r="K518" s="17" t="s">
        <v>57</v>
      </c>
      <c r="L518" s="13">
        <v>46187</v>
      </c>
      <c r="M518" t="s">
        <v>31</v>
      </c>
      <c r="N518" t="s">
        <v>100</v>
      </c>
      <c r="O518" s="13">
        <v>46168</v>
      </c>
      <c r="P518" s="13">
        <v>46172</v>
      </c>
      <c r="Q518">
        <f t="shared" ca="1" si="40"/>
        <v>32</v>
      </c>
      <c r="R518">
        <f t="shared" si="41"/>
        <v>11</v>
      </c>
      <c r="S518">
        <f t="shared" ca="1" si="42"/>
        <v>-2</v>
      </c>
      <c r="T518" t="str">
        <f t="shared" ca="1" si="43"/>
        <v>On Track</v>
      </c>
      <c r="U518" t="str">
        <f t="shared" ca="1" si="44"/>
        <v>Normal</v>
      </c>
      <c r="V518" t="s">
        <v>101</v>
      </c>
    </row>
    <row r="519" spans="1:22">
      <c r="A519" t="s">
        <v>1462</v>
      </c>
      <c r="B519" t="s">
        <v>115</v>
      </c>
      <c r="C519" t="s">
        <v>1463</v>
      </c>
      <c r="D519" s="16">
        <v>3639.83</v>
      </c>
      <c r="E519" t="s">
        <v>69</v>
      </c>
      <c r="F519" t="s">
        <v>26</v>
      </c>
      <c r="G519" t="s">
        <v>1464</v>
      </c>
      <c r="H519" t="s">
        <v>71</v>
      </c>
      <c r="I519" t="s">
        <v>29</v>
      </c>
      <c r="J519" s="13">
        <v>46161</v>
      </c>
      <c r="K519" s="17" t="s">
        <v>40</v>
      </c>
      <c r="L519" s="13">
        <v>46191</v>
      </c>
      <c r="M519" t="s">
        <v>31</v>
      </c>
      <c r="N519" t="s">
        <v>32</v>
      </c>
      <c r="O519" s="13">
        <v>46163</v>
      </c>
      <c r="P519" s="13">
        <v>46167</v>
      </c>
      <c r="Q519">
        <f t="shared" ca="1" si="40"/>
        <v>28</v>
      </c>
      <c r="R519">
        <f t="shared" si="41"/>
        <v>2</v>
      </c>
      <c r="S519">
        <f t="shared" ca="1" si="42"/>
        <v>2</v>
      </c>
      <c r="T519" t="str">
        <f t="shared" ca="1" si="43"/>
        <v>On Track</v>
      </c>
      <c r="U519" t="str">
        <f t="shared" ca="1" si="44"/>
        <v>Normal</v>
      </c>
      <c r="V519" t="s">
        <v>33</v>
      </c>
    </row>
    <row r="520" spans="1:22">
      <c r="A520" t="s">
        <v>1465</v>
      </c>
      <c r="B520" t="s">
        <v>35</v>
      </c>
      <c r="C520" t="s">
        <v>1466</v>
      </c>
      <c r="D520" s="16">
        <v>14168.2</v>
      </c>
      <c r="E520" t="s">
        <v>78</v>
      </c>
      <c r="F520" t="s">
        <v>26</v>
      </c>
      <c r="G520" t="s">
        <v>1467</v>
      </c>
      <c r="H520" t="s">
        <v>91</v>
      </c>
      <c r="I520" t="s">
        <v>92</v>
      </c>
      <c r="J520" s="13">
        <v>46178</v>
      </c>
      <c r="K520" s="17" t="s">
        <v>49</v>
      </c>
      <c r="L520" s="13">
        <v>46223</v>
      </c>
      <c r="M520" t="s">
        <v>41</v>
      </c>
      <c r="N520" t="s">
        <v>32</v>
      </c>
      <c r="Q520">
        <f t="shared" ca="1" si="40"/>
        <v>11</v>
      </c>
      <c r="R520" t="str">
        <f t="shared" si="41"/>
        <v/>
      </c>
      <c r="S520">
        <f t="shared" ca="1" si="42"/>
        <v>34</v>
      </c>
      <c r="T520" t="str">
        <f t="shared" ca="1" si="43"/>
        <v>Overdue</v>
      </c>
      <c r="U520" t="str">
        <f t="shared" ca="1" si="44"/>
        <v>Normal</v>
      </c>
      <c r="V520" t="s">
        <v>42</v>
      </c>
    </row>
    <row r="521" spans="1:22">
      <c r="A521" t="s">
        <v>1468</v>
      </c>
      <c r="B521" t="s">
        <v>137</v>
      </c>
      <c r="C521" t="s">
        <v>1469</v>
      </c>
      <c r="D521" s="16">
        <v>13928.55</v>
      </c>
      <c r="E521" t="s">
        <v>126</v>
      </c>
      <c r="F521" t="s">
        <v>26</v>
      </c>
      <c r="G521" t="s">
        <v>1470</v>
      </c>
      <c r="H521" t="s">
        <v>127</v>
      </c>
      <c r="I521" t="s">
        <v>92</v>
      </c>
      <c r="J521" s="13">
        <v>46155</v>
      </c>
      <c r="K521" s="17" t="s">
        <v>49</v>
      </c>
      <c r="L521" s="13">
        <v>46200</v>
      </c>
      <c r="M521" t="s">
        <v>31</v>
      </c>
      <c r="N521" t="s">
        <v>100</v>
      </c>
      <c r="O521" s="13">
        <v>46165</v>
      </c>
      <c r="P521" s="13">
        <v>46205</v>
      </c>
      <c r="Q521">
        <f t="shared" ca="1" si="40"/>
        <v>34</v>
      </c>
      <c r="R521">
        <f t="shared" si="41"/>
        <v>10</v>
      </c>
      <c r="S521">
        <f t="shared" ca="1" si="42"/>
        <v>11</v>
      </c>
      <c r="T521" t="str">
        <f t="shared" ca="1" si="43"/>
        <v>On Track</v>
      </c>
      <c r="U521" t="str">
        <f t="shared" ca="1" si="44"/>
        <v>Normal</v>
      </c>
      <c r="V521" t="s">
        <v>107</v>
      </c>
    </row>
    <row r="522" spans="1:22">
      <c r="A522" t="s">
        <v>1471</v>
      </c>
      <c r="B522" t="s">
        <v>222</v>
      </c>
      <c r="C522" t="s">
        <v>1472</v>
      </c>
      <c r="D522" s="16">
        <v>1179.3699999999999</v>
      </c>
      <c r="E522" t="s">
        <v>62</v>
      </c>
      <c r="F522" t="s">
        <v>38</v>
      </c>
      <c r="H522" t="s">
        <v>64</v>
      </c>
      <c r="I522" t="s">
        <v>29</v>
      </c>
      <c r="J522" s="13">
        <v>46145</v>
      </c>
      <c r="K522" s="17" t="s">
        <v>49</v>
      </c>
      <c r="L522" s="13">
        <v>46190</v>
      </c>
      <c r="M522" t="s">
        <v>31</v>
      </c>
      <c r="N522" t="s">
        <v>32</v>
      </c>
      <c r="O522" s="13">
        <v>46154</v>
      </c>
      <c r="P522" s="13">
        <v>46158</v>
      </c>
      <c r="Q522">
        <f t="shared" ca="1" si="40"/>
        <v>44</v>
      </c>
      <c r="R522">
        <f t="shared" si="41"/>
        <v>9</v>
      </c>
      <c r="S522">
        <f t="shared" ca="1" si="42"/>
        <v>1</v>
      </c>
      <c r="T522" t="str">
        <f t="shared" ca="1" si="43"/>
        <v>On Track</v>
      </c>
      <c r="U522" t="str">
        <f t="shared" ca="1" si="44"/>
        <v>Normal</v>
      </c>
      <c r="V522" t="s">
        <v>33</v>
      </c>
    </row>
    <row r="523" spans="1:22">
      <c r="A523" t="s">
        <v>1473</v>
      </c>
      <c r="B523" t="s">
        <v>23</v>
      </c>
      <c r="C523" t="s">
        <v>1474</v>
      </c>
      <c r="D523" s="16">
        <v>536.41999999999996</v>
      </c>
      <c r="E523" t="s">
        <v>302</v>
      </c>
      <c r="F523" t="s">
        <v>38</v>
      </c>
      <c r="H523" t="s">
        <v>304</v>
      </c>
      <c r="I523" t="s">
        <v>29</v>
      </c>
      <c r="J523" s="13">
        <v>46158</v>
      </c>
      <c r="K523" s="17" t="s">
        <v>49</v>
      </c>
      <c r="L523" s="13">
        <v>46203</v>
      </c>
      <c r="M523" t="s">
        <v>31</v>
      </c>
      <c r="N523" t="s">
        <v>32</v>
      </c>
      <c r="O523" s="13">
        <v>46169</v>
      </c>
      <c r="P523" s="13">
        <v>46175</v>
      </c>
      <c r="Q523">
        <f t="shared" ca="1" si="40"/>
        <v>31</v>
      </c>
      <c r="R523">
        <f t="shared" si="41"/>
        <v>11</v>
      </c>
      <c r="S523">
        <f t="shared" ca="1" si="42"/>
        <v>14</v>
      </c>
      <c r="T523" t="str">
        <f t="shared" ca="1" si="43"/>
        <v>On Track</v>
      </c>
      <c r="U523" t="str">
        <f t="shared" ca="1" si="44"/>
        <v>Normal</v>
      </c>
      <c r="V523" t="s">
        <v>33</v>
      </c>
    </row>
    <row r="524" spans="1:22">
      <c r="A524" t="s">
        <v>1475</v>
      </c>
      <c r="B524" t="s">
        <v>67</v>
      </c>
      <c r="C524" t="s">
        <v>1476</v>
      </c>
      <c r="D524" s="16">
        <v>2831</v>
      </c>
      <c r="E524" t="s">
        <v>62</v>
      </c>
      <c r="F524" t="s">
        <v>38</v>
      </c>
      <c r="H524" t="s">
        <v>64</v>
      </c>
      <c r="I524" t="s">
        <v>29</v>
      </c>
      <c r="J524" s="13">
        <v>46163</v>
      </c>
      <c r="K524" s="17" t="s">
        <v>57</v>
      </c>
      <c r="L524" s="13">
        <v>46193</v>
      </c>
      <c r="M524" t="s">
        <v>65</v>
      </c>
      <c r="N524" t="s">
        <v>58</v>
      </c>
      <c r="Q524">
        <f t="shared" ca="1" si="40"/>
        <v>26</v>
      </c>
      <c r="R524" t="str">
        <f t="shared" si="41"/>
        <v/>
      </c>
      <c r="S524">
        <f t="shared" ca="1" si="42"/>
        <v>4</v>
      </c>
      <c r="T524" t="str">
        <f t="shared" ca="1" si="43"/>
        <v>On Track</v>
      </c>
      <c r="U524" t="str">
        <f t="shared" ca="1" si="44"/>
        <v>At Risk</v>
      </c>
      <c r="V524" t="s">
        <v>59</v>
      </c>
    </row>
    <row r="525" spans="1:22">
      <c r="A525" t="s">
        <v>1477</v>
      </c>
      <c r="B525" t="s">
        <v>82</v>
      </c>
      <c r="C525" t="s">
        <v>1478</v>
      </c>
      <c r="D525" s="16">
        <v>2324.4699999999998</v>
      </c>
      <c r="E525" t="s">
        <v>46</v>
      </c>
      <c r="F525" t="s">
        <v>26</v>
      </c>
      <c r="G525" t="s">
        <v>1479</v>
      </c>
      <c r="H525" t="s">
        <v>48</v>
      </c>
      <c r="I525" t="s">
        <v>29</v>
      </c>
      <c r="J525" s="13">
        <v>46189</v>
      </c>
      <c r="K525" s="17" t="s">
        <v>49</v>
      </c>
      <c r="L525" s="13">
        <v>46234</v>
      </c>
      <c r="M525" t="s">
        <v>145</v>
      </c>
      <c r="N525" t="s">
        <v>32</v>
      </c>
      <c r="O525" s="13">
        <v>46189</v>
      </c>
      <c r="Q525">
        <f t="shared" ca="1" si="40"/>
        <v>0</v>
      </c>
      <c r="R525">
        <f t="shared" si="41"/>
        <v>0</v>
      </c>
      <c r="S525">
        <f t="shared" ca="1" si="42"/>
        <v>45</v>
      </c>
      <c r="T525" t="str">
        <f t="shared" ca="1" si="43"/>
        <v>On Track</v>
      </c>
      <c r="U525" t="str">
        <f t="shared" ca="1" si="44"/>
        <v>Normal</v>
      </c>
    </row>
    <row r="526" spans="1:22">
      <c r="A526" t="s">
        <v>1480</v>
      </c>
      <c r="B526" t="s">
        <v>118</v>
      </c>
      <c r="C526" t="s">
        <v>1481</v>
      </c>
      <c r="D526" s="16">
        <v>781.97</v>
      </c>
      <c r="E526" t="s">
        <v>46</v>
      </c>
      <c r="F526" t="s">
        <v>38</v>
      </c>
      <c r="H526" t="s">
        <v>48</v>
      </c>
      <c r="I526" t="s">
        <v>29</v>
      </c>
      <c r="J526" s="13">
        <v>46180</v>
      </c>
      <c r="K526" s="17" t="s">
        <v>57</v>
      </c>
      <c r="L526" s="13">
        <v>46210</v>
      </c>
      <c r="M526" t="s">
        <v>41</v>
      </c>
      <c r="N526" t="s">
        <v>32</v>
      </c>
      <c r="Q526">
        <f t="shared" ca="1" si="40"/>
        <v>9</v>
      </c>
      <c r="R526" t="str">
        <f t="shared" si="41"/>
        <v/>
      </c>
      <c r="S526">
        <f t="shared" ca="1" si="42"/>
        <v>21</v>
      </c>
      <c r="T526" t="str">
        <f t="shared" ca="1" si="43"/>
        <v>Overdue</v>
      </c>
      <c r="U526" t="str">
        <f t="shared" ca="1" si="44"/>
        <v>Normal</v>
      </c>
      <c r="V526" t="s">
        <v>42</v>
      </c>
    </row>
    <row r="527" spans="1:22">
      <c r="A527" t="s">
        <v>1482</v>
      </c>
      <c r="B527" t="s">
        <v>222</v>
      </c>
      <c r="C527" t="s">
        <v>1483</v>
      </c>
      <c r="D527" s="16">
        <v>4688.37</v>
      </c>
      <c r="E527" t="s">
        <v>142</v>
      </c>
      <c r="F527" t="s">
        <v>26</v>
      </c>
      <c r="G527" t="s">
        <v>1484</v>
      </c>
      <c r="H527" t="s">
        <v>335</v>
      </c>
      <c r="I527" t="s">
        <v>29</v>
      </c>
      <c r="J527" s="13">
        <v>46145</v>
      </c>
      <c r="K527" s="17" t="s">
        <v>40</v>
      </c>
      <c r="L527" s="13">
        <v>46175</v>
      </c>
      <c r="M527" t="s">
        <v>41</v>
      </c>
      <c r="N527" t="s">
        <v>100</v>
      </c>
      <c r="Q527">
        <f t="shared" ca="1" si="40"/>
        <v>44</v>
      </c>
      <c r="R527" t="str">
        <f t="shared" si="41"/>
        <v/>
      </c>
      <c r="S527">
        <f t="shared" ca="1" si="42"/>
        <v>-14</v>
      </c>
      <c r="T527" t="str">
        <f t="shared" ca="1" si="43"/>
        <v>Overdue</v>
      </c>
      <c r="U527" t="str">
        <f t="shared" ca="1" si="44"/>
        <v>At Risk</v>
      </c>
      <c r="V527" t="s">
        <v>101</v>
      </c>
    </row>
    <row r="528" spans="1:22">
      <c r="A528" t="s">
        <v>1485</v>
      </c>
      <c r="B528" t="s">
        <v>94</v>
      </c>
      <c r="C528" t="s">
        <v>1486</v>
      </c>
      <c r="D528" s="16">
        <v>2558.71</v>
      </c>
      <c r="E528" t="s">
        <v>69</v>
      </c>
      <c r="F528" t="s">
        <v>38</v>
      </c>
      <c r="H528" t="s">
        <v>71</v>
      </c>
      <c r="I528" t="s">
        <v>29</v>
      </c>
      <c r="J528" s="13">
        <v>46162</v>
      </c>
      <c r="K528" s="17" t="s">
        <v>40</v>
      </c>
      <c r="L528" s="13">
        <v>46192</v>
      </c>
      <c r="M528" t="s">
        <v>31</v>
      </c>
      <c r="N528" t="s">
        <v>179</v>
      </c>
      <c r="O528" s="13">
        <v>46174</v>
      </c>
      <c r="P528" s="13">
        <v>46180</v>
      </c>
      <c r="Q528">
        <f t="shared" ca="1" si="40"/>
        <v>27</v>
      </c>
      <c r="R528">
        <f t="shared" si="41"/>
        <v>12</v>
      </c>
      <c r="S528">
        <f t="shared" ca="1" si="42"/>
        <v>3</v>
      </c>
      <c r="T528" t="str">
        <f t="shared" ca="1" si="43"/>
        <v>On Track</v>
      </c>
      <c r="U528" t="str">
        <f t="shared" ca="1" si="44"/>
        <v>Normal</v>
      </c>
      <c r="V528" t="s">
        <v>180</v>
      </c>
    </row>
    <row r="529" spans="1:22">
      <c r="A529" t="s">
        <v>1487</v>
      </c>
      <c r="B529" t="s">
        <v>82</v>
      </c>
      <c r="C529" t="s">
        <v>1488</v>
      </c>
      <c r="D529" s="16">
        <v>781.79</v>
      </c>
      <c r="E529" t="s">
        <v>46</v>
      </c>
      <c r="F529" t="s">
        <v>26</v>
      </c>
      <c r="G529" t="s">
        <v>1489</v>
      </c>
      <c r="H529" t="s">
        <v>48</v>
      </c>
      <c r="I529" t="s">
        <v>29</v>
      </c>
      <c r="J529" s="13">
        <v>46158</v>
      </c>
      <c r="K529" s="17" t="s">
        <v>40</v>
      </c>
      <c r="L529" s="13">
        <v>46188</v>
      </c>
      <c r="M529" t="s">
        <v>31</v>
      </c>
      <c r="N529" t="s">
        <v>32</v>
      </c>
      <c r="O529" s="13">
        <v>46164</v>
      </c>
      <c r="P529" s="13">
        <v>46170</v>
      </c>
      <c r="Q529">
        <f t="shared" ca="1" si="40"/>
        <v>31</v>
      </c>
      <c r="R529">
        <f t="shared" si="41"/>
        <v>6</v>
      </c>
      <c r="S529">
        <f t="shared" ca="1" si="42"/>
        <v>-1</v>
      </c>
      <c r="T529" t="str">
        <f t="shared" ca="1" si="43"/>
        <v>On Track</v>
      </c>
      <c r="U529" t="str">
        <f t="shared" ca="1" si="44"/>
        <v>Normal</v>
      </c>
      <c r="V529" t="s">
        <v>33</v>
      </c>
    </row>
    <row r="530" spans="1:22">
      <c r="A530" t="s">
        <v>1490</v>
      </c>
      <c r="B530" t="s">
        <v>115</v>
      </c>
      <c r="C530" t="s">
        <v>1491</v>
      </c>
      <c r="D530" s="16">
        <v>4507.28</v>
      </c>
      <c r="E530" t="s">
        <v>78</v>
      </c>
      <c r="F530" t="s">
        <v>26</v>
      </c>
      <c r="G530" t="s">
        <v>1492</v>
      </c>
      <c r="H530" t="s">
        <v>80</v>
      </c>
      <c r="I530" t="s">
        <v>29</v>
      </c>
      <c r="J530" s="13">
        <v>46149</v>
      </c>
      <c r="K530" s="17" t="s">
        <v>40</v>
      </c>
      <c r="L530" s="13">
        <v>46179</v>
      </c>
      <c r="M530" t="s">
        <v>65</v>
      </c>
      <c r="N530" t="s">
        <v>32</v>
      </c>
      <c r="Q530">
        <f t="shared" ca="1" si="40"/>
        <v>40</v>
      </c>
      <c r="R530" t="str">
        <f t="shared" si="41"/>
        <v/>
      </c>
      <c r="S530">
        <f t="shared" ca="1" si="42"/>
        <v>-10</v>
      </c>
      <c r="T530" t="str">
        <f t="shared" ca="1" si="43"/>
        <v>On Track</v>
      </c>
      <c r="U530" t="str">
        <f t="shared" ca="1" si="44"/>
        <v>At Risk</v>
      </c>
    </row>
    <row r="531" spans="1:22">
      <c r="A531" t="s">
        <v>1493</v>
      </c>
      <c r="B531" t="s">
        <v>172</v>
      </c>
      <c r="C531" t="s">
        <v>1494</v>
      </c>
      <c r="D531" s="16">
        <v>3003.1</v>
      </c>
      <c r="E531" t="s">
        <v>62</v>
      </c>
      <c r="F531" t="s">
        <v>38</v>
      </c>
      <c r="H531" t="s">
        <v>64</v>
      </c>
      <c r="I531" t="s">
        <v>29</v>
      </c>
      <c r="J531" s="13">
        <v>46186</v>
      </c>
      <c r="K531" s="17" t="s">
        <v>49</v>
      </c>
      <c r="L531" s="13">
        <v>46231</v>
      </c>
      <c r="M531" t="s">
        <v>41</v>
      </c>
      <c r="N531" t="s">
        <v>32</v>
      </c>
      <c r="Q531">
        <f t="shared" ca="1" si="40"/>
        <v>3</v>
      </c>
      <c r="R531" t="str">
        <f t="shared" si="41"/>
        <v/>
      </c>
      <c r="S531">
        <f t="shared" ca="1" si="42"/>
        <v>42</v>
      </c>
      <c r="T531" t="str">
        <f t="shared" ca="1" si="43"/>
        <v>On Track</v>
      </c>
      <c r="U531" t="str">
        <f t="shared" ca="1" si="44"/>
        <v>Normal</v>
      </c>
      <c r="V531" t="s">
        <v>42</v>
      </c>
    </row>
    <row r="532" spans="1:22">
      <c r="A532" t="s">
        <v>1495</v>
      </c>
      <c r="B532" t="s">
        <v>151</v>
      </c>
      <c r="C532" t="s">
        <v>1496</v>
      </c>
      <c r="D532" s="16">
        <v>4697.7299999999996</v>
      </c>
      <c r="E532" t="s">
        <v>142</v>
      </c>
      <c r="F532" t="s">
        <v>38</v>
      </c>
      <c r="H532" t="s">
        <v>335</v>
      </c>
      <c r="I532" t="s">
        <v>29</v>
      </c>
      <c r="J532" s="13">
        <v>46149</v>
      </c>
      <c r="K532" s="17" t="s">
        <v>57</v>
      </c>
      <c r="L532" s="13">
        <v>46179</v>
      </c>
      <c r="M532" t="s">
        <v>31</v>
      </c>
      <c r="N532" t="s">
        <v>32</v>
      </c>
      <c r="O532" s="13">
        <v>46160</v>
      </c>
      <c r="P532" s="13">
        <v>46167</v>
      </c>
      <c r="Q532">
        <f t="shared" ca="1" si="40"/>
        <v>40</v>
      </c>
      <c r="R532">
        <f t="shared" si="41"/>
        <v>11</v>
      </c>
      <c r="S532">
        <f t="shared" ca="1" si="42"/>
        <v>-10</v>
      </c>
      <c r="T532" t="str">
        <f t="shared" ca="1" si="43"/>
        <v>On Track</v>
      </c>
      <c r="U532" t="str">
        <f t="shared" ca="1" si="44"/>
        <v>Normal</v>
      </c>
      <c r="V532" t="s">
        <v>33</v>
      </c>
    </row>
    <row r="533" spans="1:22">
      <c r="A533" t="s">
        <v>1497</v>
      </c>
      <c r="B533" t="s">
        <v>168</v>
      </c>
      <c r="C533" t="s">
        <v>1498</v>
      </c>
      <c r="D533" s="16">
        <v>7721.57</v>
      </c>
      <c r="E533" t="s">
        <v>69</v>
      </c>
      <c r="F533" t="s">
        <v>26</v>
      </c>
      <c r="G533" t="s">
        <v>1499</v>
      </c>
      <c r="H533" t="s">
        <v>178</v>
      </c>
      <c r="I533" t="s">
        <v>92</v>
      </c>
      <c r="J533" s="13">
        <v>46153</v>
      </c>
      <c r="K533" s="17" t="s">
        <v>57</v>
      </c>
      <c r="L533" s="13">
        <v>46183</v>
      </c>
      <c r="M533" t="s">
        <v>31</v>
      </c>
      <c r="N533" t="s">
        <v>32</v>
      </c>
      <c r="O533" s="13">
        <v>46159</v>
      </c>
      <c r="P533" s="13">
        <v>46164</v>
      </c>
      <c r="Q533">
        <f t="shared" ca="1" si="40"/>
        <v>36</v>
      </c>
      <c r="R533">
        <f t="shared" si="41"/>
        <v>6</v>
      </c>
      <c r="S533">
        <f t="shared" ca="1" si="42"/>
        <v>-6</v>
      </c>
      <c r="T533" t="str">
        <f t="shared" ca="1" si="43"/>
        <v>On Track</v>
      </c>
      <c r="U533" t="str">
        <f t="shared" ca="1" si="44"/>
        <v>Normal</v>
      </c>
      <c r="V533" t="s">
        <v>33</v>
      </c>
    </row>
    <row r="534" spans="1:22">
      <c r="A534" t="s">
        <v>1500</v>
      </c>
      <c r="B534" t="s">
        <v>208</v>
      </c>
      <c r="C534" t="s">
        <v>1501</v>
      </c>
      <c r="D534" s="16">
        <v>3156.57</v>
      </c>
      <c r="E534" t="s">
        <v>25</v>
      </c>
      <c r="F534" t="s">
        <v>26</v>
      </c>
      <c r="G534" t="s">
        <v>1502</v>
      </c>
      <c r="H534" t="s">
        <v>28</v>
      </c>
      <c r="I534" t="s">
        <v>29</v>
      </c>
      <c r="J534" s="13">
        <v>46179</v>
      </c>
      <c r="K534" s="17" t="s">
        <v>40</v>
      </c>
      <c r="L534" s="13">
        <v>46209</v>
      </c>
      <c r="M534" t="s">
        <v>99</v>
      </c>
      <c r="N534" t="s">
        <v>32</v>
      </c>
      <c r="O534" s="13">
        <v>46184</v>
      </c>
      <c r="Q534">
        <f t="shared" ca="1" si="40"/>
        <v>10</v>
      </c>
      <c r="R534">
        <f t="shared" si="41"/>
        <v>5</v>
      </c>
      <c r="S534">
        <f t="shared" ca="1" si="42"/>
        <v>20</v>
      </c>
      <c r="T534" t="str">
        <f t="shared" ca="1" si="43"/>
        <v>On Track</v>
      </c>
      <c r="U534" t="str">
        <f t="shared" ca="1" si="44"/>
        <v>Normal</v>
      </c>
    </row>
    <row r="535" spans="1:22">
      <c r="A535" t="s">
        <v>1503</v>
      </c>
      <c r="B535" t="s">
        <v>151</v>
      </c>
      <c r="C535" t="s">
        <v>1504</v>
      </c>
      <c r="D535" s="16">
        <v>3993.74</v>
      </c>
      <c r="E535" t="s">
        <v>78</v>
      </c>
      <c r="F535" t="s">
        <v>26</v>
      </c>
      <c r="G535" t="s">
        <v>1505</v>
      </c>
      <c r="H535" t="s">
        <v>80</v>
      </c>
      <c r="I535" t="s">
        <v>29</v>
      </c>
      <c r="J535" s="13">
        <v>46163</v>
      </c>
      <c r="K535" s="17" t="s">
        <v>40</v>
      </c>
      <c r="L535" s="13">
        <v>46193</v>
      </c>
      <c r="M535" t="s">
        <v>31</v>
      </c>
      <c r="N535" t="s">
        <v>32</v>
      </c>
      <c r="O535" s="13">
        <v>46171</v>
      </c>
      <c r="P535" s="13">
        <v>46178</v>
      </c>
      <c r="Q535">
        <f t="shared" ca="1" si="40"/>
        <v>26</v>
      </c>
      <c r="R535">
        <f t="shared" si="41"/>
        <v>8</v>
      </c>
      <c r="S535">
        <f t="shared" ca="1" si="42"/>
        <v>4</v>
      </c>
      <c r="T535" t="str">
        <f t="shared" ca="1" si="43"/>
        <v>On Track</v>
      </c>
      <c r="U535" t="str">
        <f t="shared" ca="1" si="44"/>
        <v>Normal</v>
      </c>
      <c r="V535" t="s">
        <v>33</v>
      </c>
    </row>
    <row r="536" spans="1:22">
      <c r="A536" t="s">
        <v>1506</v>
      </c>
      <c r="B536" t="s">
        <v>222</v>
      </c>
      <c r="C536" t="s">
        <v>1507</v>
      </c>
      <c r="D536" s="16">
        <v>3164.53</v>
      </c>
      <c r="E536" t="s">
        <v>156</v>
      </c>
      <c r="F536" t="s">
        <v>38</v>
      </c>
      <c r="H536" t="s">
        <v>157</v>
      </c>
      <c r="I536" t="s">
        <v>29</v>
      </c>
      <c r="J536" s="13">
        <v>46151</v>
      </c>
      <c r="K536" s="17" t="s">
        <v>49</v>
      </c>
      <c r="L536" s="13">
        <v>46196</v>
      </c>
      <c r="M536" t="s">
        <v>31</v>
      </c>
      <c r="N536" t="s">
        <v>32</v>
      </c>
      <c r="O536" s="13">
        <v>46156</v>
      </c>
      <c r="P536" s="13">
        <v>46159</v>
      </c>
      <c r="Q536">
        <f t="shared" ca="1" si="40"/>
        <v>38</v>
      </c>
      <c r="R536">
        <f t="shared" si="41"/>
        <v>5</v>
      </c>
      <c r="S536">
        <f t="shared" ca="1" si="42"/>
        <v>7</v>
      </c>
      <c r="T536" t="str">
        <f t="shared" ca="1" si="43"/>
        <v>On Track</v>
      </c>
      <c r="U536" t="str">
        <f t="shared" ca="1" si="44"/>
        <v>Normal</v>
      </c>
      <c r="V536" t="s">
        <v>33</v>
      </c>
    </row>
    <row r="537" spans="1:22">
      <c r="A537" t="s">
        <v>1508</v>
      </c>
      <c r="B537" t="s">
        <v>137</v>
      </c>
      <c r="C537" t="s">
        <v>1509</v>
      </c>
      <c r="D537" s="16">
        <v>16330.78</v>
      </c>
      <c r="E537" t="s">
        <v>37</v>
      </c>
      <c r="F537" t="s">
        <v>26</v>
      </c>
      <c r="G537" t="s">
        <v>1510</v>
      </c>
      <c r="H537" t="s">
        <v>815</v>
      </c>
      <c r="I537" t="s">
        <v>92</v>
      </c>
      <c r="J537" s="13">
        <v>46160</v>
      </c>
      <c r="K537" s="17" t="s">
        <v>40</v>
      </c>
      <c r="L537" s="13">
        <v>46190</v>
      </c>
      <c r="M537" t="s">
        <v>31</v>
      </c>
      <c r="N537" t="s">
        <v>100</v>
      </c>
      <c r="O537" s="13">
        <v>46167</v>
      </c>
      <c r="P537" s="13">
        <v>46198</v>
      </c>
      <c r="Q537">
        <f t="shared" ca="1" si="40"/>
        <v>29</v>
      </c>
      <c r="R537">
        <f t="shared" si="41"/>
        <v>7</v>
      </c>
      <c r="S537">
        <f t="shared" ca="1" si="42"/>
        <v>1</v>
      </c>
      <c r="T537" t="str">
        <f t="shared" ca="1" si="43"/>
        <v>On Track</v>
      </c>
      <c r="U537" t="str">
        <f t="shared" ca="1" si="44"/>
        <v>Normal</v>
      </c>
      <c r="V537" t="s">
        <v>107</v>
      </c>
    </row>
    <row r="538" spans="1:22">
      <c r="A538" t="s">
        <v>1511</v>
      </c>
      <c r="B538" t="s">
        <v>44</v>
      </c>
      <c r="C538" t="s">
        <v>1512</v>
      </c>
      <c r="D538" s="16">
        <v>914.92</v>
      </c>
      <c r="E538" t="s">
        <v>46</v>
      </c>
      <c r="F538" t="s">
        <v>26</v>
      </c>
      <c r="G538" t="s">
        <v>1513</v>
      </c>
      <c r="H538" t="s">
        <v>48</v>
      </c>
      <c r="I538" t="s">
        <v>29</v>
      </c>
      <c r="J538" s="13">
        <v>46152</v>
      </c>
      <c r="K538" s="17" t="s">
        <v>49</v>
      </c>
      <c r="L538" s="13">
        <v>46197</v>
      </c>
      <c r="M538" t="s">
        <v>31</v>
      </c>
      <c r="N538" t="s">
        <v>32</v>
      </c>
      <c r="O538" s="13">
        <v>46157</v>
      </c>
      <c r="P538" s="13">
        <v>46163</v>
      </c>
      <c r="Q538">
        <f t="shared" ca="1" si="40"/>
        <v>37</v>
      </c>
      <c r="R538">
        <f t="shared" si="41"/>
        <v>5</v>
      </c>
      <c r="S538">
        <f t="shared" ca="1" si="42"/>
        <v>8</v>
      </c>
      <c r="T538" t="str">
        <f t="shared" ca="1" si="43"/>
        <v>On Track</v>
      </c>
      <c r="U538" t="str">
        <f t="shared" ca="1" si="44"/>
        <v>Normal</v>
      </c>
      <c r="V538" t="s">
        <v>33</v>
      </c>
    </row>
    <row r="539" spans="1:22">
      <c r="A539" t="s">
        <v>1514</v>
      </c>
      <c r="B539" t="s">
        <v>82</v>
      </c>
      <c r="C539" t="s">
        <v>1515</v>
      </c>
      <c r="D539" s="16">
        <v>3157.21</v>
      </c>
      <c r="E539" t="s">
        <v>156</v>
      </c>
      <c r="F539" t="s">
        <v>26</v>
      </c>
      <c r="G539" t="s">
        <v>1516</v>
      </c>
      <c r="H539" t="s">
        <v>157</v>
      </c>
      <c r="I539" t="s">
        <v>29</v>
      </c>
      <c r="J539" s="13">
        <v>46184</v>
      </c>
      <c r="K539" s="17" t="s">
        <v>57</v>
      </c>
      <c r="L539" s="13">
        <v>46214</v>
      </c>
      <c r="M539" t="s">
        <v>65</v>
      </c>
      <c r="N539" t="s">
        <v>32</v>
      </c>
      <c r="Q539">
        <f t="shared" ca="1" si="40"/>
        <v>5</v>
      </c>
      <c r="R539" t="str">
        <f t="shared" si="41"/>
        <v/>
      </c>
      <c r="S539">
        <f t="shared" ca="1" si="42"/>
        <v>25</v>
      </c>
      <c r="T539" t="str">
        <f t="shared" ca="1" si="43"/>
        <v>On Track</v>
      </c>
      <c r="U539" t="str">
        <f t="shared" ca="1" si="44"/>
        <v>Normal</v>
      </c>
    </row>
    <row r="540" spans="1:22">
      <c r="A540" t="s">
        <v>1517</v>
      </c>
      <c r="B540" t="s">
        <v>118</v>
      </c>
      <c r="C540" t="s">
        <v>1518</v>
      </c>
      <c r="D540" s="16">
        <v>3425.75</v>
      </c>
      <c r="E540" t="s">
        <v>156</v>
      </c>
      <c r="F540" t="s">
        <v>26</v>
      </c>
      <c r="G540" t="s">
        <v>1519</v>
      </c>
      <c r="H540" t="s">
        <v>157</v>
      </c>
      <c r="I540" t="s">
        <v>29</v>
      </c>
      <c r="J540" s="13">
        <v>46181</v>
      </c>
      <c r="K540" s="17" t="s">
        <v>49</v>
      </c>
      <c r="L540" s="13">
        <v>46226</v>
      </c>
      <c r="M540" t="s">
        <v>145</v>
      </c>
      <c r="N540" t="s">
        <v>50</v>
      </c>
      <c r="O540" s="13">
        <v>46186</v>
      </c>
      <c r="Q540">
        <f t="shared" ca="1" si="40"/>
        <v>8</v>
      </c>
      <c r="R540">
        <f t="shared" si="41"/>
        <v>5</v>
      </c>
      <c r="S540">
        <f t="shared" ca="1" si="42"/>
        <v>37</v>
      </c>
      <c r="T540" t="str">
        <f t="shared" ca="1" si="43"/>
        <v>On Track</v>
      </c>
      <c r="U540" t="str">
        <f t="shared" ca="1" si="44"/>
        <v>Normal</v>
      </c>
      <c r="V540" t="s">
        <v>51</v>
      </c>
    </row>
    <row r="541" spans="1:22">
      <c r="A541" t="s">
        <v>1520</v>
      </c>
      <c r="B541" t="s">
        <v>251</v>
      </c>
      <c r="C541" t="s">
        <v>1521</v>
      </c>
      <c r="D541" s="16">
        <v>4394.09</v>
      </c>
      <c r="E541" t="s">
        <v>55</v>
      </c>
      <c r="F541" t="s">
        <v>26</v>
      </c>
      <c r="G541" t="s">
        <v>1522</v>
      </c>
      <c r="H541" t="s">
        <v>56</v>
      </c>
      <c r="I541" t="s">
        <v>29</v>
      </c>
      <c r="J541" s="13">
        <v>46176</v>
      </c>
      <c r="K541" s="17" t="s">
        <v>57</v>
      </c>
      <c r="L541" s="13">
        <v>46206</v>
      </c>
      <c r="M541" t="s">
        <v>99</v>
      </c>
      <c r="N541" t="s">
        <v>50</v>
      </c>
      <c r="O541" s="13">
        <v>46184</v>
      </c>
      <c r="Q541">
        <f t="shared" ca="1" si="40"/>
        <v>13</v>
      </c>
      <c r="R541">
        <f t="shared" si="41"/>
        <v>8</v>
      </c>
      <c r="S541">
        <f t="shared" ca="1" si="42"/>
        <v>17</v>
      </c>
      <c r="T541" t="str">
        <f t="shared" ca="1" si="43"/>
        <v>On Track</v>
      </c>
      <c r="U541" t="str">
        <f t="shared" ca="1" si="44"/>
        <v>Normal</v>
      </c>
      <c r="V541" t="s">
        <v>51</v>
      </c>
    </row>
    <row r="542" spans="1:22">
      <c r="A542" t="s">
        <v>1523</v>
      </c>
      <c r="B542" t="s">
        <v>53</v>
      </c>
      <c r="C542" t="s">
        <v>1524</v>
      </c>
      <c r="D542" s="16">
        <v>14350.61</v>
      </c>
      <c r="E542" t="s">
        <v>46</v>
      </c>
      <c r="F542" t="s">
        <v>26</v>
      </c>
      <c r="G542" t="s">
        <v>1525</v>
      </c>
      <c r="H542" t="s">
        <v>161</v>
      </c>
      <c r="I542" t="s">
        <v>92</v>
      </c>
      <c r="J542" s="13">
        <v>46152</v>
      </c>
      <c r="K542" s="17" t="s">
        <v>40</v>
      </c>
      <c r="L542" s="13">
        <v>46182</v>
      </c>
      <c r="M542" t="s">
        <v>31</v>
      </c>
      <c r="N542" t="s">
        <v>179</v>
      </c>
      <c r="O542" s="13">
        <v>46162</v>
      </c>
      <c r="P542" s="13">
        <v>46189</v>
      </c>
      <c r="Q542">
        <f t="shared" ca="1" si="40"/>
        <v>37</v>
      </c>
      <c r="R542">
        <f t="shared" si="41"/>
        <v>10</v>
      </c>
      <c r="S542">
        <f t="shared" ca="1" si="42"/>
        <v>-7</v>
      </c>
      <c r="T542" t="str">
        <f t="shared" ca="1" si="43"/>
        <v>On Track</v>
      </c>
      <c r="U542" t="str">
        <f t="shared" ca="1" si="44"/>
        <v>Normal</v>
      </c>
      <c r="V542" t="s">
        <v>107</v>
      </c>
    </row>
    <row r="543" spans="1:22">
      <c r="A543" t="s">
        <v>1526</v>
      </c>
      <c r="B543" t="s">
        <v>53</v>
      </c>
      <c r="C543" t="s">
        <v>1527</v>
      </c>
      <c r="D543" s="16">
        <v>3408.81</v>
      </c>
      <c r="E543" t="s">
        <v>126</v>
      </c>
      <c r="F543" t="s">
        <v>38</v>
      </c>
      <c r="H543" t="s">
        <v>241</v>
      </c>
      <c r="I543" t="s">
        <v>29</v>
      </c>
      <c r="J543" s="13">
        <v>46163</v>
      </c>
      <c r="K543" s="17" t="s">
        <v>57</v>
      </c>
      <c r="L543" s="13">
        <v>46193</v>
      </c>
      <c r="M543" t="s">
        <v>31</v>
      </c>
      <c r="N543" t="s">
        <v>32</v>
      </c>
      <c r="O543" s="13">
        <v>46173</v>
      </c>
      <c r="P543" s="13">
        <v>46199</v>
      </c>
      <c r="Q543">
        <f t="shared" ca="1" si="40"/>
        <v>26</v>
      </c>
      <c r="R543">
        <f t="shared" si="41"/>
        <v>10</v>
      </c>
      <c r="S543">
        <f t="shared" ca="1" si="42"/>
        <v>4</v>
      </c>
      <c r="T543" t="str">
        <f t="shared" ca="1" si="43"/>
        <v>On Track</v>
      </c>
      <c r="U543" t="str">
        <f t="shared" ca="1" si="44"/>
        <v>Normal</v>
      </c>
      <c r="V543" t="s">
        <v>107</v>
      </c>
    </row>
    <row r="544" spans="1:22">
      <c r="A544" t="s">
        <v>1528</v>
      </c>
      <c r="B544" t="s">
        <v>168</v>
      </c>
      <c r="C544" t="s">
        <v>1529</v>
      </c>
      <c r="D544" s="16">
        <v>399.21</v>
      </c>
      <c r="E544" t="s">
        <v>302</v>
      </c>
      <c r="F544" t="s">
        <v>38</v>
      </c>
      <c r="H544" t="s">
        <v>304</v>
      </c>
      <c r="I544" t="s">
        <v>29</v>
      </c>
      <c r="J544" s="13">
        <v>46181</v>
      </c>
      <c r="K544" s="17" t="s">
        <v>30</v>
      </c>
      <c r="L544" s="13">
        <v>46196</v>
      </c>
      <c r="M544" t="s">
        <v>31</v>
      </c>
      <c r="N544" t="s">
        <v>32</v>
      </c>
      <c r="O544" s="13">
        <v>46184</v>
      </c>
      <c r="P544" s="13">
        <v>46185</v>
      </c>
      <c r="Q544">
        <f t="shared" ca="1" si="40"/>
        <v>8</v>
      </c>
      <c r="R544">
        <f t="shared" si="41"/>
        <v>3</v>
      </c>
      <c r="S544">
        <f t="shared" ca="1" si="42"/>
        <v>7</v>
      </c>
      <c r="T544" t="str">
        <f t="shared" ca="1" si="43"/>
        <v>On Track</v>
      </c>
      <c r="U544" t="str">
        <f t="shared" ca="1" si="44"/>
        <v>Normal</v>
      </c>
      <c r="V544" t="s">
        <v>33</v>
      </c>
    </row>
    <row r="545" spans="1:22">
      <c r="A545" t="s">
        <v>1530</v>
      </c>
      <c r="B545" t="s">
        <v>53</v>
      </c>
      <c r="C545" t="s">
        <v>1531</v>
      </c>
      <c r="D545" s="16">
        <v>9005.32</v>
      </c>
      <c r="E545" t="s">
        <v>25</v>
      </c>
      <c r="F545" t="s">
        <v>38</v>
      </c>
      <c r="H545" t="s">
        <v>149</v>
      </c>
      <c r="I545" t="s">
        <v>92</v>
      </c>
      <c r="J545" s="13">
        <v>46155</v>
      </c>
      <c r="K545" s="17" t="s">
        <v>49</v>
      </c>
      <c r="L545" s="13">
        <v>46200</v>
      </c>
      <c r="M545" t="s">
        <v>31</v>
      </c>
      <c r="N545" t="s">
        <v>100</v>
      </c>
      <c r="O545" s="13">
        <v>46184</v>
      </c>
      <c r="P545" s="13">
        <v>46189</v>
      </c>
      <c r="Q545">
        <f t="shared" ca="1" si="40"/>
        <v>34</v>
      </c>
      <c r="R545">
        <f t="shared" si="41"/>
        <v>29</v>
      </c>
      <c r="S545">
        <f t="shared" ca="1" si="42"/>
        <v>11</v>
      </c>
      <c r="T545" t="str">
        <f t="shared" ca="1" si="43"/>
        <v>On Track</v>
      </c>
      <c r="U545" t="str">
        <f t="shared" ca="1" si="44"/>
        <v>Normal</v>
      </c>
      <c r="V545" t="s">
        <v>101</v>
      </c>
    </row>
    <row r="546" spans="1:22">
      <c r="A546" t="s">
        <v>1532</v>
      </c>
      <c r="B546" t="s">
        <v>76</v>
      </c>
      <c r="C546" t="s">
        <v>1533</v>
      </c>
      <c r="D546" s="16">
        <v>2844.57</v>
      </c>
      <c r="E546" t="s">
        <v>37</v>
      </c>
      <c r="F546" t="s">
        <v>26</v>
      </c>
      <c r="G546" t="s">
        <v>1534</v>
      </c>
      <c r="H546" t="s">
        <v>39</v>
      </c>
      <c r="I546" t="s">
        <v>29</v>
      </c>
      <c r="J546" s="13">
        <v>46144</v>
      </c>
      <c r="K546" s="17" t="s">
        <v>57</v>
      </c>
      <c r="L546" s="13">
        <v>46174</v>
      </c>
      <c r="M546" t="s">
        <v>31</v>
      </c>
      <c r="N546" t="s">
        <v>32</v>
      </c>
      <c r="O546" s="13">
        <v>46149</v>
      </c>
      <c r="P546" s="13">
        <v>46156</v>
      </c>
      <c r="Q546">
        <f t="shared" ca="1" si="40"/>
        <v>45</v>
      </c>
      <c r="R546">
        <f t="shared" si="41"/>
        <v>5</v>
      </c>
      <c r="S546">
        <f t="shared" ca="1" si="42"/>
        <v>-15</v>
      </c>
      <c r="T546" t="str">
        <f t="shared" ca="1" si="43"/>
        <v>On Track</v>
      </c>
      <c r="U546" t="str">
        <f t="shared" ca="1" si="44"/>
        <v>Normal</v>
      </c>
      <c r="V546" t="s">
        <v>33</v>
      </c>
    </row>
    <row r="547" spans="1:22">
      <c r="A547" t="s">
        <v>1535</v>
      </c>
      <c r="B547" t="s">
        <v>94</v>
      </c>
      <c r="C547" t="s">
        <v>1536</v>
      </c>
      <c r="D547" s="16">
        <v>1223.77</v>
      </c>
      <c r="E547" t="s">
        <v>69</v>
      </c>
      <c r="F547" t="s">
        <v>26</v>
      </c>
      <c r="G547" t="s">
        <v>1537</v>
      </c>
      <c r="H547" t="s">
        <v>71</v>
      </c>
      <c r="I547" t="s">
        <v>29</v>
      </c>
      <c r="J547" s="13">
        <v>46174</v>
      </c>
      <c r="K547" s="17" t="s">
        <v>49</v>
      </c>
      <c r="L547" s="13">
        <v>46219</v>
      </c>
      <c r="M547" t="s">
        <v>99</v>
      </c>
      <c r="N547" t="s">
        <v>32</v>
      </c>
      <c r="O547" s="13">
        <v>46177</v>
      </c>
      <c r="Q547">
        <f t="shared" ca="1" si="40"/>
        <v>15</v>
      </c>
      <c r="R547">
        <f t="shared" si="41"/>
        <v>3</v>
      </c>
      <c r="S547">
        <f t="shared" ca="1" si="42"/>
        <v>30</v>
      </c>
      <c r="T547" t="str">
        <f t="shared" ca="1" si="43"/>
        <v>On Track</v>
      </c>
      <c r="U547" t="str">
        <f t="shared" ca="1" si="44"/>
        <v>Normal</v>
      </c>
    </row>
    <row r="548" spans="1:22">
      <c r="A548" t="s">
        <v>1538</v>
      </c>
      <c r="B548" t="s">
        <v>271</v>
      </c>
      <c r="C548" t="s">
        <v>1539</v>
      </c>
      <c r="D548" s="16">
        <v>54974.38</v>
      </c>
      <c r="E548" t="s">
        <v>142</v>
      </c>
      <c r="F548" t="s">
        <v>26</v>
      </c>
      <c r="G548" t="s">
        <v>1540</v>
      </c>
      <c r="H548" t="s">
        <v>121</v>
      </c>
      <c r="I548" t="s">
        <v>122</v>
      </c>
      <c r="J548" s="13">
        <v>46151</v>
      </c>
      <c r="K548" s="17" t="s">
        <v>49</v>
      </c>
      <c r="L548" s="13">
        <v>46196</v>
      </c>
      <c r="M548" t="s">
        <v>31</v>
      </c>
      <c r="N548" t="s">
        <v>32</v>
      </c>
      <c r="O548" s="13">
        <v>46154</v>
      </c>
      <c r="P548" s="13">
        <v>46158</v>
      </c>
      <c r="Q548">
        <f t="shared" ca="1" si="40"/>
        <v>38</v>
      </c>
      <c r="R548">
        <f t="shared" si="41"/>
        <v>3</v>
      </c>
      <c r="S548">
        <f t="shared" ca="1" si="42"/>
        <v>7</v>
      </c>
      <c r="T548" t="str">
        <f t="shared" ca="1" si="43"/>
        <v>On Track</v>
      </c>
      <c r="U548" t="str">
        <f t="shared" ca="1" si="44"/>
        <v>Normal</v>
      </c>
      <c r="V548" t="s">
        <v>33</v>
      </c>
    </row>
    <row r="549" spans="1:22">
      <c r="A549" t="s">
        <v>1541</v>
      </c>
      <c r="B549" t="s">
        <v>103</v>
      </c>
      <c r="C549" t="s">
        <v>1542</v>
      </c>
      <c r="D549" s="16">
        <v>3535.72</v>
      </c>
      <c r="E549" t="s">
        <v>69</v>
      </c>
      <c r="F549" t="s">
        <v>26</v>
      </c>
      <c r="G549" t="s">
        <v>1543</v>
      </c>
      <c r="H549" t="s">
        <v>71</v>
      </c>
      <c r="I549" t="s">
        <v>29</v>
      </c>
      <c r="J549" s="13">
        <v>46151</v>
      </c>
      <c r="K549" s="17" t="s">
        <v>40</v>
      </c>
      <c r="L549" s="13">
        <v>46181</v>
      </c>
      <c r="M549" t="s">
        <v>31</v>
      </c>
      <c r="N549" t="s">
        <v>32</v>
      </c>
      <c r="O549" s="13">
        <v>46156</v>
      </c>
      <c r="P549" s="13">
        <v>46163</v>
      </c>
      <c r="Q549">
        <f t="shared" ca="1" si="40"/>
        <v>38</v>
      </c>
      <c r="R549">
        <f t="shared" si="41"/>
        <v>5</v>
      </c>
      <c r="S549">
        <f t="shared" ca="1" si="42"/>
        <v>-8</v>
      </c>
      <c r="T549" t="str">
        <f t="shared" ca="1" si="43"/>
        <v>On Track</v>
      </c>
      <c r="U549" t="str">
        <f t="shared" ca="1" si="44"/>
        <v>Normal</v>
      </c>
      <c r="V549" t="s">
        <v>33</v>
      </c>
    </row>
    <row r="550" spans="1:22">
      <c r="A550" t="s">
        <v>1544</v>
      </c>
      <c r="B550" t="s">
        <v>129</v>
      </c>
      <c r="C550" t="s">
        <v>1545</v>
      </c>
      <c r="D550" s="16">
        <v>4731.58</v>
      </c>
      <c r="E550" t="s">
        <v>78</v>
      </c>
      <c r="F550" t="s">
        <v>26</v>
      </c>
      <c r="G550" t="s">
        <v>1546</v>
      </c>
      <c r="H550" t="s">
        <v>80</v>
      </c>
      <c r="I550" t="s">
        <v>29</v>
      </c>
      <c r="J550" s="13">
        <v>46148</v>
      </c>
      <c r="K550" s="17" t="s">
        <v>40</v>
      </c>
      <c r="L550" s="13">
        <v>46178</v>
      </c>
      <c r="M550" t="s">
        <v>31</v>
      </c>
      <c r="N550" t="s">
        <v>100</v>
      </c>
      <c r="O550" s="13">
        <v>46158</v>
      </c>
      <c r="P550" s="13">
        <v>46164</v>
      </c>
      <c r="Q550">
        <f t="shared" ca="1" si="40"/>
        <v>41</v>
      </c>
      <c r="R550">
        <f t="shared" si="41"/>
        <v>10</v>
      </c>
      <c r="S550">
        <f t="shared" ca="1" si="42"/>
        <v>-11</v>
      </c>
      <c r="T550" t="str">
        <f t="shared" ca="1" si="43"/>
        <v>On Track</v>
      </c>
      <c r="U550" t="str">
        <f t="shared" ca="1" si="44"/>
        <v>Normal</v>
      </c>
      <c r="V550" t="s">
        <v>101</v>
      </c>
    </row>
    <row r="551" spans="1:22">
      <c r="A551" t="s">
        <v>1547</v>
      </c>
      <c r="B551" t="s">
        <v>118</v>
      </c>
      <c r="C551" t="s">
        <v>1548</v>
      </c>
      <c r="D551" s="16">
        <v>2628.11</v>
      </c>
      <c r="E551" t="s">
        <v>25</v>
      </c>
      <c r="F551" t="s">
        <v>38</v>
      </c>
      <c r="H551" t="s">
        <v>28</v>
      </c>
      <c r="I551" t="s">
        <v>29</v>
      </c>
      <c r="J551" s="13">
        <v>46151</v>
      </c>
      <c r="K551" s="17" t="s">
        <v>57</v>
      </c>
      <c r="L551" s="13">
        <v>46181</v>
      </c>
      <c r="M551" t="s">
        <v>31</v>
      </c>
      <c r="N551" t="s">
        <v>32</v>
      </c>
      <c r="O551" s="13">
        <v>46157</v>
      </c>
      <c r="P551" s="13">
        <v>46159</v>
      </c>
      <c r="Q551">
        <f t="shared" ca="1" si="40"/>
        <v>38</v>
      </c>
      <c r="R551">
        <f t="shared" si="41"/>
        <v>6</v>
      </c>
      <c r="S551">
        <f t="shared" ca="1" si="42"/>
        <v>-8</v>
      </c>
      <c r="T551" t="str">
        <f t="shared" ca="1" si="43"/>
        <v>On Track</v>
      </c>
      <c r="U551" t="str">
        <f t="shared" ca="1" si="44"/>
        <v>Normal</v>
      </c>
      <c r="V551" t="s">
        <v>33</v>
      </c>
    </row>
    <row r="552" spans="1:22">
      <c r="A552" t="s">
        <v>1549</v>
      </c>
      <c r="B552" t="s">
        <v>172</v>
      </c>
      <c r="C552" t="s">
        <v>1550</v>
      </c>
      <c r="D552" s="16">
        <v>12883.64</v>
      </c>
      <c r="E552" t="s">
        <v>37</v>
      </c>
      <c r="F552" t="s">
        <v>26</v>
      </c>
      <c r="G552" t="s">
        <v>1551</v>
      </c>
      <c r="H552" t="s">
        <v>815</v>
      </c>
      <c r="I552" t="s">
        <v>92</v>
      </c>
      <c r="J552" s="13">
        <v>46175</v>
      </c>
      <c r="K552" s="17" t="s">
        <v>49</v>
      </c>
      <c r="L552" s="13">
        <v>46220</v>
      </c>
      <c r="M552" t="s">
        <v>41</v>
      </c>
      <c r="N552" t="s">
        <v>50</v>
      </c>
      <c r="Q552">
        <f t="shared" ca="1" si="40"/>
        <v>14</v>
      </c>
      <c r="R552" t="str">
        <f t="shared" si="41"/>
        <v/>
      </c>
      <c r="S552">
        <f t="shared" ca="1" si="42"/>
        <v>31</v>
      </c>
      <c r="T552" t="str">
        <f t="shared" ca="1" si="43"/>
        <v>Overdue</v>
      </c>
      <c r="U552" t="str">
        <f t="shared" ca="1" si="44"/>
        <v>Normal</v>
      </c>
      <c r="V552" t="s">
        <v>51</v>
      </c>
    </row>
    <row r="553" spans="1:22">
      <c r="A553" t="s">
        <v>1552</v>
      </c>
      <c r="B553" t="s">
        <v>208</v>
      </c>
      <c r="C553" t="s">
        <v>1553</v>
      </c>
      <c r="D553" s="16">
        <v>2994.4</v>
      </c>
      <c r="E553" t="s">
        <v>142</v>
      </c>
      <c r="F553" t="s">
        <v>26</v>
      </c>
      <c r="G553" t="s">
        <v>1554</v>
      </c>
      <c r="H553" t="s">
        <v>335</v>
      </c>
      <c r="I553" t="s">
        <v>29</v>
      </c>
      <c r="J553" s="13">
        <v>46176</v>
      </c>
      <c r="K553" s="17" t="s">
        <v>49</v>
      </c>
      <c r="L553" s="13">
        <v>46221</v>
      </c>
      <c r="M553" t="s">
        <v>31</v>
      </c>
      <c r="N553" t="s">
        <v>32</v>
      </c>
      <c r="O553" s="13">
        <v>46184</v>
      </c>
      <c r="P553" s="13">
        <v>46187</v>
      </c>
      <c r="Q553">
        <f t="shared" ca="1" si="40"/>
        <v>13</v>
      </c>
      <c r="R553">
        <f t="shared" si="41"/>
        <v>8</v>
      </c>
      <c r="S553">
        <f t="shared" ca="1" si="42"/>
        <v>32</v>
      </c>
      <c r="T553" t="str">
        <f t="shared" ca="1" si="43"/>
        <v>On Track</v>
      </c>
      <c r="U553" t="str">
        <f t="shared" ca="1" si="44"/>
        <v>Normal</v>
      </c>
      <c r="V553" t="s">
        <v>33</v>
      </c>
    </row>
    <row r="554" spans="1:22">
      <c r="A554" t="s">
        <v>1555</v>
      </c>
      <c r="B554" t="s">
        <v>251</v>
      </c>
      <c r="C554" t="s">
        <v>1556</v>
      </c>
      <c r="D554" s="16">
        <v>862.47</v>
      </c>
      <c r="E554" t="s">
        <v>126</v>
      </c>
      <c r="F554" t="s">
        <v>26</v>
      </c>
      <c r="G554" t="s">
        <v>1557</v>
      </c>
      <c r="H554" t="s">
        <v>241</v>
      </c>
      <c r="I554" t="s">
        <v>29</v>
      </c>
      <c r="J554" s="13">
        <v>46148</v>
      </c>
      <c r="K554" s="17" t="s">
        <v>40</v>
      </c>
      <c r="L554" s="13">
        <v>46178</v>
      </c>
      <c r="M554" t="s">
        <v>31</v>
      </c>
      <c r="N554" t="s">
        <v>32</v>
      </c>
      <c r="O554" s="13">
        <v>46152</v>
      </c>
      <c r="P554" s="13">
        <v>46158</v>
      </c>
      <c r="Q554">
        <f t="shared" ca="1" si="40"/>
        <v>41</v>
      </c>
      <c r="R554">
        <f t="shared" si="41"/>
        <v>4</v>
      </c>
      <c r="S554">
        <f t="shared" ca="1" si="42"/>
        <v>-11</v>
      </c>
      <c r="T554" t="str">
        <f t="shared" ca="1" si="43"/>
        <v>On Track</v>
      </c>
      <c r="U554" t="str">
        <f t="shared" ca="1" si="44"/>
        <v>Normal</v>
      </c>
      <c r="V554" t="s">
        <v>33</v>
      </c>
    </row>
    <row r="555" spans="1:22">
      <c r="A555" t="s">
        <v>1558</v>
      </c>
      <c r="B555" t="s">
        <v>222</v>
      </c>
      <c r="C555" t="s">
        <v>1559</v>
      </c>
      <c r="D555" s="16">
        <v>688.32</v>
      </c>
      <c r="E555" t="s">
        <v>156</v>
      </c>
      <c r="F555" t="s">
        <v>26</v>
      </c>
      <c r="G555" t="s">
        <v>1560</v>
      </c>
      <c r="H555" t="s">
        <v>157</v>
      </c>
      <c r="I555" t="s">
        <v>29</v>
      </c>
      <c r="J555" s="13">
        <v>46177</v>
      </c>
      <c r="K555" s="17" t="s">
        <v>40</v>
      </c>
      <c r="L555" s="13">
        <v>46207</v>
      </c>
      <c r="M555" t="s">
        <v>145</v>
      </c>
      <c r="N555" t="s">
        <v>32</v>
      </c>
      <c r="O555" s="13">
        <v>46185</v>
      </c>
      <c r="Q555">
        <f t="shared" ca="1" si="40"/>
        <v>12</v>
      </c>
      <c r="R555">
        <f t="shared" si="41"/>
        <v>8</v>
      </c>
      <c r="S555">
        <f t="shared" ca="1" si="42"/>
        <v>18</v>
      </c>
      <c r="T555" t="str">
        <f t="shared" ca="1" si="43"/>
        <v>On Track</v>
      </c>
      <c r="U555" t="str">
        <f t="shared" ca="1" si="44"/>
        <v>Normal</v>
      </c>
    </row>
    <row r="556" spans="1:22">
      <c r="A556" t="s">
        <v>1561</v>
      </c>
      <c r="B556" t="s">
        <v>67</v>
      </c>
      <c r="C556" t="s">
        <v>1562</v>
      </c>
      <c r="D556" s="16">
        <v>15540.32</v>
      </c>
      <c r="E556" t="s">
        <v>142</v>
      </c>
      <c r="F556" t="s">
        <v>26</v>
      </c>
      <c r="G556" t="s">
        <v>1563</v>
      </c>
      <c r="H556" t="s">
        <v>144</v>
      </c>
      <c r="I556" t="s">
        <v>92</v>
      </c>
      <c r="J556" s="13">
        <v>46146</v>
      </c>
      <c r="K556" s="17" t="s">
        <v>40</v>
      </c>
      <c r="L556" s="13">
        <v>46176</v>
      </c>
      <c r="M556" t="s">
        <v>31</v>
      </c>
      <c r="N556" t="s">
        <v>179</v>
      </c>
      <c r="O556" s="13">
        <v>46154</v>
      </c>
      <c r="P556" s="13">
        <v>46161</v>
      </c>
      <c r="Q556">
        <f t="shared" ca="1" si="40"/>
        <v>43</v>
      </c>
      <c r="R556">
        <f t="shared" si="41"/>
        <v>8</v>
      </c>
      <c r="S556">
        <f t="shared" ca="1" si="42"/>
        <v>-13</v>
      </c>
      <c r="T556" t="str">
        <f t="shared" ca="1" si="43"/>
        <v>On Track</v>
      </c>
      <c r="U556" t="str">
        <f t="shared" ca="1" si="44"/>
        <v>Normal</v>
      </c>
      <c r="V556" t="s">
        <v>180</v>
      </c>
    </row>
    <row r="557" spans="1:22">
      <c r="A557" t="s">
        <v>1564</v>
      </c>
      <c r="B557" t="s">
        <v>124</v>
      </c>
      <c r="C557" t="s">
        <v>1565</v>
      </c>
      <c r="D557" s="16">
        <v>1054.75</v>
      </c>
      <c r="E557" t="s">
        <v>62</v>
      </c>
      <c r="F557" t="s">
        <v>38</v>
      </c>
      <c r="H557" t="s">
        <v>64</v>
      </c>
      <c r="I557" t="s">
        <v>29</v>
      </c>
      <c r="J557" s="13">
        <v>46163</v>
      </c>
      <c r="K557" s="17" t="s">
        <v>57</v>
      </c>
      <c r="L557" s="13">
        <v>46193</v>
      </c>
      <c r="M557" t="s">
        <v>99</v>
      </c>
      <c r="N557" t="s">
        <v>100</v>
      </c>
      <c r="O557" s="13">
        <v>46186</v>
      </c>
      <c r="Q557">
        <f t="shared" ca="1" si="40"/>
        <v>26</v>
      </c>
      <c r="R557">
        <f t="shared" si="41"/>
        <v>23</v>
      </c>
      <c r="S557">
        <f t="shared" ca="1" si="42"/>
        <v>4</v>
      </c>
      <c r="T557" t="str">
        <f t="shared" ca="1" si="43"/>
        <v>On Track</v>
      </c>
      <c r="U557" t="str">
        <f t="shared" ca="1" si="44"/>
        <v>At Risk</v>
      </c>
      <c r="V557" t="s">
        <v>101</v>
      </c>
    </row>
    <row r="558" spans="1:22">
      <c r="A558" t="s">
        <v>1566</v>
      </c>
      <c r="B558" t="s">
        <v>118</v>
      </c>
      <c r="C558" t="s">
        <v>1567</v>
      </c>
      <c r="D558" s="16">
        <v>2853.56</v>
      </c>
      <c r="E558" t="s">
        <v>78</v>
      </c>
      <c r="F558" t="s">
        <v>26</v>
      </c>
      <c r="G558" t="s">
        <v>1568</v>
      </c>
      <c r="H558" t="s">
        <v>80</v>
      </c>
      <c r="I558" t="s">
        <v>29</v>
      </c>
      <c r="J558" s="13">
        <v>46154</v>
      </c>
      <c r="K558" s="17" t="s">
        <v>30</v>
      </c>
      <c r="L558" s="13">
        <v>46169</v>
      </c>
      <c r="M558" t="s">
        <v>31</v>
      </c>
      <c r="N558" t="s">
        <v>32</v>
      </c>
      <c r="O558" s="13">
        <v>46162</v>
      </c>
      <c r="P558" s="13">
        <v>46166</v>
      </c>
      <c r="Q558">
        <f t="shared" ca="1" si="40"/>
        <v>35</v>
      </c>
      <c r="R558">
        <f t="shared" si="41"/>
        <v>8</v>
      </c>
      <c r="S558">
        <f t="shared" ca="1" si="42"/>
        <v>-20</v>
      </c>
      <c r="T558" t="str">
        <f t="shared" ca="1" si="43"/>
        <v>On Track</v>
      </c>
      <c r="U558" t="str">
        <f t="shared" ca="1" si="44"/>
        <v>Normal</v>
      </c>
      <c r="V558" t="s">
        <v>33</v>
      </c>
    </row>
    <row r="559" spans="1:22">
      <c r="A559" t="s">
        <v>1569</v>
      </c>
      <c r="B559" t="s">
        <v>118</v>
      </c>
      <c r="C559" t="s">
        <v>1570</v>
      </c>
      <c r="D559" s="16">
        <v>10546.53</v>
      </c>
      <c r="E559" t="s">
        <v>142</v>
      </c>
      <c r="F559" t="s">
        <v>26</v>
      </c>
      <c r="G559" t="s">
        <v>1571</v>
      </c>
      <c r="H559" t="s">
        <v>144</v>
      </c>
      <c r="I559" t="s">
        <v>92</v>
      </c>
      <c r="J559" s="13">
        <v>46146</v>
      </c>
      <c r="K559" s="17" t="s">
        <v>57</v>
      </c>
      <c r="L559" s="13">
        <v>46176</v>
      </c>
      <c r="M559" t="s">
        <v>31</v>
      </c>
      <c r="N559" t="s">
        <v>50</v>
      </c>
      <c r="O559" s="13">
        <v>46161</v>
      </c>
      <c r="P559" s="13">
        <v>46162</v>
      </c>
      <c r="Q559">
        <f t="shared" ca="1" si="40"/>
        <v>43</v>
      </c>
      <c r="R559">
        <f t="shared" si="41"/>
        <v>15</v>
      </c>
      <c r="S559">
        <f t="shared" ca="1" si="42"/>
        <v>-13</v>
      </c>
      <c r="T559" t="str">
        <f t="shared" ca="1" si="43"/>
        <v>On Track</v>
      </c>
      <c r="U559" t="str">
        <f t="shared" ca="1" si="44"/>
        <v>Normal</v>
      </c>
      <c r="V559" t="s">
        <v>51</v>
      </c>
    </row>
    <row r="560" spans="1:22">
      <c r="A560" t="s">
        <v>1572</v>
      </c>
      <c r="B560" t="s">
        <v>23</v>
      </c>
      <c r="C560" t="s">
        <v>1573</v>
      </c>
      <c r="D560" s="16">
        <v>2198.0700000000002</v>
      </c>
      <c r="E560" t="s">
        <v>142</v>
      </c>
      <c r="F560" t="s">
        <v>38</v>
      </c>
      <c r="H560" t="s">
        <v>335</v>
      </c>
      <c r="I560" t="s">
        <v>29</v>
      </c>
      <c r="J560" s="13">
        <v>46170</v>
      </c>
      <c r="K560" s="17" t="s">
        <v>49</v>
      </c>
      <c r="L560" s="13">
        <v>46215</v>
      </c>
      <c r="M560" t="s">
        <v>41</v>
      </c>
      <c r="N560" t="s">
        <v>32</v>
      </c>
      <c r="Q560">
        <f t="shared" ca="1" si="40"/>
        <v>19</v>
      </c>
      <c r="R560" t="str">
        <f t="shared" si="41"/>
        <v/>
      </c>
      <c r="S560">
        <f t="shared" ca="1" si="42"/>
        <v>26</v>
      </c>
      <c r="T560" t="str">
        <f t="shared" ca="1" si="43"/>
        <v>Overdue</v>
      </c>
      <c r="U560" t="str">
        <f t="shared" ca="1" si="44"/>
        <v>Normal</v>
      </c>
      <c r="V560" t="s">
        <v>42</v>
      </c>
    </row>
    <row r="561" spans="1:22">
      <c r="A561" t="s">
        <v>1574</v>
      </c>
      <c r="B561" t="s">
        <v>137</v>
      </c>
      <c r="C561" t="s">
        <v>1575</v>
      </c>
      <c r="D561" s="16">
        <v>1022.5</v>
      </c>
      <c r="E561" t="s">
        <v>156</v>
      </c>
      <c r="F561" t="s">
        <v>26</v>
      </c>
      <c r="G561" t="s">
        <v>1576</v>
      </c>
      <c r="H561" t="s">
        <v>157</v>
      </c>
      <c r="I561" t="s">
        <v>29</v>
      </c>
      <c r="J561" s="13">
        <v>46173</v>
      </c>
      <c r="K561" s="17" t="s">
        <v>40</v>
      </c>
      <c r="L561" s="13">
        <v>46203</v>
      </c>
      <c r="M561" t="s">
        <v>31</v>
      </c>
      <c r="N561" t="s">
        <v>32</v>
      </c>
      <c r="O561" s="13">
        <v>46180</v>
      </c>
      <c r="P561" s="13">
        <v>46186</v>
      </c>
      <c r="Q561">
        <f t="shared" ca="1" si="40"/>
        <v>16</v>
      </c>
      <c r="R561">
        <f t="shared" si="41"/>
        <v>7</v>
      </c>
      <c r="S561">
        <f t="shared" ca="1" si="42"/>
        <v>14</v>
      </c>
      <c r="T561" t="str">
        <f t="shared" ca="1" si="43"/>
        <v>On Track</v>
      </c>
      <c r="U561" t="str">
        <f t="shared" ca="1" si="44"/>
        <v>Normal</v>
      </c>
      <c r="V561" t="s">
        <v>33</v>
      </c>
    </row>
    <row r="562" spans="1:22">
      <c r="A562" t="s">
        <v>1577</v>
      </c>
      <c r="B562" t="s">
        <v>115</v>
      </c>
      <c r="C562" t="s">
        <v>1578</v>
      </c>
      <c r="D562" s="16">
        <v>51752.76</v>
      </c>
      <c r="E562" t="s">
        <v>302</v>
      </c>
      <c r="F562" t="s">
        <v>26</v>
      </c>
      <c r="G562" t="s">
        <v>1579</v>
      </c>
      <c r="H562" t="s">
        <v>121</v>
      </c>
      <c r="I562" t="s">
        <v>122</v>
      </c>
      <c r="J562" s="13">
        <v>46150</v>
      </c>
      <c r="K562" s="17" t="s">
        <v>40</v>
      </c>
      <c r="L562" s="13">
        <v>46180</v>
      </c>
      <c r="M562" t="s">
        <v>31</v>
      </c>
      <c r="N562" t="s">
        <v>32</v>
      </c>
      <c r="O562" s="13">
        <v>46157</v>
      </c>
      <c r="P562" s="13">
        <v>46162</v>
      </c>
      <c r="Q562">
        <f t="shared" ca="1" si="40"/>
        <v>39</v>
      </c>
      <c r="R562">
        <f t="shared" si="41"/>
        <v>7</v>
      </c>
      <c r="S562">
        <f t="shared" ca="1" si="42"/>
        <v>-9</v>
      </c>
      <c r="T562" t="str">
        <f t="shared" ca="1" si="43"/>
        <v>On Track</v>
      </c>
      <c r="U562" t="str">
        <f t="shared" ca="1" si="44"/>
        <v>Normal</v>
      </c>
      <c r="V562" t="s">
        <v>33</v>
      </c>
    </row>
    <row r="563" spans="1:22">
      <c r="A563" t="s">
        <v>1580</v>
      </c>
      <c r="B563" t="s">
        <v>118</v>
      </c>
      <c r="C563" t="s">
        <v>1581</v>
      </c>
      <c r="D563" s="16">
        <v>1612.82</v>
      </c>
      <c r="E563" t="s">
        <v>142</v>
      </c>
      <c r="F563" t="s">
        <v>38</v>
      </c>
      <c r="H563" t="s">
        <v>335</v>
      </c>
      <c r="I563" t="s">
        <v>29</v>
      </c>
      <c r="J563" s="13">
        <v>46156</v>
      </c>
      <c r="K563" s="17" t="s">
        <v>40</v>
      </c>
      <c r="L563" s="13">
        <v>46186</v>
      </c>
      <c r="M563" t="s">
        <v>31</v>
      </c>
      <c r="N563" t="s">
        <v>32</v>
      </c>
      <c r="O563" s="13">
        <v>46160</v>
      </c>
      <c r="P563" s="13">
        <v>46192</v>
      </c>
      <c r="Q563">
        <f t="shared" ca="1" si="40"/>
        <v>33</v>
      </c>
      <c r="R563">
        <f t="shared" si="41"/>
        <v>4</v>
      </c>
      <c r="S563">
        <f t="shared" ca="1" si="42"/>
        <v>-3</v>
      </c>
      <c r="T563" t="str">
        <f t="shared" ca="1" si="43"/>
        <v>On Track</v>
      </c>
      <c r="U563" t="str">
        <f t="shared" ca="1" si="44"/>
        <v>Normal</v>
      </c>
      <c r="V563" t="s">
        <v>107</v>
      </c>
    </row>
    <row r="564" spans="1:22">
      <c r="A564" t="s">
        <v>1582</v>
      </c>
      <c r="B564" t="s">
        <v>115</v>
      </c>
      <c r="C564" t="s">
        <v>1583</v>
      </c>
      <c r="D564" s="16">
        <v>17179.16</v>
      </c>
      <c r="E564" t="s">
        <v>55</v>
      </c>
      <c r="F564" t="s">
        <v>38</v>
      </c>
      <c r="H564" t="s">
        <v>579</v>
      </c>
      <c r="I564" t="s">
        <v>92</v>
      </c>
      <c r="J564" s="13">
        <v>46189</v>
      </c>
      <c r="K564" s="17" t="s">
        <v>30</v>
      </c>
      <c r="L564" s="13">
        <v>46204</v>
      </c>
      <c r="M564" t="s">
        <v>41</v>
      </c>
      <c r="N564" t="s">
        <v>32</v>
      </c>
      <c r="Q564">
        <f t="shared" ca="1" si="40"/>
        <v>0</v>
      </c>
      <c r="R564" t="str">
        <f t="shared" si="41"/>
        <v/>
      </c>
      <c r="S564">
        <f t="shared" ca="1" si="42"/>
        <v>15</v>
      </c>
      <c r="T564" t="str">
        <f t="shared" ca="1" si="43"/>
        <v>On Track</v>
      </c>
      <c r="U564" t="str">
        <f t="shared" ca="1" si="44"/>
        <v>Normal</v>
      </c>
      <c r="V564" t="s">
        <v>42</v>
      </c>
    </row>
    <row r="565" spans="1:22">
      <c r="A565" t="s">
        <v>1584</v>
      </c>
      <c r="B565" t="s">
        <v>137</v>
      </c>
      <c r="C565" t="s">
        <v>1585</v>
      </c>
      <c r="D565" s="16">
        <v>14840.47</v>
      </c>
      <c r="E565" t="s">
        <v>111</v>
      </c>
      <c r="F565" t="s">
        <v>26</v>
      </c>
      <c r="G565" t="s">
        <v>1586</v>
      </c>
      <c r="H565" t="s">
        <v>122</v>
      </c>
      <c r="I565" t="s">
        <v>92</v>
      </c>
      <c r="J565" s="13">
        <v>46178</v>
      </c>
      <c r="K565" s="17" t="s">
        <v>49</v>
      </c>
      <c r="L565" s="13">
        <v>46223</v>
      </c>
      <c r="M565" t="s">
        <v>99</v>
      </c>
      <c r="N565" t="s">
        <v>32</v>
      </c>
      <c r="O565" s="13">
        <v>46185</v>
      </c>
      <c r="Q565">
        <f t="shared" ca="1" si="40"/>
        <v>11</v>
      </c>
      <c r="R565">
        <f t="shared" si="41"/>
        <v>7</v>
      </c>
      <c r="S565">
        <f t="shared" ca="1" si="42"/>
        <v>34</v>
      </c>
      <c r="T565" t="str">
        <f t="shared" ca="1" si="43"/>
        <v>On Track</v>
      </c>
      <c r="U565" t="str">
        <f t="shared" ca="1" si="44"/>
        <v>Normal</v>
      </c>
    </row>
    <row r="566" spans="1:22">
      <c r="A566" t="s">
        <v>1587</v>
      </c>
      <c r="B566" t="s">
        <v>118</v>
      </c>
      <c r="C566" t="s">
        <v>1588</v>
      </c>
      <c r="D566" s="16">
        <v>334.65</v>
      </c>
      <c r="E566" t="s">
        <v>78</v>
      </c>
      <c r="F566" t="s">
        <v>38</v>
      </c>
      <c r="H566" t="s">
        <v>80</v>
      </c>
      <c r="I566" t="s">
        <v>29</v>
      </c>
      <c r="J566" s="13">
        <v>46155</v>
      </c>
      <c r="K566" s="17" t="s">
        <v>40</v>
      </c>
      <c r="L566" s="13">
        <v>46185</v>
      </c>
      <c r="M566" t="s">
        <v>41</v>
      </c>
      <c r="N566" t="s">
        <v>32</v>
      </c>
      <c r="Q566">
        <f t="shared" ca="1" si="40"/>
        <v>34</v>
      </c>
      <c r="R566" t="str">
        <f t="shared" si="41"/>
        <v/>
      </c>
      <c r="S566">
        <f t="shared" ca="1" si="42"/>
        <v>-4</v>
      </c>
      <c r="T566" t="str">
        <f t="shared" ca="1" si="43"/>
        <v>Overdue</v>
      </c>
      <c r="U566" t="str">
        <f t="shared" ca="1" si="44"/>
        <v>At Risk</v>
      </c>
      <c r="V566" t="s">
        <v>42</v>
      </c>
    </row>
    <row r="567" spans="1:22">
      <c r="A567" t="s">
        <v>1589</v>
      </c>
      <c r="B567" t="s">
        <v>187</v>
      </c>
      <c r="C567" t="s">
        <v>1590</v>
      </c>
      <c r="D567" s="16">
        <v>19168.990000000002</v>
      </c>
      <c r="E567" t="s">
        <v>55</v>
      </c>
      <c r="F567" t="s">
        <v>26</v>
      </c>
      <c r="G567" t="s">
        <v>1591</v>
      </c>
      <c r="H567" t="s">
        <v>579</v>
      </c>
      <c r="I567" t="s">
        <v>92</v>
      </c>
      <c r="J567" s="13">
        <v>46167</v>
      </c>
      <c r="K567" s="17" t="s">
        <v>40</v>
      </c>
      <c r="L567" s="13">
        <v>46197</v>
      </c>
      <c r="M567" t="s">
        <v>31</v>
      </c>
      <c r="N567" t="s">
        <v>32</v>
      </c>
      <c r="O567" s="13">
        <v>46170</v>
      </c>
      <c r="P567" s="13">
        <v>46200</v>
      </c>
      <c r="Q567">
        <f t="shared" ca="1" si="40"/>
        <v>22</v>
      </c>
      <c r="R567">
        <f t="shared" si="41"/>
        <v>3</v>
      </c>
      <c r="S567">
        <f t="shared" ca="1" si="42"/>
        <v>8</v>
      </c>
      <c r="T567" t="str">
        <f t="shared" ca="1" si="43"/>
        <v>On Track</v>
      </c>
      <c r="U567" t="str">
        <f t="shared" ca="1" si="44"/>
        <v>Normal</v>
      </c>
      <c r="V567" t="s">
        <v>107</v>
      </c>
    </row>
    <row r="568" spans="1:22">
      <c r="A568" t="s">
        <v>1592</v>
      </c>
      <c r="B568" t="s">
        <v>168</v>
      </c>
      <c r="C568" t="s">
        <v>1593</v>
      </c>
      <c r="D568" s="16">
        <v>4027.48</v>
      </c>
      <c r="E568" t="s">
        <v>55</v>
      </c>
      <c r="F568" t="s">
        <v>26</v>
      </c>
      <c r="G568" t="s">
        <v>1594</v>
      </c>
      <c r="H568" t="s">
        <v>56</v>
      </c>
      <c r="I568" t="s">
        <v>29</v>
      </c>
      <c r="J568" s="13">
        <v>46170</v>
      </c>
      <c r="K568" s="17" t="s">
        <v>49</v>
      </c>
      <c r="L568" s="13">
        <v>46215</v>
      </c>
      <c r="M568" t="s">
        <v>41</v>
      </c>
      <c r="N568" t="s">
        <v>50</v>
      </c>
      <c r="Q568">
        <f t="shared" ca="1" si="40"/>
        <v>19</v>
      </c>
      <c r="R568" t="str">
        <f t="shared" si="41"/>
        <v/>
      </c>
      <c r="S568">
        <f t="shared" ca="1" si="42"/>
        <v>26</v>
      </c>
      <c r="T568" t="str">
        <f t="shared" ca="1" si="43"/>
        <v>Overdue</v>
      </c>
      <c r="U568" t="str">
        <f t="shared" ca="1" si="44"/>
        <v>Normal</v>
      </c>
      <c r="V568" t="s">
        <v>51</v>
      </c>
    </row>
    <row r="569" spans="1:22">
      <c r="A569" t="s">
        <v>1595</v>
      </c>
      <c r="B569" t="s">
        <v>208</v>
      </c>
      <c r="C569" t="s">
        <v>1596</v>
      </c>
      <c r="D569" s="16">
        <v>1123.22</v>
      </c>
      <c r="E569" t="s">
        <v>126</v>
      </c>
      <c r="F569" t="s">
        <v>26</v>
      </c>
      <c r="G569" t="s">
        <v>1597</v>
      </c>
      <c r="H569" t="s">
        <v>241</v>
      </c>
      <c r="I569" t="s">
        <v>29</v>
      </c>
      <c r="J569" s="13">
        <v>46163</v>
      </c>
      <c r="K569" s="17" t="s">
        <v>40</v>
      </c>
      <c r="L569" s="13">
        <v>46193</v>
      </c>
      <c r="M569" t="s">
        <v>31</v>
      </c>
      <c r="N569" t="s">
        <v>32</v>
      </c>
      <c r="O569" s="13">
        <v>46172</v>
      </c>
      <c r="P569" s="13">
        <v>46173</v>
      </c>
      <c r="Q569">
        <f t="shared" ca="1" si="40"/>
        <v>26</v>
      </c>
      <c r="R569">
        <f t="shared" si="41"/>
        <v>9</v>
      </c>
      <c r="S569">
        <f t="shared" ca="1" si="42"/>
        <v>4</v>
      </c>
      <c r="T569" t="str">
        <f t="shared" ca="1" si="43"/>
        <v>On Track</v>
      </c>
      <c r="U569" t="str">
        <f t="shared" ca="1" si="44"/>
        <v>Normal</v>
      </c>
      <c r="V569" t="s">
        <v>33</v>
      </c>
    </row>
    <row r="570" spans="1:22">
      <c r="A570" t="s">
        <v>1598</v>
      </c>
      <c r="B570" t="s">
        <v>271</v>
      </c>
      <c r="C570" t="s">
        <v>1599</v>
      </c>
      <c r="D570" s="16">
        <v>1425.71</v>
      </c>
      <c r="E570" t="s">
        <v>156</v>
      </c>
      <c r="F570" t="s">
        <v>38</v>
      </c>
      <c r="H570" t="s">
        <v>157</v>
      </c>
      <c r="I570" t="s">
        <v>29</v>
      </c>
      <c r="J570" s="13">
        <v>46186</v>
      </c>
      <c r="K570" s="17" t="s">
        <v>57</v>
      </c>
      <c r="L570" s="13">
        <v>46216</v>
      </c>
      <c r="M570" t="s">
        <v>145</v>
      </c>
      <c r="N570" t="s">
        <v>100</v>
      </c>
      <c r="O570" s="13">
        <v>46189</v>
      </c>
      <c r="Q570">
        <f t="shared" ca="1" si="40"/>
        <v>3</v>
      </c>
      <c r="R570">
        <f t="shared" si="41"/>
        <v>3</v>
      </c>
      <c r="S570">
        <f t="shared" ca="1" si="42"/>
        <v>27</v>
      </c>
      <c r="T570" t="str">
        <f t="shared" ca="1" si="43"/>
        <v>On Track</v>
      </c>
      <c r="U570" t="str">
        <f t="shared" ca="1" si="44"/>
        <v>Normal</v>
      </c>
      <c r="V570" t="s">
        <v>101</v>
      </c>
    </row>
    <row r="571" spans="1:22">
      <c r="A571" t="s">
        <v>1600</v>
      </c>
      <c r="B571" t="s">
        <v>73</v>
      </c>
      <c r="C571" t="s">
        <v>1601</v>
      </c>
      <c r="D571" s="16">
        <v>539.29999999999995</v>
      </c>
      <c r="E571" t="s">
        <v>37</v>
      </c>
      <c r="F571" t="s">
        <v>38</v>
      </c>
      <c r="H571" t="s">
        <v>39</v>
      </c>
      <c r="I571" t="s">
        <v>29</v>
      </c>
      <c r="J571" s="13">
        <v>46167</v>
      </c>
      <c r="K571" s="17" t="s">
        <v>30</v>
      </c>
      <c r="L571" s="13">
        <v>46182</v>
      </c>
      <c r="M571" t="s">
        <v>31</v>
      </c>
      <c r="N571" t="s">
        <v>32</v>
      </c>
      <c r="O571" s="13">
        <v>46172</v>
      </c>
      <c r="P571" s="13">
        <v>46178</v>
      </c>
      <c r="Q571">
        <f t="shared" ca="1" si="40"/>
        <v>22</v>
      </c>
      <c r="R571">
        <f t="shared" si="41"/>
        <v>5</v>
      </c>
      <c r="S571">
        <f t="shared" ca="1" si="42"/>
        <v>-7</v>
      </c>
      <c r="T571" t="str">
        <f t="shared" ca="1" si="43"/>
        <v>On Track</v>
      </c>
      <c r="U571" t="str">
        <f t="shared" ca="1" si="44"/>
        <v>Normal</v>
      </c>
      <c r="V571" t="s">
        <v>33</v>
      </c>
    </row>
    <row r="572" spans="1:22">
      <c r="A572" t="s">
        <v>1602</v>
      </c>
      <c r="B572" t="s">
        <v>53</v>
      </c>
      <c r="C572" t="s">
        <v>1603</v>
      </c>
      <c r="D572" s="16">
        <v>2890.91</v>
      </c>
      <c r="E572" t="s">
        <v>78</v>
      </c>
      <c r="F572" t="s">
        <v>38</v>
      </c>
      <c r="H572" t="s">
        <v>80</v>
      </c>
      <c r="I572" t="s">
        <v>29</v>
      </c>
      <c r="J572" s="13">
        <v>46177</v>
      </c>
      <c r="K572" s="17" t="s">
        <v>49</v>
      </c>
      <c r="L572" s="13">
        <v>46222</v>
      </c>
      <c r="M572" t="s">
        <v>65</v>
      </c>
      <c r="N572" t="s">
        <v>100</v>
      </c>
      <c r="Q572">
        <f t="shared" ca="1" si="40"/>
        <v>12</v>
      </c>
      <c r="R572" t="str">
        <f t="shared" si="41"/>
        <v/>
      </c>
      <c r="S572">
        <f t="shared" ca="1" si="42"/>
        <v>33</v>
      </c>
      <c r="T572" t="str">
        <f t="shared" ca="1" si="43"/>
        <v>On Track</v>
      </c>
      <c r="U572" t="str">
        <f t="shared" ca="1" si="44"/>
        <v>Normal</v>
      </c>
      <c r="V572" t="s">
        <v>101</v>
      </c>
    </row>
    <row r="573" spans="1:22">
      <c r="A573" t="s">
        <v>1604</v>
      </c>
      <c r="B573" t="s">
        <v>208</v>
      </c>
      <c r="C573" t="s">
        <v>1605</v>
      </c>
      <c r="D573" s="16">
        <v>23242.25</v>
      </c>
      <c r="E573" t="s">
        <v>69</v>
      </c>
      <c r="F573" t="s">
        <v>26</v>
      </c>
      <c r="G573" t="s">
        <v>1606</v>
      </c>
      <c r="H573" t="s">
        <v>178</v>
      </c>
      <c r="I573" t="s">
        <v>92</v>
      </c>
      <c r="J573" s="13">
        <v>46155</v>
      </c>
      <c r="K573" s="17" t="s">
        <v>57</v>
      </c>
      <c r="L573" s="13">
        <v>46185</v>
      </c>
      <c r="M573" t="s">
        <v>31</v>
      </c>
      <c r="N573" t="s">
        <v>100</v>
      </c>
      <c r="O573" s="13">
        <v>46169</v>
      </c>
      <c r="P573" s="13">
        <v>46174</v>
      </c>
      <c r="Q573">
        <f t="shared" ca="1" si="40"/>
        <v>34</v>
      </c>
      <c r="R573">
        <f t="shared" si="41"/>
        <v>14</v>
      </c>
      <c r="S573">
        <f t="shared" ca="1" si="42"/>
        <v>-4</v>
      </c>
      <c r="T573" t="str">
        <f t="shared" ca="1" si="43"/>
        <v>On Track</v>
      </c>
      <c r="U573" t="str">
        <f t="shared" ca="1" si="44"/>
        <v>Normal</v>
      </c>
      <c r="V573" t="s">
        <v>101</v>
      </c>
    </row>
    <row r="574" spans="1:22">
      <c r="A574" t="s">
        <v>1607</v>
      </c>
      <c r="B574" t="s">
        <v>251</v>
      </c>
      <c r="C574" t="s">
        <v>1608</v>
      </c>
      <c r="D574" s="16">
        <v>4566.63</v>
      </c>
      <c r="E574" t="s">
        <v>78</v>
      </c>
      <c r="F574" t="s">
        <v>26</v>
      </c>
      <c r="G574" t="s">
        <v>1609</v>
      </c>
      <c r="H574" t="s">
        <v>80</v>
      </c>
      <c r="I574" t="s">
        <v>29</v>
      </c>
      <c r="J574" s="13">
        <v>46174</v>
      </c>
      <c r="K574" s="17" t="s">
        <v>57</v>
      </c>
      <c r="L574" s="13">
        <v>46204</v>
      </c>
      <c r="M574" t="s">
        <v>145</v>
      </c>
      <c r="N574" t="s">
        <v>100</v>
      </c>
      <c r="O574" s="13">
        <v>46182</v>
      </c>
      <c r="Q574">
        <f t="shared" ca="1" si="40"/>
        <v>15</v>
      </c>
      <c r="R574">
        <f t="shared" si="41"/>
        <v>8</v>
      </c>
      <c r="S574">
        <f t="shared" ca="1" si="42"/>
        <v>15</v>
      </c>
      <c r="T574" t="str">
        <f t="shared" ca="1" si="43"/>
        <v>On Track</v>
      </c>
      <c r="U574" t="str">
        <f t="shared" ca="1" si="44"/>
        <v>Normal</v>
      </c>
      <c r="V574" t="s">
        <v>101</v>
      </c>
    </row>
    <row r="575" spans="1:22">
      <c r="A575" t="s">
        <v>1610</v>
      </c>
      <c r="B575" t="s">
        <v>151</v>
      </c>
      <c r="C575" t="s">
        <v>1611</v>
      </c>
      <c r="D575" s="16">
        <v>4368.79</v>
      </c>
      <c r="E575" t="s">
        <v>302</v>
      </c>
      <c r="F575" t="s">
        <v>26</v>
      </c>
      <c r="G575" t="s">
        <v>1612</v>
      </c>
      <c r="H575" t="s">
        <v>304</v>
      </c>
      <c r="I575" t="s">
        <v>29</v>
      </c>
      <c r="J575" s="13">
        <v>46186</v>
      </c>
      <c r="K575" s="17" t="s">
        <v>30</v>
      </c>
      <c r="L575" s="13">
        <v>46201</v>
      </c>
      <c r="M575" t="s">
        <v>41</v>
      </c>
      <c r="N575" t="s">
        <v>32</v>
      </c>
      <c r="Q575">
        <f t="shared" ca="1" si="40"/>
        <v>3</v>
      </c>
      <c r="R575" t="str">
        <f t="shared" si="41"/>
        <v/>
      </c>
      <c r="S575">
        <f t="shared" ca="1" si="42"/>
        <v>12</v>
      </c>
      <c r="T575" t="str">
        <f t="shared" ca="1" si="43"/>
        <v>On Track</v>
      </c>
      <c r="U575" t="str">
        <f t="shared" ca="1" si="44"/>
        <v>Normal</v>
      </c>
      <c r="V575" t="s">
        <v>42</v>
      </c>
    </row>
    <row r="576" spans="1:22">
      <c r="A576" t="s">
        <v>1613</v>
      </c>
      <c r="B576" t="s">
        <v>151</v>
      </c>
      <c r="C576" t="s">
        <v>1614</v>
      </c>
      <c r="D576" s="16">
        <v>50718.43</v>
      </c>
      <c r="E576" t="s">
        <v>111</v>
      </c>
      <c r="F576" t="s">
        <v>38</v>
      </c>
      <c r="H576" t="s">
        <v>121</v>
      </c>
      <c r="I576" t="s">
        <v>122</v>
      </c>
      <c r="J576" s="13">
        <v>46151</v>
      </c>
      <c r="K576" s="17" t="s">
        <v>57</v>
      </c>
      <c r="L576" s="13">
        <v>46181</v>
      </c>
      <c r="M576" t="s">
        <v>41</v>
      </c>
      <c r="N576" t="s">
        <v>50</v>
      </c>
      <c r="Q576">
        <f t="shared" ca="1" si="40"/>
        <v>38</v>
      </c>
      <c r="R576" t="str">
        <f t="shared" si="41"/>
        <v/>
      </c>
      <c r="S576">
        <f t="shared" ca="1" si="42"/>
        <v>-8</v>
      </c>
      <c r="T576" t="str">
        <f t="shared" ca="1" si="43"/>
        <v>Overdue</v>
      </c>
      <c r="U576" t="str">
        <f t="shared" ca="1" si="44"/>
        <v>At Risk</v>
      </c>
      <c r="V576" t="s">
        <v>51</v>
      </c>
    </row>
    <row r="577" spans="1:22">
      <c r="A577" t="s">
        <v>1615</v>
      </c>
      <c r="B577" t="s">
        <v>151</v>
      </c>
      <c r="C577" t="s">
        <v>1616</v>
      </c>
      <c r="D577" s="16">
        <v>19755.02</v>
      </c>
      <c r="E577" t="s">
        <v>25</v>
      </c>
      <c r="F577" t="s">
        <v>26</v>
      </c>
      <c r="G577" t="s">
        <v>1617</v>
      </c>
      <c r="H577" t="s">
        <v>149</v>
      </c>
      <c r="I577" t="s">
        <v>92</v>
      </c>
      <c r="J577" s="13">
        <v>46154</v>
      </c>
      <c r="K577" s="17" t="s">
        <v>40</v>
      </c>
      <c r="L577" s="13">
        <v>46184</v>
      </c>
      <c r="M577" t="s">
        <v>99</v>
      </c>
      <c r="N577" t="s">
        <v>32</v>
      </c>
      <c r="O577" s="13">
        <v>46170</v>
      </c>
      <c r="Q577">
        <f t="shared" ca="1" si="40"/>
        <v>35</v>
      </c>
      <c r="R577">
        <f t="shared" si="41"/>
        <v>16</v>
      </c>
      <c r="S577">
        <f t="shared" ca="1" si="42"/>
        <v>-5</v>
      </c>
      <c r="T577" t="str">
        <f t="shared" ca="1" si="43"/>
        <v>On Track</v>
      </c>
      <c r="U577" t="str">
        <f t="shared" ca="1" si="44"/>
        <v>At Risk</v>
      </c>
    </row>
    <row r="578" spans="1:22">
      <c r="A578" t="s">
        <v>1618</v>
      </c>
      <c r="B578" t="s">
        <v>137</v>
      </c>
      <c r="C578" t="s">
        <v>1619</v>
      </c>
      <c r="D578" s="16">
        <v>2128.9699999999998</v>
      </c>
      <c r="E578" t="s">
        <v>62</v>
      </c>
      <c r="F578" t="s">
        <v>38</v>
      </c>
      <c r="H578" t="s">
        <v>64</v>
      </c>
      <c r="I578" t="s">
        <v>29</v>
      </c>
      <c r="J578" s="13">
        <v>46189</v>
      </c>
      <c r="K578" s="17" t="s">
        <v>40</v>
      </c>
      <c r="L578" s="13">
        <v>46219</v>
      </c>
      <c r="M578" t="s">
        <v>41</v>
      </c>
      <c r="N578" t="s">
        <v>179</v>
      </c>
      <c r="Q578">
        <f t="shared" ref="Q578:Q641" ca="1" si="45">IF(J578="","",TODAY()-J578)</f>
        <v>0</v>
      </c>
      <c r="R578" t="str">
        <f t="shared" ref="R578:R641" si="46">IF(O578="","",O578-J578)</f>
        <v/>
      </c>
      <c r="S578">
        <f t="shared" ref="S578:S641" ca="1" si="47">IF(L578="","",L578-TODAY())</f>
        <v>30</v>
      </c>
      <c r="T578" t="str">
        <f t="shared" ref="T578:T641" ca="1" si="48">IF(AND(M578="Pending Approval",Q578&gt;5),"Overdue","On Track")</f>
        <v>On Track</v>
      </c>
      <c r="U578" t="str">
        <f t="shared" ref="U578:U641" ca="1" si="49">IF(AND(M578&lt;&gt;"Paid",S578&lt;=5),"At Risk","Normal")</f>
        <v>Normal</v>
      </c>
      <c r="V578" t="s">
        <v>180</v>
      </c>
    </row>
    <row r="579" spans="1:22">
      <c r="A579" t="s">
        <v>1620</v>
      </c>
      <c r="B579" t="s">
        <v>103</v>
      </c>
      <c r="C579" t="s">
        <v>1621</v>
      </c>
      <c r="D579" s="16">
        <v>3951.1</v>
      </c>
      <c r="E579" t="s">
        <v>55</v>
      </c>
      <c r="F579" t="s">
        <v>38</v>
      </c>
      <c r="H579" t="s">
        <v>56</v>
      </c>
      <c r="I579" t="s">
        <v>29</v>
      </c>
      <c r="J579" s="13">
        <v>46173</v>
      </c>
      <c r="K579" s="17" t="s">
        <v>30</v>
      </c>
      <c r="L579" s="13">
        <v>46188</v>
      </c>
      <c r="M579" t="s">
        <v>41</v>
      </c>
      <c r="N579" t="s">
        <v>58</v>
      </c>
      <c r="Q579">
        <f t="shared" ca="1" si="45"/>
        <v>16</v>
      </c>
      <c r="R579" t="str">
        <f t="shared" si="46"/>
        <v/>
      </c>
      <c r="S579">
        <f t="shared" ca="1" si="47"/>
        <v>-1</v>
      </c>
      <c r="T579" t="str">
        <f t="shared" ca="1" si="48"/>
        <v>Overdue</v>
      </c>
      <c r="U579" t="str">
        <f t="shared" ca="1" si="49"/>
        <v>At Risk</v>
      </c>
      <c r="V579" t="s">
        <v>59</v>
      </c>
    </row>
    <row r="580" spans="1:22">
      <c r="A580" t="s">
        <v>1622</v>
      </c>
      <c r="B580" t="s">
        <v>208</v>
      </c>
      <c r="C580" t="s">
        <v>1623</v>
      </c>
      <c r="D580" s="16">
        <v>1677.43</v>
      </c>
      <c r="E580" t="s">
        <v>126</v>
      </c>
      <c r="F580" t="s">
        <v>26</v>
      </c>
      <c r="G580" t="s">
        <v>1624</v>
      </c>
      <c r="H580" t="s">
        <v>241</v>
      </c>
      <c r="I580" t="s">
        <v>29</v>
      </c>
      <c r="J580" s="13">
        <v>46159</v>
      </c>
      <c r="K580" s="17" t="s">
        <v>57</v>
      </c>
      <c r="L580" s="13">
        <v>46189</v>
      </c>
      <c r="M580" t="s">
        <v>41</v>
      </c>
      <c r="N580" t="s">
        <v>50</v>
      </c>
      <c r="Q580">
        <f t="shared" ca="1" si="45"/>
        <v>30</v>
      </c>
      <c r="R580" t="str">
        <f t="shared" si="46"/>
        <v/>
      </c>
      <c r="S580">
        <f t="shared" ca="1" si="47"/>
        <v>0</v>
      </c>
      <c r="T580" t="str">
        <f t="shared" ca="1" si="48"/>
        <v>Overdue</v>
      </c>
      <c r="U580" t="str">
        <f t="shared" ca="1" si="49"/>
        <v>At Risk</v>
      </c>
      <c r="V580" t="s">
        <v>51</v>
      </c>
    </row>
    <row r="581" spans="1:22">
      <c r="A581" t="s">
        <v>1625</v>
      </c>
      <c r="B581" t="s">
        <v>251</v>
      </c>
      <c r="C581" t="s">
        <v>1626</v>
      </c>
      <c r="D581" s="16">
        <v>1039.33</v>
      </c>
      <c r="E581" t="s">
        <v>69</v>
      </c>
      <c r="F581" t="s">
        <v>26</v>
      </c>
      <c r="G581" t="s">
        <v>1627</v>
      </c>
      <c r="H581" t="s">
        <v>71</v>
      </c>
      <c r="I581" t="s">
        <v>29</v>
      </c>
      <c r="J581" s="13">
        <v>46162</v>
      </c>
      <c r="K581" s="17" t="s">
        <v>57</v>
      </c>
      <c r="L581" s="13">
        <v>46192</v>
      </c>
      <c r="M581" t="s">
        <v>31</v>
      </c>
      <c r="N581" t="s">
        <v>32</v>
      </c>
      <c r="O581" s="13">
        <v>46168</v>
      </c>
      <c r="P581" s="13">
        <v>46172</v>
      </c>
      <c r="Q581">
        <f t="shared" ca="1" si="45"/>
        <v>27</v>
      </c>
      <c r="R581">
        <f t="shared" si="46"/>
        <v>6</v>
      </c>
      <c r="S581">
        <f t="shared" ca="1" si="47"/>
        <v>3</v>
      </c>
      <c r="T581" t="str">
        <f t="shared" ca="1" si="48"/>
        <v>On Track</v>
      </c>
      <c r="U581" t="str">
        <f t="shared" ca="1" si="49"/>
        <v>Normal</v>
      </c>
      <c r="V581" t="s">
        <v>33</v>
      </c>
    </row>
    <row r="582" spans="1:22">
      <c r="A582" t="s">
        <v>1628</v>
      </c>
      <c r="B582" t="s">
        <v>115</v>
      </c>
      <c r="C582" t="s">
        <v>1629</v>
      </c>
      <c r="D582" s="16">
        <v>354.51</v>
      </c>
      <c r="E582" t="s">
        <v>126</v>
      </c>
      <c r="F582" t="s">
        <v>26</v>
      </c>
      <c r="G582" t="s">
        <v>1630</v>
      </c>
      <c r="H582" t="s">
        <v>241</v>
      </c>
      <c r="I582" t="s">
        <v>29</v>
      </c>
      <c r="J582" s="13">
        <v>46184</v>
      </c>
      <c r="K582" s="17" t="s">
        <v>57</v>
      </c>
      <c r="L582" s="13">
        <v>46214</v>
      </c>
      <c r="M582" t="s">
        <v>41</v>
      </c>
      <c r="N582" t="s">
        <v>213</v>
      </c>
      <c r="Q582">
        <f t="shared" ca="1" si="45"/>
        <v>5</v>
      </c>
      <c r="R582" t="str">
        <f t="shared" si="46"/>
        <v/>
      </c>
      <c r="S582">
        <f t="shared" ca="1" si="47"/>
        <v>25</v>
      </c>
      <c r="T582" t="str">
        <f t="shared" ca="1" si="48"/>
        <v>On Track</v>
      </c>
      <c r="U582" t="str">
        <f t="shared" ca="1" si="49"/>
        <v>Normal</v>
      </c>
      <c r="V582" t="s">
        <v>214</v>
      </c>
    </row>
    <row r="583" spans="1:22">
      <c r="A583" t="s">
        <v>1631</v>
      </c>
      <c r="B583" t="s">
        <v>271</v>
      </c>
      <c r="C583" t="s">
        <v>1632</v>
      </c>
      <c r="D583" s="16">
        <v>2201.5100000000002</v>
      </c>
      <c r="E583" t="s">
        <v>302</v>
      </c>
      <c r="F583" t="s">
        <v>26</v>
      </c>
      <c r="G583" t="s">
        <v>1633</v>
      </c>
      <c r="H583" t="s">
        <v>304</v>
      </c>
      <c r="I583" t="s">
        <v>29</v>
      </c>
      <c r="J583" s="13">
        <v>46167</v>
      </c>
      <c r="K583" s="17" t="s">
        <v>57</v>
      </c>
      <c r="L583" s="13">
        <v>46197</v>
      </c>
      <c r="M583" t="s">
        <v>31</v>
      </c>
      <c r="N583" t="s">
        <v>100</v>
      </c>
      <c r="O583" s="13">
        <v>46173</v>
      </c>
      <c r="P583" s="13">
        <v>46177</v>
      </c>
      <c r="Q583">
        <f t="shared" ca="1" si="45"/>
        <v>22</v>
      </c>
      <c r="R583">
        <f t="shared" si="46"/>
        <v>6</v>
      </c>
      <c r="S583">
        <f t="shared" ca="1" si="47"/>
        <v>8</v>
      </c>
      <c r="T583" t="str">
        <f t="shared" ca="1" si="48"/>
        <v>On Track</v>
      </c>
      <c r="U583" t="str">
        <f t="shared" ca="1" si="49"/>
        <v>Normal</v>
      </c>
      <c r="V583" t="s">
        <v>101</v>
      </c>
    </row>
    <row r="584" spans="1:22">
      <c r="A584" t="s">
        <v>1634</v>
      </c>
      <c r="B584" t="s">
        <v>124</v>
      </c>
      <c r="C584" t="s">
        <v>1635</v>
      </c>
      <c r="D584" s="16">
        <v>1271.4000000000001</v>
      </c>
      <c r="E584" t="s">
        <v>111</v>
      </c>
      <c r="F584" t="s">
        <v>26</v>
      </c>
      <c r="G584" t="s">
        <v>1636</v>
      </c>
      <c r="H584" t="s">
        <v>113</v>
      </c>
      <c r="I584" t="s">
        <v>29</v>
      </c>
      <c r="J584" s="13">
        <v>46161</v>
      </c>
      <c r="K584" s="17" t="s">
        <v>49</v>
      </c>
      <c r="L584" s="13">
        <v>46206</v>
      </c>
      <c r="M584" t="s">
        <v>31</v>
      </c>
      <c r="N584" t="s">
        <v>32</v>
      </c>
      <c r="O584" s="13">
        <v>46168</v>
      </c>
      <c r="P584" s="13">
        <v>46175</v>
      </c>
      <c r="Q584">
        <f t="shared" ca="1" si="45"/>
        <v>28</v>
      </c>
      <c r="R584">
        <f t="shared" si="46"/>
        <v>7</v>
      </c>
      <c r="S584">
        <f t="shared" ca="1" si="47"/>
        <v>17</v>
      </c>
      <c r="T584" t="str">
        <f t="shared" ca="1" si="48"/>
        <v>On Track</v>
      </c>
      <c r="U584" t="str">
        <f t="shared" ca="1" si="49"/>
        <v>Normal</v>
      </c>
      <c r="V584" t="s">
        <v>33</v>
      </c>
    </row>
    <row r="585" spans="1:22">
      <c r="A585" t="s">
        <v>1637</v>
      </c>
      <c r="B585" t="s">
        <v>187</v>
      </c>
      <c r="C585" t="s">
        <v>1638</v>
      </c>
      <c r="D585" s="16">
        <v>45166.22</v>
      </c>
      <c r="E585" t="s">
        <v>126</v>
      </c>
      <c r="F585" t="s">
        <v>38</v>
      </c>
      <c r="H585" t="s">
        <v>121</v>
      </c>
      <c r="I585" t="s">
        <v>122</v>
      </c>
      <c r="J585" s="13">
        <v>46170</v>
      </c>
      <c r="K585" s="17" t="s">
        <v>57</v>
      </c>
      <c r="L585" s="13">
        <v>46200</v>
      </c>
      <c r="M585" t="s">
        <v>99</v>
      </c>
      <c r="N585" t="s">
        <v>50</v>
      </c>
      <c r="O585" s="13">
        <v>46189</v>
      </c>
      <c r="Q585">
        <f t="shared" ca="1" si="45"/>
        <v>19</v>
      </c>
      <c r="R585">
        <f t="shared" si="46"/>
        <v>19</v>
      </c>
      <c r="S585">
        <f t="shared" ca="1" si="47"/>
        <v>11</v>
      </c>
      <c r="T585" t="str">
        <f t="shared" ca="1" si="48"/>
        <v>On Track</v>
      </c>
      <c r="U585" t="str">
        <f t="shared" ca="1" si="49"/>
        <v>Normal</v>
      </c>
      <c r="V585" t="s">
        <v>51</v>
      </c>
    </row>
    <row r="586" spans="1:22">
      <c r="A586" t="s">
        <v>1639</v>
      </c>
      <c r="B586" t="s">
        <v>103</v>
      </c>
      <c r="C586" t="s">
        <v>1640</v>
      </c>
      <c r="D586" s="16">
        <v>2334.65</v>
      </c>
      <c r="E586" t="s">
        <v>37</v>
      </c>
      <c r="F586" t="s">
        <v>26</v>
      </c>
      <c r="G586" t="s">
        <v>1641</v>
      </c>
      <c r="H586" t="s">
        <v>39</v>
      </c>
      <c r="I586" t="s">
        <v>29</v>
      </c>
      <c r="J586" s="13">
        <v>46164</v>
      </c>
      <c r="K586" s="17" t="s">
        <v>40</v>
      </c>
      <c r="L586" s="13">
        <v>46194</v>
      </c>
      <c r="M586" t="s">
        <v>31</v>
      </c>
      <c r="N586" t="s">
        <v>32</v>
      </c>
      <c r="O586" s="13">
        <v>46171</v>
      </c>
      <c r="P586" s="13">
        <v>46177</v>
      </c>
      <c r="Q586">
        <f t="shared" ca="1" si="45"/>
        <v>25</v>
      </c>
      <c r="R586">
        <f t="shared" si="46"/>
        <v>7</v>
      </c>
      <c r="S586">
        <f t="shared" ca="1" si="47"/>
        <v>5</v>
      </c>
      <c r="T586" t="str">
        <f t="shared" ca="1" si="48"/>
        <v>On Track</v>
      </c>
      <c r="U586" t="str">
        <f t="shared" ca="1" si="49"/>
        <v>Normal</v>
      </c>
      <c r="V586" t="s">
        <v>33</v>
      </c>
    </row>
    <row r="587" spans="1:22">
      <c r="A587" t="s">
        <v>1642</v>
      </c>
      <c r="B587" t="s">
        <v>44</v>
      </c>
      <c r="C587" t="s">
        <v>1643</v>
      </c>
      <c r="D587" s="16">
        <v>517.32000000000005</v>
      </c>
      <c r="E587" t="s">
        <v>25</v>
      </c>
      <c r="F587" t="s">
        <v>26</v>
      </c>
      <c r="G587" t="s">
        <v>1644</v>
      </c>
      <c r="H587" t="s">
        <v>28</v>
      </c>
      <c r="I587" t="s">
        <v>29</v>
      </c>
      <c r="J587" s="13">
        <v>46174</v>
      </c>
      <c r="K587" s="17" t="s">
        <v>49</v>
      </c>
      <c r="L587" s="13">
        <v>46219</v>
      </c>
      <c r="M587" t="s">
        <v>31</v>
      </c>
      <c r="N587" t="s">
        <v>100</v>
      </c>
      <c r="O587" s="13">
        <v>46180</v>
      </c>
      <c r="P587" s="13">
        <v>46185</v>
      </c>
      <c r="Q587">
        <f t="shared" ca="1" si="45"/>
        <v>15</v>
      </c>
      <c r="R587">
        <f t="shared" si="46"/>
        <v>6</v>
      </c>
      <c r="S587">
        <f t="shared" ca="1" si="47"/>
        <v>30</v>
      </c>
      <c r="T587" t="str">
        <f t="shared" ca="1" si="48"/>
        <v>On Track</v>
      </c>
      <c r="U587" t="str">
        <f t="shared" ca="1" si="49"/>
        <v>Normal</v>
      </c>
      <c r="V587" t="s">
        <v>101</v>
      </c>
    </row>
    <row r="588" spans="1:22">
      <c r="A588" t="s">
        <v>1645</v>
      </c>
      <c r="B588" t="s">
        <v>151</v>
      </c>
      <c r="C588" t="s">
        <v>1646</v>
      </c>
      <c r="D588" s="16">
        <v>851.68</v>
      </c>
      <c r="E588" t="s">
        <v>55</v>
      </c>
      <c r="F588" t="s">
        <v>38</v>
      </c>
      <c r="H588" t="s">
        <v>56</v>
      </c>
      <c r="I588" t="s">
        <v>29</v>
      </c>
      <c r="J588" s="13">
        <v>46146</v>
      </c>
      <c r="K588" s="17" t="s">
        <v>57</v>
      </c>
      <c r="L588" s="13">
        <v>46176</v>
      </c>
      <c r="M588" t="s">
        <v>31</v>
      </c>
      <c r="N588" t="s">
        <v>32</v>
      </c>
      <c r="O588" s="13">
        <v>46156</v>
      </c>
      <c r="P588" s="13">
        <v>46177</v>
      </c>
      <c r="Q588">
        <f t="shared" ca="1" si="45"/>
        <v>43</v>
      </c>
      <c r="R588">
        <f t="shared" si="46"/>
        <v>10</v>
      </c>
      <c r="S588">
        <f t="shared" ca="1" si="47"/>
        <v>-13</v>
      </c>
      <c r="T588" t="str">
        <f t="shared" ca="1" si="48"/>
        <v>On Track</v>
      </c>
      <c r="U588" t="str">
        <f t="shared" ca="1" si="49"/>
        <v>Normal</v>
      </c>
      <c r="V588" t="s">
        <v>107</v>
      </c>
    </row>
    <row r="589" spans="1:22">
      <c r="A589" t="s">
        <v>1647</v>
      </c>
      <c r="B589" t="s">
        <v>35</v>
      </c>
      <c r="C589" t="s">
        <v>1648</v>
      </c>
      <c r="D589" s="16">
        <v>781.63</v>
      </c>
      <c r="E589" t="s">
        <v>55</v>
      </c>
      <c r="F589" t="s">
        <v>26</v>
      </c>
      <c r="G589" t="s">
        <v>1649</v>
      </c>
      <c r="H589" t="s">
        <v>56</v>
      </c>
      <c r="I589" t="s">
        <v>29</v>
      </c>
      <c r="J589" s="13">
        <v>46175</v>
      </c>
      <c r="K589" s="17" t="s">
        <v>49</v>
      </c>
      <c r="L589" s="13">
        <v>46220</v>
      </c>
      <c r="M589" t="s">
        <v>31</v>
      </c>
      <c r="N589" t="s">
        <v>32</v>
      </c>
      <c r="O589" s="13">
        <v>46182</v>
      </c>
      <c r="P589" s="13">
        <v>46185</v>
      </c>
      <c r="Q589">
        <f t="shared" ca="1" si="45"/>
        <v>14</v>
      </c>
      <c r="R589">
        <f t="shared" si="46"/>
        <v>7</v>
      </c>
      <c r="S589">
        <f t="shared" ca="1" si="47"/>
        <v>31</v>
      </c>
      <c r="T589" t="str">
        <f t="shared" ca="1" si="48"/>
        <v>On Track</v>
      </c>
      <c r="U589" t="str">
        <f t="shared" ca="1" si="49"/>
        <v>Normal</v>
      </c>
      <c r="V589" t="s">
        <v>33</v>
      </c>
    </row>
    <row r="590" spans="1:22">
      <c r="A590" t="s">
        <v>1650</v>
      </c>
      <c r="B590" t="s">
        <v>44</v>
      </c>
      <c r="C590" t="s">
        <v>1651</v>
      </c>
      <c r="D590" s="16">
        <v>4311.66</v>
      </c>
      <c r="E590" t="s">
        <v>78</v>
      </c>
      <c r="F590" t="s">
        <v>26</v>
      </c>
      <c r="G590" t="s">
        <v>1652</v>
      </c>
      <c r="H590" t="s">
        <v>80</v>
      </c>
      <c r="I590" t="s">
        <v>29</v>
      </c>
      <c r="J590" s="13">
        <v>46153</v>
      </c>
      <c r="K590" s="17" t="s">
        <v>40</v>
      </c>
      <c r="L590" s="13">
        <v>46183</v>
      </c>
      <c r="M590" t="s">
        <v>31</v>
      </c>
      <c r="N590" t="s">
        <v>32</v>
      </c>
      <c r="O590" s="13">
        <v>46156</v>
      </c>
      <c r="P590" s="13">
        <v>46158</v>
      </c>
      <c r="Q590">
        <f t="shared" ca="1" si="45"/>
        <v>36</v>
      </c>
      <c r="R590">
        <f t="shared" si="46"/>
        <v>3</v>
      </c>
      <c r="S590">
        <f t="shared" ca="1" si="47"/>
        <v>-6</v>
      </c>
      <c r="T590" t="str">
        <f t="shared" ca="1" si="48"/>
        <v>On Track</v>
      </c>
      <c r="U590" t="str">
        <f t="shared" ca="1" si="49"/>
        <v>Normal</v>
      </c>
      <c r="V590" t="s">
        <v>33</v>
      </c>
    </row>
    <row r="591" spans="1:22">
      <c r="A591" t="s">
        <v>1653</v>
      </c>
      <c r="B591" t="s">
        <v>251</v>
      </c>
      <c r="C591" t="s">
        <v>1654</v>
      </c>
      <c r="D591" s="16">
        <v>2375.4499999999998</v>
      </c>
      <c r="E591" t="s">
        <v>156</v>
      </c>
      <c r="F591" t="s">
        <v>26</v>
      </c>
      <c r="G591" t="s">
        <v>1655</v>
      </c>
      <c r="H591" t="s">
        <v>157</v>
      </c>
      <c r="I591" t="s">
        <v>29</v>
      </c>
      <c r="J591" s="13">
        <v>46175</v>
      </c>
      <c r="K591" s="17" t="s">
        <v>30</v>
      </c>
      <c r="L591" s="13">
        <v>46190</v>
      </c>
      <c r="M591" t="s">
        <v>99</v>
      </c>
      <c r="N591" t="s">
        <v>32</v>
      </c>
      <c r="O591" s="13">
        <v>46183</v>
      </c>
      <c r="Q591">
        <f t="shared" ca="1" si="45"/>
        <v>14</v>
      </c>
      <c r="R591">
        <f t="shared" si="46"/>
        <v>8</v>
      </c>
      <c r="S591">
        <f t="shared" ca="1" si="47"/>
        <v>1</v>
      </c>
      <c r="T591" t="str">
        <f t="shared" ca="1" si="48"/>
        <v>On Track</v>
      </c>
      <c r="U591" t="str">
        <f t="shared" ca="1" si="49"/>
        <v>At Risk</v>
      </c>
    </row>
    <row r="592" spans="1:22">
      <c r="A592" t="s">
        <v>1656</v>
      </c>
      <c r="B592" t="s">
        <v>76</v>
      </c>
      <c r="C592" t="s">
        <v>1657</v>
      </c>
      <c r="D592" s="16">
        <v>675.78</v>
      </c>
      <c r="E592" t="s">
        <v>46</v>
      </c>
      <c r="F592" t="s">
        <v>38</v>
      </c>
      <c r="H592" t="s">
        <v>48</v>
      </c>
      <c r="I592" t="s">
        <v>29</v>
      </c>
      <c r="J592" s="13">
        <v>46155</v>
      </c>
      <c r="K592" s="17" t="s">
        <v>57</v>
      </c>
      <c r="L592" s="13">
        <v>46185</v>
      </c>
      <c r="M592" t="s">
        <v>31</v>
      </c>
      <c r="N592" t="s">
        <v>32</v>
      </c>
      <c r="O592" s="13">
        <v>46160</v>
      </c>
      <c r="P592" s="13">
        <v>46165</v>
      </c>
      <c r="Q592">
        <f t="shared" ca="1" si="45"/>
        <v>34</v>
      </c>
      <c r="R592">
        <f t="shared" si="46"/>
        <v>5</v>
      </c>
      <c r="S592">
        <f t="shared" ca="1" si="47"/>
        <v>-4</v>
      </c>
      <c r="T592" t="str">
        <f t="shared" ca="1" si="48"/>
        <v>On Track</v>
      </c>
      <c r="U592" t="str">
        <f t="shared" ca="1" si="49"/>
        <v>Normal</v>
      </c>
      <c r="V592" t="s">
        <v>33</v>
      </c>
    </row>
    <row r="593" spans="1:22">
      <c r="A593" t="s">
        <v>1658</v>
      </c>
      <c r="B593" t="s">
        <v>168</v>
      </c>
      <c r="C593" t="s">
        <v>1659</v>
      </c>
      <c r="D593" s="16">
        <v>2516.4</v>
      </c>
      <c r="E593" t="s">
        <v>25</v>
      </c>
      <c r="F593" t="s">
        <v>26</v>
      </c>
      <c r="G593" t="s">
        <v>1660</v>
      </c>
      <c r="H593" t="s">
        <v>28</v>
      </c>
      <c r="I593" t="s">
        <v>29</v>
      </c>
      <c r="J593" s="13">
        <v>46145</v>
      </c>
      <c r="K593" s="17" t="s">
        <v>49</v>
      </c>
      <c r="L593" s="13">
        <v>46190</v>
      </c>
      <c r="M593" t="s">
        <v>31</v>
      </c>
      <c r="N593" t="s">
        <v>32</v>
      </c>
      <c r="O593" s="13">
        <v>46148</v>
      </c>
      <c r="P593" s="13">
        <v>46153</v>
      </c>
      <c r="Q593">
        <f t="shared" ca="1" si="45"/>
        <v>44</v>
      </c>
      <c r="R593">
        <f t="shared" si="46"/>
        <v>3</v>
      </c>
      <c r="S593">
        <f t="shared" ca="1" si="47"/>
        <v>1</v>
      </c>
      <c r="T593" t="str">
        <f t="shared" ca="1" si="48"/>
        <v>On Track</v>
      </c>
      <c r="U593" t="str">
        <f t="shared" ca="1" si="49"/>
        <v>Normal</v>
      </c>
      <c r="V593" t="s">
        <v>33</v>
      </c>
    </row>
    <row r="594" spans="1:22">
      <c r="A594" t="s">
        <v>1661</v>
      </c>
      <c r="B594" t="s">
        <v>73</v>
      </c>
      <c r="C594" t="s">
        <v>1662</v>
      </c>
      <c r="D594" s="16">
        <v>2344.06</v>
      </c>
      <c r="E594" t="s">
        <v>46</v>
      </c>
      <c r="F594" t="s">
        <v>38</v>
      </c>
      <c r="H594" t="s">
        <v>48</v>
      </c>
      <c r="I594" t="s">
        <v>29</v>
      </c>
      <c r="J594" s="13">
        <v>46174</v>
      </c>
      <c r="K594" s="17" t="s">
        <v>40</v>
      </c>
      <c r="L594" s="13">
        <v>46204</v>
      </c>
      <c r="M594" t="s">
        <v>65</v>
      </c>
      <c r="N594" t="s">
        <v>32</v>
      </c>
      <c r="Q594">
        <f t="shared" ca="1" si="45"/>
        <v>15</v>
      </c>
      <c r="R594" t="str">
        <f t="shared" si="46"/>
        <v/>
      </c>
      <c r="S594">
        <f t="shared" ca="1" si="47"/>
        <v>15</v>
      </c>
      <c r="T594" t="str">
        <f t="shared" ca="1" si="48"/>
        <v>On Track</v>
      </c>
      <c r="U594" t="str">
        <f t="shared" ca="1" si="49"/>
        <v>Normal</v>
      </c>
    </row>
    <row r="595" spans="1:22">
      <c r="A595" t="s">
        <v>1663</v>
      </c>
      <c r="B595" t="s">
        <v>187</v>
      </c>
      <c r="C595" t="s">
        <v>1664</v>
      </c>
      <c r="D595" s="16">
        <v>3578.53</v>
      </c>
      <c r="E595" t="s">
        <v>62</v>
      </c>
      <c r="F595" t="s">
        <v>38</v>
      </c>
      <c r="H595" t="s">
        <v>64</v>
      </c>
      <c r="I595" t="s">
        <v>29</v>
      </c>
      <c r="J595" s="13">
        <v>46180</v>
      </c>
      <c r="K595" s="17" t="s">
        <v>57</v>
      </c>
      <c r="L595" s="13">
        <v>46210</v>
      </c>
      <c r="M595" t="s">
        <v>99</v>
      </c>
      <c r="N595" t="s">
        <v>100</v>
      </c>
      <c r="O595" s="13">
        <v>46189</v>
      </c>
      <c r="Q595">
        <f t="shared" ca="1" si="45"/>
        <v>9</v>
      </c>
      <c r="R595">
        <f t="shared" si="46"/>
        <v>9</v>
      </c>
      <c r="S595">
        <f t="shared" ca="1" si="47"/>
        <v>21</v>
      </c>
      <c r="T595" t="str">
        <f t="shared" ca="1" si="48"/>
        <v>On Track</v>
      </c>
      <c r="U595" t="str">
        <f t="shared" ca="1" si="49"/>
        <v>Normal</v>
      </c>
      <c r="V595" t="s">
        <v>101</v>
      </c>
    </row>
    <row r="596" spans="1:22">
      <c r="A596" t="s">
        <v>1665</v>
      </c>
      <c r="B596" t="s">
        <v>187</v>
      </c>
      <c r="C596" t="s">
        <v>1666</v>
      </c>
      <c r="D596" s="16">
        <v>1411</v>
      </c>
      <c r="E596" t="s">
        <v>55</v>
      </c>
      <c r="F596" t="s">
        <v>26</v>
      </c>
      <c r="G596" t="s">
        <v>1667</v>
      </c>
      <c r="H596" t="s">
        <v>56</v>
      </c>
      <c r="I596" t="s">
        <v>29</v>
      </c>
      <c r="J596" s="13">
        <v>46169</v>
      </c>
      <c r="K596" s="17" t="s">
        <v>30</v>
      </c>
      <c r="L596" s="13">
        <v>46184</v>
      </c>
      <c r="M596" t="s">
        <v>31</v>
      </c>
      <c r="N596" t="s">
        <v>32</v>
      </c>
      <c r="O596" s="13">
        <v>46173</v>
      </c>
      <c r="P596" s="13">
        <v>46180</v>
      </c>
      <c r="Q596">
        <f t="shared" ca="1" si="45"/>
        <v>20</v>
      </c>
      <c r="R596">
        <f t="shared" si="46"/>
        <v>4</v>
      </c>
      <c r="S596">
        <f t="shared" ca="1" si="47"/>
        <v>-5</v>
      </c>
      <c r="T596" t="str">
        <f t="shared" ca="1" si="48"/>
        <v>On Track</v>
      </c>
      <c r="U596" t="str">
        <f t="shared" ca="1" si="49"/>
        <v>Normal</v>
      </c>
      <c r="V596" t="s">
        <v>33</v>
      </c>
    </row>
    <row r="597" spans="1:22">
      <c r="A597" t="s">
        <v>1668</v>
      </c>
      <c r="B597" t="s">
        <v>151</v>
      </c>
      <c r="C597" t="s">
        <v>1669</v>
      </c>
      <c r="D597" s="16">
        <v>17754.25</v>
      </c>
      <c r="E597" t="s">
        <v>111</v>
      </c>
      <c r="F597" t="s">
        <v>26</v>
      </c>
      <c r="G597" t="s">
        <v>1670</v>
      </c>
      <c r="H597" t="s">
        <v>122</v>
      </c>
      <c r="I597" t="s">
        <v>92</v>
      </c>
      <c r="J597" s="13">
        <v>46171</v>
      </c>
      <c r="K597" s="17" t="s">
        <v>49</v>
      </c>
      <c r="L597" s="13">
        <v>46216</v>
      </c>
      <c r="M597" t="s">
        <v>41</v>
      </c>
      <c r="N597" t="s">
        <v>179</v>
      </c>
      <c r="Q597">
        <f t="shared" ca="1" si="45"/>
        <v>18</v>
      </c>
      <c r="R597" t="str">
        <f t="shared" si="46"/>
        <v/>
      </c>
      <c r="S597">
        <f t="shared" ca="1" si="47"/>
        <v>27</v>
      </c>
      <c r="T597" t="str">
        <f t="shared" ca="1" si="48"/>
        <v>Overdue</v>
      </c>
      <c r="U597" t="str">
        <f t="shared" ca="1" si="49"/>
        <v>Normal</v>
      </c>
      <c r="V597" t="s">
        <v>180</v>
      </c>
    </row>
    <row r="598" spans="1:22">
      <c r="A598" t="s">
        <v>1671</v>
      </c>
      <c r="B598" t="s">
        <v>103</v>
      </c>
      <c r="C598" t="s">
        <v>1672</v>
      </c>
      <c r="D598" s="16">
        <v>2276.7600000000002</v>
      </c>
      <c r="E598" t="s">
        <v>78</v>
      </c>
      <c r="F598" t="s">
        <v>26</v>
      </c>
      <c r="G598" t="s">
        <v>1673</v>
      </c>
      <c r="H598" t="s">
        <v>80</v>
      </c>
      <c r="I598" t="s">
        <v>29</v>
      </c>
      <c r="J598" s="13">
        <v>46180</v>
      </c>
      <c r="K598" s="17" t="s">
        <v>40</v>
      </c>
      <c r="L598" s="13">
        <v>46210</v>
      </c>
      <c r="M598" t="s">
        <v>41</v>
      </c>
      <c r="N598" t="s">
        <v>32</v>
      </c>
      <c r="Q598">
        <f t="shared" ca="1" si="45"/>
        <v>9</v>
      </c>
      <c r="R598" t="str">
        <f t="shared" si="46"/>
        <v/>
      </c>
      <c r="S598">
        <f t="shared" ca="1" si="47"/>
        <v>21</v>
      </c>
      <c r="T598" t="str">
        <f t="shared" ca="1" si="48"/>
        <v>Overdue</v>
      </c>
      <c r="U598" t="str">
        <f t="shared" ca="1" si="49"/>
        <v>Normal</v>
      </c>
      <c r="V598" t="s">
        <v>42</v>
      </c>
    </row>
    <row r="599" spans="1:22">
      <c r="A599" t="s">
        <v>1674</v>
      </c>
      <c r="B599" t="s">
        <v>271</v>
      </c>
      <c r="C599" t="s">
        <v>1675</v>
      </c>
      <c r="D599" s="16">
        <v>672.91</v>
      </c>
      <c r="E599" t="s">
        <v>55</v>
      </c>
      <c r="F599" t="s">
        <v>26</v>
      </c>
      <c r="G599" t="s">
        <v>1676</v>
      </c>
      <c r="H599" t="s">
        <v>56</v>
      </c>
      <c r="I599" t="s">
        <v>29</v>
      </c>
      <c r="J599" s="13">
        <v>46187</v>
      </c>
      <c r="K599" s="17" t="s">
        <v>57</v>
      </c>
      <c r="L599" s="13">
        <v>46217</v>
      </c>
      <c r="M599" t="s">
        <v>99</v>
      </c>
      <c r="N599" t="s">
        <v>32</v>
      </c>
      <c r="O599" s="13">
        <v>46189</v>
      </c>
      <c r="Q599">
        <f t="shared" ca="1" si="45"/>
        <v>2</v>
      </c>
      <c r="R599">
        <f t="shared" si="46"/>
        <v>2</v>
      </c>
      <c r="S599">
        <f t="shared" ca="1" si="47"/>
        <v>28</v>
      </c>
      <c r="T599" t="str">
        <f t="shared" ca="1" si="48"/>
        <v>On Track</v>
      </c>
      <c r="U599" t="str">
        <f t="shared" ca="1" si="49"/>
        <v>Normal</v>
      </c>
    </row>
    <row r="600" spans="1:22">
      <c r="A600" t="s">
        <v>1677</v>
      </c>
      <c r="B600" t="s">
        <v>23</v>
      </c>
      <c r="C600" t="s">
        <v>1678</v>
      </c>
      <c r="D600" s="16">
        <v>1572.7</v>
      </c>
      <c r="E600" t="s">
        <v>111</v>
      </c>
      <c r="F600" t="s">
        <v>26</v>
      </c>
      <c r="G600" t="s">
        <v>1679</v>
      </c>
      <c r="H600" t="s">
        <v>113</v>
      </c>
      <c r="I600" t="s">
        <v>29</v>
      </c>
      <c r="J600" s="13">
        <v>46174</v>
      </c>
      <c r="K600" s="17" t="s">
        <v>49</v>
      </c>
      <c r="L600" s="13">
        <v>46219</v>
      </c>
      <c r="M600" t="s">
        <v>41</v>
      </c>
      <c r="N600" t="s">
        <v>32</v>
      </c>
      <c r="Q600">
        <f t="shared" ca="1" si="45"/>
        <v>15</v>
      </c>
      <c r="R600" t="str">
        <f t="shared" si="46"/>
        <v/>
      </c>
      <c r="S600">
        <f t="shared" ca="1" si="47"/>
        <v>30</v>
      </c>
      <c r="T600" t="str">
        <f t="shared" ca="1" si="48"/>
        <v>Overdue</v>
      </c>
      <c r="U600" t="str">
        <f t="shared" ca="1" si="49"/>
        <v>Normal</v>
      </c>
      <c r="V600" t="s">
        <v>42</v>
      </c>
    </row>
    <row r="601" spans="1:22">
      <c r="A601" t="s">
        <v>1680</v>
      </c>
      <c r="B601" t="s">
        <v>129</v>
      </c>
      <c r="C601" t="s">
        <v>1681</v>
      </c>
      <c r="D601" s="16">
        <v>2836.84</v>
      </c>
      <c r="E601" t="s">
        <v>78</v>
      </c>
      <c r="F601" t="s">
        <v>26</v>
      </c>
      <c r="G601" t="s">
        <v>1682</v>
      </c>
      <c r="H601" t="s">
        <v>80</v>
      </c>
      <c r="I601" t="s">
        <v>29</v>
      </c>
      <c r="J601" s="13">
        <v>46176</v>
      </c>
      <c r="K601" s="17" t="s">
        <v>30</v>
      </c>
      <c r="L601" s="13">
        <v>46191</v>
      </c>
      <c r="M601" t="s">
        <v>31</v>
      </c>
      <c r="N601" t="s">
        <v>32</v>
      </c>
      <c r="O601" s="13">
        <v>46183</v>
      </c>
      <c r="P601" s="13">
        <v>46189</v>
      </c>
      <c r="Q601">
        <f t="shared" ca="1" si="45"/>
        <v>13</v>
      </c>
      <c r="R601">
        <f t="shared" si="46"/>
        <v>7</v>
      </c>
      <c r="S601">
        <f t="shared" ca="1" si="47"/>
        <v>2</v>
      </c>
      <c r="T601" t="str">
        <f t="shared" ca="1" si="48"/>
        <v>On Track</v>
      </c>
      <c r="U601" t="str">
        <f t="shared" ca="1" si="49"/>
        <v>Normal</v>
      </c>
      <c r="V601" t="s">
        <v>33</v>
      </c>
    </row>
    <row r="602" spans="1:22">
      <c r="A602" t="s">
        <v>1683</v>
      </c>
      <c r="B602" t="s">
        <v>115</v>
      </c>
      <c r="C602" t="s">
        <v>1684</v>
      </c>
      <c r="D602" s="16">
        <v>2914.33</v>
      </c>
      <c r="E602" t="s">
        <v>156</v>
      </c>
      <c r="F602" t="s">
        <v>38</v>
      </c>
      <c r="H602" t="s">
        <v>157</v>
      </c>
      <c r="I602" t="s">
        <v>29</v>
      </c>
      <c r="J602" s="13">
        <v>46145</v>
      </c>
      <c r="K602" s="17" t="s">
        <v>30</v>
      </c>
      <c r="L602" s="13">
        <v>46160</v>
      </c>
      <c r="M602" t="s">
        <v>31</v>
      </c>
      <c r="N602" t="s">
        <v>32</v>
      </c>
      <c r="O602" s="13">
        <v>46152</v>
      </c>
      <c r="P602" s="13">
        <v>46156</v>
      </c>
      <c r="Q602">
        <f t="shared" ca="1" si="45"/>
        <v>44</v>
      </c>
      <c r="R602">
        <f t="shared" si="46"/>
        <v>7</v>
      </c>
      <c r="S602">
        <f t="shared" ca="1" si="47"/>
        <v>-29</v>
      </c>
      <c r="T602" t="str">
        <f t="shared" ca="1" si="48"/>
        <v>On Track</v>
      </c>
      <c r="U602" t="str">
        <f t="shared" ca="1" si="49"/>
        <v>Normal</v>
      </c>
      <c r="V602" t="s">
        <v>33</v>
      </c>
    </row>
    <row r="603" spans="1:22">
      <c r="A603" t="s">
        <v>1685</v>
      </c>
      <c r="B603" t="s">
        <v>151</v>
      </c>
      <c r="C603" t="s">
        <v>1686</v>
      </c>
      <c r="D603" s="16">
        <v>2320.2399999999998</v>
      </c>
      <c r="E603" t="s">
        <v>142</v>
      </c>
      <c r="F603" t="s">
        <v>38</v>
      </c>
      <c r="H603" t="s">
        <v>335</v>
      </c>
      <c r="I603" t="s">
        <v>29</v>
      </c>
      <c r="J603" s="13">
        <v>46183</v>
      </c>
      <c r="K603" s="17" t="s">
        <v>49</v>
      </c>
      <c r="L603" s="13">
        <v>46228</v>
      </c>
      <c r="M603" t="s">
        <v>41</v>
      </c>
      <c r="N603" t="s">
        <v>32</v>
      </c>
      <c r="Q603">
        <f t="shared" ca="1" si="45"/>
        <v>6</v>
      </c>
      <c r="R603" t="str">
        <f t="shared" si="46"/>
        <v/>
      </c>
      <c r="S603">
        <f t="shared" ca="1" si="47"/>
        <v>39</v>
      </c>
      <c r="T603" t="str">
        <f t="shared" ca="1" si="48"/>
        <v>Overdue</v>
      </c>
      <c r="U603" t="str">
        <f t="shared" ca="1" si="49"/>
        <v>Normal</v>
      </c>
      <c r="V603" t="s">
        <v>42</v>
      </c>
    </row>
    <row r="604" spans="1:22">
      <c r="A604" t="s">
        <v>1687</v>
      </c>
      <c r="B604" t="s">
        <v>187</v>
      </c>
      <c r="C604" t="s">
        <v>1688</v>
      </c>
      <c r="D604" s="16">
        <v>7073.45</v>
      </c>
      <c r="E604" t="s">
        <v>156</v>
      </c>
      <c r="F604" t="s">
        <v>26</v>
      </c>
      <c r="G604" t="s">
        <v>1689</v>
      </c>
      <c r="H604" t="s">
        <v>394</v>
      </c>
      <c r="I604" t="s">
        <v>92</v>
      </c>
      <c r="J604" s="13">
        <v>46169</v>
      </c>
      <c r="K604" s="17" t="s">
        <v>30</v>
      </c>
      <c r="L604" s="13">
        <v>46184</v>
      </c>
      <c r="M604" t="s">
        <v>31</v>
      </c>
      <c r="N604" t="s">
        <v>32</v>
      </c>
      <c r="O604" s="13">
        <v>46177</v>
      </c>
      <c r="P604" s="13">
        <v>46181</v>
      </c>
      <c r="Q604">
        <f t="shared" ca="1" si="45"/>
        <v>20</v>
      </c>
      <c r="R604">
        <f t="shared" si="46"/>
        <v>8</v>
      </c>
      <c r="S604">
        <f t="shared" ca="1" si="47"/>
        <v>-5</v>
      </c>
      <c r="T604" t="str">
        <f t="shared" ca="1" si="48"/>
        <v>On Track</v>
      </c>
      <c r="U604" t="str">
        <f t="shared" ca="1" si="49"/>
        <v>Normal</v>
      </c>
      <c r="V604" t="s">
        <v>33</v>
      </c>
    </row>
    <row r="605" spans="1:22">
      <c r="A605" t="s">
        <v>1690</v>
      </c>
      <c r="B605" t="s">
        <v>76</v>
      </c>
      <c r="C605" t="s">
        <v>1691</v>
      </c>
      <c r="D605" s="16">
        <v>10904.6</v>
      </c>
      <c r="E605" t="s">
        <v>37</v>
      </c>
      <c r="F605" t="s">
        <v>38</v>
      </c>
      <c r="H605" t="s">
        <v>815</v>
      </c>
      <c r="I605" t="s">
        <v>92</v>
      </c>
      <c r="J605" s="13">
        <v>46183</v>
      </c>
      <c r="K605" s="17" t="s">
        <v>49</v>
      </c>
      <c r="L605" s="13">
        <v>46228</v>
      </c>
      <c r="M605" t="s">
        <v>41</v>
      </c>
      <c r="N605" t="s">
        <v>32</v>
      </c>
      <c r="Q605">
        <f t="shared" ca="1" si="45"/>
        <v>6</v>
      </c>
      <c r="R605" t="str">
        <f t="shared" si="46"/>
        <v/>
      </c>
      <c r="S605">
        <f t="shared" ca="1" si="47"/>
        <v>39</v>
      </c>
      <c r="T605" t="str">
        <f t="shared" ca="1" si="48"/>
        <v>Overdue</v>
      </c>
      <c r="U605" t="str">
        <f t="shared" ca="1" si="49"/>
        <v>Normal</v>
      </c>
      <c r="V605" t="s">
        <v>42</v>
      </c>
    </row>
    <row r="606" spans="1:22">
      <c r="A606" t="s">
        <v>1692</v>
      </c>
      <c r="B606" t="s">
        <v>94</v>
      </c>
      <c r="C606" t="s">
        <v>1693</v>
      </c>
      <c r="D606" s="16">
        <v>322.27999999999997</v>
      </c>
      <c r="E606" t="s">
        <v>126</v>
      </c>
      <c r="F606" t="s">
        <v>38</v>
      </c>
      <c r="H606" t="s">
        <v>241</v>
      </c>
      <c r="I606" t="s">
        <v>29</v>
      </c>
      <c r="J606" s="13">
        <v>46145</v>
      </c>
      <c r="K606" s="17" t="s">
        <v>57</v>
      </c>
      <c r="L606" s="13">
        <v>46175</v>
      </c>
      <c r="M606" t="s">
        <v>31</v>
      </c>
      <c r="N606" t="s">
        <v>58</v>
      </c>
      <c r="O606" s="13">
        <v>46160</v>
      </c>
      <c r="P606" s="13">
        <v>46164</v>
      </c>
      <c r="Q606">
        <f t="shared" ca="1" si="45"/>
        <v>44</v>
      </c>
      <c r="R606">
        <f t="shared" si="46"/>
        <v>15</v>
      </c>
      <c r="S606">
        <f t="shared" ca="1" si="47"/>
        <v>-14</v>
      </c>
      <c r="T606" t="str">
        <f t="shared" ca="1" si="48"/>
        <v>On Track</v>
      </c>
      <c r="U606" t="str">
        <f t="shared" ca="1" si="49"/>
        <v>Normal</v>
      </c>
      <c r="V606" t="s">
        <v>59</v>
      </c>
    </row>
    <row r="607" spans="1:22">
      <c r="A607" t="s">
        <v>1694</v>
      </c>
      <c r="B607" t="s">
        <v>251</v>
      </c>
      <c r="C607" t="s">
        <v>1695</v>
      </c>
      <c r="D607" s="16">
        <v>1005.78</v>
      </c>
      <c r="E607" t="s">
        <v>55</v>
      </c>
      <c r="F607" t="s">
        <v>26</v>
      </c>
      <c r="G607" t="s">
        <v>1696</v>
      </c>
      <c r="H607" t="s">
        <v>56</v>
      </c>
      <c r="I607" t="s">
        <v>29</v>
      </c>
      <c r="J607" s="13">
        <v>46172</v>
      </c>
      <c r="K607" s="17" t="s">
        <v>40</v>
      </c>
      <c r="L607" s="13">
        <v>46202</v>
      </c>
      <c r="M607" t="s">
        <v>41</v>
      </c>
      <c r="N607" t="s">
        <v>32</v>
      </c>
      <c r="Q607">
        <f t="shared" ca="1" si="45"/>
        <v>17</v>
      </c>
      <c r="R607" t="str">
        <f t="shared" si="46"/>
        <v/>
      </c>
      <c r="S607">
        <f t="shared" ca="1" si="47"/>
        <v>13</v>
      </c>
      <c r="T607" t="str">
        <f t="shared" ca="1" si="48"/>
        <v>Overdue</v>
      </c>
      <c r="U607" t="str">
        <f t="shared" ca="1" si="49"/>
        <v>Normal</v>
      </c>
      <c r="V607" t="s">
        <v>42</v>
      </c>
    </row>
    <row r="608" spans="1:22">
      <c r="A608" t="s">
        <v>1697</v>
      </c>
      <c r="B608" t="s">
        <v>151</v>
      </c>
      <c r="C608" t="s">
        <v>1698</v>
      </c>
      <c r="D608" s="16">
        <v>12638.8</v>
      </c>
      <c r="E608" t="s">
        <v>37</v>
      </c>
      <c r="F608" t="s">
        <v>26</v>
      </c>
      <c r="G608" t="s">
        <v>1699</v>
      </c>
      <c r="H608" t="s">
        <v>815</v>
      </c>
      <c r="I608" t="s">
        <v>92</v>
      </c>
      <c r="J608" s="13">
        <v>46184</v>
      </c>
      <c r="K608" s="17" t="s">
        <v>40</v>
      </c>
      <c r="L608" s="13">
        <v>46214</v>
      </c>
      <c r="M608" t="s">
        <v>65</v>
      </c>
      <c r="N608" t="s">
        <v>100</v>
      </c>
      <c r="Q608">
        <f t="shared" ca="1" si="45"/>
        <v>5</v>
      </c>
      <c r="R608" t="str">
        <f t="shared" si="46"/>
        <v/>
      </c>
      <c r="S608">
        <f t="shared" ca="1" si="47"/>
        <v>25</v>
      </c>
      <c r="T608" t="str">
        <f t="shared" ca="1" si="48"/>
        <v>On Track</v>
      </c>
      <c r="U608" t="str">
        <f t="shared" ca="1" si="49"/>
        <v>Normal</v>
      </c>
      <c r="V608" t="s">
        <v>101</v>
      </c>
    </row>
    <row r="609" spans="1:22">
      <c r="A609" t="s">
        <v>1700</v>
      </c>
      <c r="B609" t="s">
        <v>67</v>
      </c>
      <c r="C609" t="s">
        <v>1701</v>
      </c>
      <c r="D609" s="16">
        <v>2068.5500000000002</v>
      </c>
      <c r="E609" t="s">
        <v>156</v>
      </c>
      <c r="F609" t="s">
        <v>26</v>
      </c>
      <c r="G609" t="s">
        <v>1702</v>
      </c>
      <c r="H609" t="s">
        <v>157</v>
      </c>
      <c r="I609" t="s">
        <v>29</v>
      </c>
      <c r="J609" s="13">
        <v>46183</v>
      </c>
      <c r="K609" s="17" t="s">
        <v>40</v>
      </c>
      <c r="L609" s="13">
        <v>46213</v>
      </c>
      <c r="M609" t="s">
        <v>65</v>
      </c>
      <c r="N609" t="s">
        <v>32</v>
      </c>
      <c r="Q609">
        <f t="shared" ca="1" si="45"/>
        <v>6</v>
      </c>
      <c r="R609" t="str">
        <f t="shared" si="46"/>
        <v/>
      </c>
      <c r="S609">
        <f t="shared" ca="1" si="47"/>
        <v>24</v>
      </c>
      <c r="T609" t="str">
        <f t="shared" ca="1" si="48"/>
        <v>On Track</v>
      </c>
      <c r="U609" t="str">
        <f t="shared" ca="1" si="49"/>
        <v>Normal</v>
      </c>
    </row>
    <row r="610" spans="1:22">
      <c r="A610" t="s">
        <v>1703</v>
      </c>
      <c r="B610" t="s">
        <v>115</v>
      </c>
      <c r="C610" t="s">
        <v>1704</v>
      </c>
      <c r="D610" s="16">
        <v>1468.71</v>
      </c>
      <c r="E610" t="s">
        <v>142</v>
      </c>
      <c r="F610" t="s">
        <v>38</v>
      </c>
      <c r="H610" t="s">
        <v>335</v>
      </c>
      <c r="I610" t="s">
        <v>29</v>
      </c>
      <c r="J610" s="13">
        <v>46174</v>
      </c>
      <c r="K610" s="17" t="s">
        <v>30</v>
      </c>
      <c r="L610" s="13">
        <v>46189</v>
      </c>
      <c r="M610" t="s">
        <v>41</v>
      </c>
      <c r="N610" t="s">
        <v>32</v>
      </c>
      <c r="Q610">
        <f t="shared" ca="1" si="45"/>
        <v>15</v>
      </c>
      <c r="R610" t="str">
        <f t="shared" si="46"/>
        <v/>
      </c>
      <c r="S610">
        <f t="shared" ca="1" si="47"/>
        <v>0</v>
      </c>
      <c r="T610" t="str">
        <f t="shared" ca="1" si="48"/>
        <v>Overdue</v>
      </c>
      <c r="U610" t="str">
        <f t="shared" ca="1" si="49"/>
        <v>At Risk</v>
      </c>
      <c r="V610" t="s">
        <v>42</v>
      </c>
    </row>
    <row r="611" spans="1:22">
      <c r="A611" t="s">
        <v>1705</v>
      </c>
      <c r="B611" t="s">
        <v>271</v>
      </c>
      <c r="C611" t="s">
        <v>1706</v>
      </c>
      <c r="D611" s="16">
        <v>14150.19</v>
      </c>
      <c r="E611" t="s">
        <v>156</v>
      </c>
      <c r="F611" t="s">
        <v>26</v>
      </c>
      <c r="G611" t="s">
        <v>1707</v>
      </c>
      <c r="H611" t="s">
        <v>394</v>
      </c>
      <c r="I611" t="s">
        <v>92</v>
      </c>
      <c r="J611" s="13">
        <v>46158</v>
      </c>
      <c r="K611" s="17" t="s">
        <v>49</v>
      </c>
      <c r="L611" s="13">
        <v>46203</v>
      </c>
      <c r="M611" t="s">
        <v>145</v>
      </c>
      <c r="N611" t="s">
        <v>213</v>
      </c>
      <c r="O611" s="13">
        <v>46170</v>
      </c>
      <c r="Q611">
        <f t="shared" ca="1" si="45"/>
        <v>31</v>
      </c>
      <c r="R611">
        <f t="shared" si="46"/>
        <v>12</v>
      </c>
      <c r="S611">
        <f t="shared" ca="1" si="47"/>
        <v>14</v>
      </c>
      <c r="T611" t="str">
        <f t="shared" ca="1" si="48"/>
        <v>On Track</v>
      </c>
      <c r="U611" t="str">
        <f t="shared" ca="1" si="49"/>
        <v>Normal</v>
      </c>
      <c r="V611" t="s">
        <v>214</v>
      </c>
    </row>
    <row r="612" spans="1:22">
      <c r="A612" t="s">
        <v>1708</v>
      </c>
      <c r="B612" t="s">
        <v>109</v>
      </c>
      <c r="C612" t="s">
        <v>1709</v>
      </c>
      <c r="D612" s="16">
        <v>83399.11</v>
      </c>
      <c r="E612" t="s">
        <v>55</v>
      </c>
      <c r="F612" t="s">
        <v>38</v>
      </c>
      <c r="H612" t="s">
        <v>121</v>
      </c>
      <c r="I612" t="s">
        <v>122</v>
      </c>
      <c r="J612" s="13">
        <v>46167</v>
      </c>
      <c r="K612" s="17" t="s">
        <v>40</v>
      </c>
      <c r="L612" s="13">
        <v>46197</v>
      </c>
      <c r="M612" t="s">
        <v>31</v>
      </c>
      <c r="N612" t="s">
        <v>58</v>
      </c>
      <c r="O612" s="13">
        <v>46181</v>
      </c>
      <c r="P612" s="13">
        <v>46182</v>
      </c>
      <c r="Q612">
        <f t="shared" ca="1" si="45"/>
        <v>22</v>
      </c>
      <c r="R612">
        <f t="shared" si="46"/>
        <v>14</v>
      </c>
      <c r="S612">
        <f t="shared" ca="1" si="47"/>
        <v>8</v>
      </c>
      <c r="T612" t="str">
        <f t="shared" ca="1" si="48"/>
        <v>On Track</v>
      </c>
      <c r="U612" t="str">
        <f t="shared" ca="1" si="49"/>
        <v>Normal</v>
      </c>
      <c r="V612" t="s">
        <v>59</v>
      </c>
    </row>
    <row r="613" spans="1:22">
      <c r="A613" t="s">
        <v>1710</v>
      </c>
      <c r="B613" t="s">
        <v>251</v>
      </c>
      <c r="C613" t="s">
        <v>1711</v>
      </c>
      <c r="D613" s="16">
        <v>961.23</v>
      </c>
      <c r="E613" t="s">
        <v>46</v>
      </c>
      <c r="F613" t="s">
        <v>26</v>
      </c>
      <c r="G613" t="s">
        <v>1712</v>
      </c>
      <c r="H613" t="s">
        <v>48</v>
      </c>
      <c r="I613" t="s">
        <v>29</v>
      </c>
      <c r="J613" s="13">
        <v>46170</v>
      </c>
      <c r="K613" s="17" t="s">
        <v>40</v>
      </c>
      <c r="L613" s="13">
        <v>46200</v>
      </c>
      <c r="M613" t="s">
        <v>145</v>
      </c>
      <c r="N613" t="s">
        <v>32</v>
      </c>
      <c r="O613" s="13">
        <v>46174</v>
      </c>
      <c r="Q613">
        <f t="shared" ca="1" si="45"/>
        <v>19</v>
      </c>
      <c r="R613">
        <f t="shared" si="46"/>
        <v>4</v>
      </c>
      <c r="S613">
        <f t="shared" ca="1" si="47"/>
        <v>11</v>
      </c>
      <c r="T613" t="str">
        <f t="shared" ca="1" si="48"/>
        <v>On Track</v>
      </c>
      <c r="U613" t="str">
        <f t="shared" ca="1" si="49"/>
        <v>Normal</v>
      </c>
    </row>
    <row r="614" spans="1:22">
      <c r="A614" t="s">
        <v>1713</v>
      </c>
      <c r="B614" t="s">
        <v>103</v>
      </c>
      <c r="C614" t="s">
        <v>1714</v>
      </c>
      <c r="D614" s="16">
        <v>971.65</v>
      </c>
      <c r="E614" t="s">
        <v>156</v>
      </c>
      <c r="F614" t="s">
        <v>38</v>
      </c>
      <c r="H614" t="s">
        <v>157</v>
      </c>
      <c r="I614" t="s">
        <v>29</v>
      </c>
      <c r="J614" s="13">
        <v>46176</v>
      </c>
      <c r="K614" s="17" t="s">
        <v>30</v>
      </c>
      <c r="L614" s="13">
        <v>46191</v>
      </c>
      <c r="M614" t="s">
        <v>41</v>
      </c>
      <c r="N614" t="s">
        <v>58</v>
      </c>
      <c r="Q614">
        <f t="shared" ca="1" si="45"/>
        <v>13</v>
      </c>
      <c r="R614" t="str">
        <f t="shared" si="46"/>
        <v/>
      </c>
      <c r="S614">
        <f t="shared" ca="1" si="47"/>
        <v>2</v>
      </c>
      <c r="T614" t="str">
        <f t="shared" ca="1" si="48"/>
        <v>Overdue</v>
      </c>
      <c r="U614" t="str">
        <f t="shared" ca="1" si="49"/>
        <v>At Risk</v>
      </c>
      <c r="V614" t="s">
        <v>59</v>
      </c>
    </row>
    <row r="615" spans="1:22">
      <c r="A615" t="s">
        <v>1715</v>
      </c>
      <c r="B615" t="s">
        <v>67</v>
      </c>
      <c r="C615" t="s">
        <v>1716</v>
      </c>
      <c r="D615" s="16">
        <v>4771.17</v>
      </c>
      <c r="E615" t="s">
        <v>126</v>
      </c>
      <c r="F615" t="s">
        <v>38</v>
      </c>
      <c r="H615" t="s">
        <v>241</v>
      </c>
      <c r="I615" t="s">
        <v>29</v>
      </c>
      <c r="J615" s="13">
        <v>46146</v>
      </c>
      <c r="K615" s="17" t="s">
        <v>49</v>
      </c>
      <c r="L615" s="13">
        <v>46191</v>
      </c>
      <c r="M615" t="s">
        <v>99</v>
      </c>
      <c r="N615" t="s">
        <v>179</v>
      </c>
      <c r="O615" s="13">
        <v>46158</v>
      </c>
      <c r="Q615">
        <f t="shared" ca="1" si="45"/>
        <v>43</v>
      </c>
      <c r="R615">
        <f t="shared" si="46"/>
        <v>12</v>
      </c>
      <c r="S615">
        <f t="shared" ca="1" si="47"/>
        <v>2</v>
      </c>
      <c r="T615" t="str">
        <f t="shared" ca="1" si="48"/>
        <v>On Track</v>
      </c>
      <c r="U615" t="str">
        <f t="shared" ca="1" si="49"/>
        <v>At Risk</v>
      </c>
      <c r="V615" t="s">
        <v>180</v>
      </c>
    </row>
    <row r="616" spans="1:22">
      <c r="A616" t="s">
        <v>1717</v>
      </c>
      <c r="B616" t="s">
        <v>53</v>
      </c>
      <c r="C616" t="s">
        <v>1718</v>
      </c>
      <c r="D616" s="16">
        <v>16888.29</v>
      </c>
      <c r="E616" t="s">
        <v>25</v>
      </c>
      <c r="F616" t="s">
        <v>38</v>
      </c>
      <c r="H616" t="s">
        <v>149</v>
      </c>
      <c r="I616" t="s">
        <v>92</v>
      </c>
      <c r="J616" s="13">
        <v>46150</v>
      </c>
      <c r="K616" s="17" t="s">
        <v>30</v>
      </c>
      <c r="L616" s="13">
        <v>46165</v>
      </c>
      <c r="M616" t="s">
        <v>31</v>
      </c>
      <c r="N616" t="s">
        <v>58</v>
      </c>
      <c r="O616" s="13">
        <v>46174</v>
      </c>
      <c r="P616" s="13">
        <v>46180</v>
      </c>
      <c r="Q616">
        <f t="shared" ca="1" si="45"/>
        <v>39</v>
      </c>
      <c r="R616">
        <f t="shared" si="46"/>
        <v>24</v>
      </c>
      <c r="S616">
        <f t="shared" ca="1" si="47"/>
        <v>-24</v>
      </c>
      <c r="T616" t="str">
        <f t="shared" ca="1" si="48"/>
        <v>On Track</v>
      </c>
      <c r="U616" t="str">
        <f t="shared" ca="1" si="49"/>
        <v>Normal</v>
      </c>
      <c r="V616" t="s">
        <v>59</v>
      </c>
    </row>
    <row r="617" spans="1:22">
      <c r="A617" t="s">
        <v>1719</v>
      </c>
      <c r="B617" t="s">
        <v>35</v>
      </c>
      <c r="C617" t="s">
        <v>1720</v>
      </c>
      <c r="D617" s="16">
        <v>6936.24</v>
      </c>
      <c r="E617" t="s">
        <v>62</v>
      </c>
      <c r="F617" t="s">
        <v>38</v>
      </c>
      <c r="H617" t="s">
        <v>106</v>
      </c>
      <c r="I617" t="s">
        <v>92</v>
      </c>
      <c r="J617" s="13">
        <v>46165</v>
      </c>
      <c r="K617" s="17" t="s">
        <v>57</v>
      </c>
      <c r="L617" s="13">
        <v>46195</v>
      </c>
      <c r="M617" t="s">
        <v>31</v>
      </c>
      <c r="N617" t="s">
        <v>32</v>
      </c>
      <c r="O617" s="13">
        <v>46178</v>
      </c>
      <c r="P617" s="13">
        <v>46185</v>
      </c>
      <c r="Q617">
        <f t="shared" ca="1" si="45"/>
        <v>24</v>
      </c>
      <c r="R617">
        <f t="shared" si="46"/>
        <v>13</v>
      </c>
      <c r="S617">
        <f t="shared" ca="1" si="47"/>
        <v>6</v>
      </c>
      <c r="T617" t="str">
        <f t="shared" ca="1" si="48"/>
        <v>On Track</v>
      </c>
      <c r="U617" t="str">
        <f t="shared" ca="1" si="49"/>
        <v>Normal</v>
      </c>
      <c r="V617" t="s">
        <v>33</v>
      </c>
    </row>
    <row r="618" spans="1:22">
      <c r="A618" t="s">
        <v>1721</v>
      </c>
      <c r="B618" t="s">
        <v>73</v>
      </c>
      <c r="C618" t="s">
        <v>1722</v>
      </c>
      <c r="D618" s="16">
        <v>637.80999999999995</v>
      </c>
      <c r="E618" t="s">
        <v>156</v>
      </c>
      <c r="F618" t="s">
        <v>26</v>
      </c>
      <c r="G618" t="s">
        <v>1723</v>
      </c>
      <c r="H618" t="s">
        <v>157</v>
      </c>
      <c r="I618" t="s">
        <v>29</v>
      </c>
      <c r="J618" s="13">
        <v>46170</v>
      </c>
      <c r="K618" s="17" t="s">
        <v>49</v>
      </c>
      <c r="L618" s="13">
        <v>46215</v>
      </c>
      <c r="M618" t="s">
        <v>31</v>
      </c>
      <c r="N618" t="s">
        <v>32</v>
      </c>
      <c r="O618" s="13">
        <v>46174</v>
      </c>
      <c r="P618" s="13">
        <v>46220</v>
      </c>
      <c r="Q618">
        <f t="shared" ca="1" si="45"/>
        <v>19</v>
      </c>
      <c r="R618">
        <f t="shared" si="46"/>
        <v>4</v>
      </c>
      <c r="S618">
        <f t="shared" ca="1" si="47"/>
        <v>26</v>
      </c>
      <c r="T618" t="str">
        <f t="shared" ca="1" si="48"/>
        <v>On Track</v>
      </c>
      <c r="U618" t="str">
        <f t="shared" ca="1" si="49"/>
        <v>Normal</v>
      </c>
      <c r="V618" t="s">
        <v>107</v>
      </c>
    </row>
    <row r="619" spans="1:22">
      <c r="A619" t="s">
        <v>1724</v>
      </c>
      <c r="B619" t="s">
        <v>168</v>
      </c>
      <c r="C619" t="s">
        <v>1725</v>
      </c>
      <c r="D619" s="16">
        <v>2201.14</v>
      </c>
      <c r="E619" t="s">
        <v>126</v>
      </c>
      <c r="F619" t="s">
        <v>38</v>
      </c>
      <c r="H619" t="s">
        <v>241</v>
      </c>
      <c r="I619" t="s">
        <v>29</v>
      </c>
      <c r="J619" s="13">
        <v>46173</v>
      </c>
      <c r="K619" s="17" t="s">
        <v>49</v>
      </c>
      <c r="L619" s="13">
        <v>46218</v>
      </c>
      <c r="M619" t="s">
        <v>99</v>
      </c>
      <c r="N619" t="s">
        <v>100</v>
      </c>
      <c r="O619" s="13">
        <v>46189</v>
      </c>
      <c r="Q619">
        <f t="shared" ca="1" si="45"/>
        <v>16</v>
      </c>
      <c r="R619">
        <f t="shared" si="46"/>
        <v>16</v>
      </c>
      <c r="S619">
        <f t="shared" ca="1" si="47"/>
        <v>29</v>
      </c>
      <c r="T619" t="str">
        <f t="shared" ca="1" si="48"/>
        <v>On Track</v>
      </c>
      <c r="U619" t="str">
        <f t="shared" ca="1" si="49"/>
        <v>Normal</v>
      </c>
      <c r="V619" t="s">
        <v>101</v>
      </c>
    </row>
    <row r="620" spans="1:22">
      <c r="A620" t="s">
        <v>1726</v>
      </c>
      <c r="B620" t="s">
        <v>137</v>
      </c>
      <c r="C620" t="s">
        <v>1727</v>
      </c>
      <c r="D620" s="16">
        <v>2077.5100000000002</v>
      </c>
      <c r="E620" t="s">
        <v>25</v>
      </c>
      <c r="F620" t="s">
        <v>38</v>
      </c>
      <c r="H620" t="s">
        <v>28</v>
      </c>
      <c r="I620" t="s">
        <v>29</v>
      </c>
      <c r="J620" s="13">
        <v>46171</v>
      </c>
      <c r="K620" s="17" t="s">
        <v>30</v>
      </c>
      <c r="L620" s="13">
        <v>46186</v>
      </c>
      <c r="M620" t="s">
        <v>84</v>
      </c>
      <c r="N620" t="s">
        <v>100</v>
      </c>
      <c r="O620" s="13">
        <v>46181</v>
      </c>
      <c r="Q620">
        <f t="shared" ca="1" si="45"/>
        <v>18</v>
      </c>
      <c r="R620">
        <f t="shared" si="46"/>
        <v>10</v>
      </c>
      <c r="S620">
        <f t="shared" ca="1" si="47"/>
        <v>-3</v>
      </c>
      <c r="T620" t="str">
        <f t="shared" ca="1" si="48"/>
        <v>On Track</v>
      </c>
      <c r="U620" t="str">
        <f t="shared" ca="1" si="49"/>
        <v>At Risk</v>
      </c>
      <c r="V620" t="s">
        <v>101</v>
      </c>
    </row>
    <row r="621" spans="1:22">
      <c r="A621" t="s">
        <v>1728</v>
      </c>
      <c r="B621" t="s">
        <v>168</v>
      </c>
      <c r="C621" t="s">
        <v>1729</v>
      </c>
      <c r="D621" s="16">
        <v>18665.41</v>
      </c>
      <c r="E621" t="s">
        <v>55</v>
      </c>
      <c r="F621" t="s">
        <v>38</v>
      </c>
      <c r="H621" t="s">
        <v>579</v>
      </c>
      <c r="I621" t="s">
        <v>92</v>
      </c>
      <c r="J621" s="13">
        <v>46164</v>
      </c>
      <c r="K621" s="17" t="s">
        <v>49</v>
      </c>
      <c r="L621" s="13">
        <v>46209</v>
      </c>
      <c r="M621" t="s">
        <v>31</v>
      </c>
      <c r="N621" t="s">
        <v>32</v>
      </c>
      <c r="O621" s="13">
        <v>46171</v>
      </c>
      <c r="P621" s="13">
        <v>46173</v>
      </c>
      <c r="Q621">
        <f t="shared" ca="1" si="45"/>
        <v>25</v>
      </c>
      <c r="R621">
        <f t="shared" si="46"/>
        <v>7</v>
      </c>
      <c r="S621">
        <f t="shared" ca="1" si="47"/>
        <v>20</v>
      </c>
      <c r="T621" t="str">
        <f t="shared" ca="1" si="48"/>
        <v>On Track</v>
      </c>
      <c r="U621" t="str">
        <f t="shared" ca="1" si="49"/>
        <v>Normal</v>
      </c>
      <c r="V621" t="s">
        <v>33</v>
      </c>
    </row>
    <row r="622" spans="1:22">
      <c r="A622" t="s">
        <v>1730</v>
      </c>
      <c r="B622" t="s">
        <v>187</v>
      </c>
      <c r="C622" t="s">
        <v>1731</v>
      </c>
      <c r="D622" s="16">
        <v>3423.49</v>
      </c>
      <c r="E622" t="s">
        <v>37</v>
      </c>
      <c r="F622" t="s">
        <v>38</v>
      </c>
      <c r="H622" t="s">
        <v>39</v>
      </c>
      <c r="I622" t="s">
        <v>29</v>
      </c>
      <c r="J622" s="13">
        <v>46185</v>
      </c>
      <c r="K622" s="17" t="s">
        <v>40</v>
      </c>
      <c r="L622" s="13">
        <v>46215</v>
      </c>
      <c r="M622" t="s">
        <v>65</v>
      </c>
      <c r="N622" t="s">
        <v>58</v>
      </c>
      <c r="Q622">
        <f t="shared" ca="1" si="45"/>
        <v>4</v>
      </c>
      <c r="R622" t="str">
        <f t="shared" si="46"/>
        <v/>
      </c>
      <c r="S622">
        <f t="shared" ca="1" si="47"/>
        <v>26</v>
      </c>
      <c r="T622" t="str">
        <f t="shared" ca="1" si="48"/>
        <v>On Track</v>
      </c>
      <c r="U622" t="str">
        <f t="shared" ca="1" si="49"/>
        <v>Normal</v>
      </c>
      <c r="V622" t="s">
        <v>59</v>
      </c>
    </row>
    <row r="623" spans="1:22">
      <c r="A623" t="s">
        <v>1732</v>
      </c>
      <c r="B623" t="s">
        <v>76</v>
      </c>
      <c r="C623" t="s">
        <v>1733</v>
      </c>
      <c r="D623" s="16">
        <v>7457.11</v>
      </c>
      <c r="E623" t="s">
        <v>69</v>
      </c>
      <c r="F623" t="s">
        <v>38</v>
      </c>
      <c r="H623" t="s">
        <v>178</v>
      </c>
      <c r="I623" t="s">
        <v>92</v>
      </c>
      <c r="J623" s="13">
        <v>46162</v>
      </c>
      <c r="K623" s="17" t="s">
        <v>57</v>
      </c>
      <c r="L623" s="13">
        <v>46192</v>
      </c>
      <c r="M623" t="s">
        <v>31</v>
      </c>
      <c r="N623" t="s">
        <v>32</v>
      </c>
      <c r="O623" s="13">
        <v>46170</v>
      </c>
      <c r="P623" s="13">
        <v>46177</v>
      </c>
      <c r="Q623">
        <f t="shared" ca="1" si="45"/>
        <v>27</v>
      </c>
      <c r="R623">
        <f t="shared" si="46"/>
        <v>8</v>
      </c>
      <c r="S623">
        <f t="shared" ca="1" si="47"/>
        <v>3</v>
      </c>
      <c r="T623" t="str">
        <f t="shared" ca="1" si="48"/>
        <v>On Track</v>
      </c>
      <c r="U623" t="str">
        <f t="shared" ca="1" si="49"/>
        <v>Normal</v>
      </c>
      <c r="V623" t="s">
        <v>33</v>
      </c>
    </row>
    <row r="624" spans="1:22">
      <c r="A624" t="s">
        <v>1734</v>
      </c>
      <c r="B624" t="s">
        <v>115</v>
      </c>
      <c r="C624" t="s">
        <v>1735</v>
      </c>
      <c r="D624" s="16">
        <v>3772.42</v>
      </c>
      <c r="E624" t="s">
        <v>156</v>
      </c>
      <c r="F624" t="s">
        <v>38</v>
      </c>
      <c r="H624" t="s">
        <v>157</v>
      </c>
      <c r="I624" t="s">
        <v>29</v>
      </c>
      <c r="J624" s="13">
        <v>46176</v>
      </c>
      <c r="K624" s="17" t="s">
        <v>30</v>
      </c>
      <c r="L624" s="13">
        <v>46191</v>
      </c>
      <c r="M624" t="s">
        <v>99</v>
      </c>
      <c r="N624" t="s">
        <v>32</v>
      </c>
      <c r="O624" s="13">
        <v>46184</v>
      </c>
      <c r="Q624">
        <f t="shared" ca="1" si="45"/>
        <v>13</v>
      </c>
      <c r="R624">
        <f t="shared" si="46"/>
        <v>8</v>
      </c>
      <c r="S624">
        <f t="shared" ca="1" si="47"/>
        <v>2</v>
      </c>
      <c r="T624" t="str">
        <f t="shared" ca="1" si="48"/>
        <v>On Track</v>
      </c>
      <c r="U624" t="str">
        <f t="shared" ca="1" si="49"/>
        <v>At Risk</v>
      </c>
    </row>
    <row r="625" spans="1:22">
      <c r="A625" t="s">
        <v>1736</v>
      </c>
      <c r="B625" t="s">
        <v>53</v>
      </c>
      <c r="C625" t="s">
        <v>1737</v>
      </c>
      <c r="D625" s="16">
        <v>3602.71</v>
      </c>
      <c r="E625" t="s">
        <v>62</v>
      </c>
      <c r="F625" t="s">
        <v>26</v>
      </c>
      <c r="G625" t="s">
        <v>1738</v>
      </c>
      <c r="H625" t="s">
        <v>64</v>
      </c>
      <c r="I625" t="s">
        <v>29</v>
      </c>
      <c r="J625" s="13">
        <v>46181</v>
      </c>
      <c r="K625" s="17" t="s">
        <v>57</v>
      </c>
      <c r="L625" s="13">
        <v>46211</v>
      </c>
      <c r="M625" t="s">
        <v>41</v>
      </c>
      <c r="N625" t="s">
        <v>32</v>
      </c>
      <c r="Q625">
        <f t="shared" ca="1" si="45"/>
        <v>8</v>
      </c>
      <c r="R625" t="str">
        <f t="shared" si="46"/>
        <v/>
      </c>
      <c r="S625">
        <f t="shared" ca="1" si="47"/>
        <v>22</v>
      </c>
      <c r="T625" t="str">
        <f t="shared" ca="1" si="48"/>
        <v>Overdue</v>
      </c>
      <c r="U625" t="str">
        <f t="shared" ca="1" si="49"/>
        <v>Normal</v>
      </c>
      <c r="V625" t="s">
        <v>42</v>
      </c>
    </row>
    <row r="626" spans="1:22">
      <c r="A626" t="s">
        <v>1739</v>
      </c>
      <c r="B626" t="s">
        <v>109</v>
      </c>
      <c r="C626" t="s">
        <v>1740</v>
      </c>
      <c r="D626" s="16">
        <v>3500.3</v>
      </c>
      <c r="E626" t="s">
        <v>37</v>
      </c>
      <c r="F626" t="s">
        <v>26</v>
      </c>
      <c r="G626" t="s">
        <v>1741</v>
      </c>
      <c r="H626" t="s">
        <v>39</v>
      </c>
      <c r="I626" t="s">
        <v>29</v>
      </c>
      <c r="J626" s="13">
        <v>46150</v>
      </c>
      <c r="K626" s="17" t="s">
        <v>49</v>
      </c>
      <c r="L626" s="13">
        <v>46195</v>
      </c>
      <c r="M626" t="s">
        <v>99</v>
      </c>
      <c r="N626" t="s">
        <v>32</v>
      </c>
      <c r="O626" s="13">
        <v>46154</v>
      </c>
      <c r="Q626">
        <f t="shared" ca="1" si="45"/>
        <v>39</v>
      </c>
      <c r="R626">
        <f t="shared" si="46"/>
        <v>4</v>
      </c>
      <c r="S626">
        <f t="shared" ca="1" si="47"/>
        <v>6</v>
      </c>
      <c r="T626" t="str">
        <f t="shared" ca="1" si="48"/>
        <v>On Track</v>
      </c>
      <c r="U626" t="str">
        <f t="shared" ca="1" si="49"/>
        <v>Normal</v>
      </c>
    </row>
    <row r="627" spans="1:22">
      <c r="A627" t="s">
        <v>1742</v>
      </c>
      <c r="B627" t="s">
        <v>124</v>
      </c>
      <c r="C627" t="s">
        <v>1743</v>
      </c>
      <c r="D627" s="16">
        <v>2186.9</v>
      </c>
      <c r="E627" t="s">
        <v>25</v>
      </c>
      <c r="F627" t="s">
        <v>26</v>
      </c>
      <c r="G627" t="s">
        <v>1744</v>
      </c>
      <c r="H627" t="s">
        <v>28</v>
      </c>
      <c r="I627" t="s">
        <v>29</v>
      </c>
      <c r="J627" s="13">
        <v>46147</v>
      </c>
      <c r="K627" s="17" t="s">
        <v>40</v>
      </c>
      <c r="L627" s="13">
        <v>46177</v>
      </c>
      <c r="M627" t="s">
        <v>31</v>
      </c>
      <c r="N627" t="s">
        <v>179</v>
      </c>
      <c r="O627" s="13">
        <v>46164</v>
      </c>
      <c r="P627" s="13">
        <v>46167</v>
      </c>
      <c r="Q627">
        <f t="shared" ca="1" si="45"/>
        <v>42</v>
      </c>
      <c r="R627">
        <f t="shared" si="46"/>
        <v>17</v>
      </c>
      <c r="S627">
        <f t="shared" ca="1" si="47"/>
        <v>-12</v>
      </c>
      <c r="T627" t="str">
        <f t="shared" ca="1" si="48"/>
        <v>On Track</v>
      </c>
      <c r="U627" t="str">
        <f t="shared" ca="1" si="49"/>
        <v>Normal</v>
      </c>
      <c r="V627" t="s">
        <v>180</v>
      </c>
    </row>
    <row r="628" spans="1:22">
      <c r="A628" t="s">
        <v>1745</v>
      </c>
      <c r="B628" t="s">
        <v>35</v>
      </c>
      <c r="C628" t="s">
        <v>1746</v>
      </c>
      <c r="D628" s="16">
        <v>2611.1999999999998</v>
      </c>
      <c r="E628" t="s">
        <v>55</v>
      </c>
      <c r="F628" t="s">
        <v>26</v>
      </c>
      <c r="G628" t="s">
        <v>1747</v>
      </c>
      <c r="H628" t="s">
        <v>56</v>
      </c>
      <c r="I628" t="s">
        <v>29</v>
      </c>
      <c r="J628" s="13">
        <v>46181</v>
      </c>
      <c r="K628" s="17" t="s">
        <v>40</v>
      </c>
      <c r="L628" s="13">
        <v>46211</v>
      </c>
      <c r="M628" t="s">
        <v>41</v>
      </c>
      <c r="N628" t="s">
        <v>32</v>
      </c>
      <c r="Q628">
        <f t="shared" ca="1" si="45"/>
        <v>8</v>
      </c>
      <c r="R628" t="str">
        <f t="shared" si="46"/>
        <v/>
      </c>
      <c r="S628">
        <f t="shared" ca="1" si="47"/>
        <v>22</v>
      </c>
      <c r="T628" t="str">
        <f t="shared" ca="1" si="48"/>
        <v>Overdue</v>
      </c>
      <c r="U628" t="str">
        <f t="shared" ca="1" si="49"/>
        <v>Normal</v>
      </c>
      <c r="V628" t="s">
        <v>42</v>
      </c>
    </row>
    <row r="629" spans="1:22">
      <c r="A629" t="s">
        <v>1748</v>
      </c>
      <c r="B629" t="s">
        <v>76</v>
      </c>
      <c r="C629" t="s">
        <v>1749</v>
      </c>
      <c r="D629" s="16">
        <v>7814.75</v>
      </c>
      <c r="E629" t="s">
        <v>55</v>
      </c>
      <c r="F629" t="s">
        <v>26</v>
      </c>
      <c r="G629" t="s">
        <v>1750</v>
      </c>
      <c r="H629" t="s">
        <v>579</v>
      </c>
      <c r="I629" t="s">
        <v>92</v>
      </c>
      <c r="J629" s="13">
        <v>46173</v>
      </c>
      <c r="K629" s="17" t="s">
        <v>57</v>
      </c>
      <c r="L629" s="13">
        <v>46203</v>
      </c>
      <c r="M629" t="s">
        <v>31</v>
      </c>
      <c r="N629" t="s">
        <v>100</v>
      </c>
      <c r="O629" s="13">
        <v>46183</v>
      </c>
      <c r="P629" s="13">
        <v>46187</v>
      </c>
      <c r="Q629">
        <f t="shared" ca="1" si="45"/>
        <v>16</v>
      </c>
      <c r="R629">
        <f t="shared" si="46"/>
        <v>10</v>
      </c>
      <c r="S629">
        <f t="shared" ca="1" si="47"/>
        <v>14</v>
      </c>
      <c r="T629" t="str">
        <f t="shared" ca="1" si="48"/>
        <v>On Track</v>
      </c>
      <c r="U629" t="str">
        <f t="shared" ca="1" si="49"/>
        <v>Normal</v>
      </c>
      <c r="V629" t="s">
        <v>101</v>
      </c>
    </row>
    <row r="630" spans="1:22">
      <c r="A630" t="s">
        <v>1751</v>
      </c>
      <c r="B630" t="s">
        <v>76</v>
      </c>
      <c r="C630" t="s">
        <v>1752</v>
      </c>
      <c r="D630" s="16">
        <v>51168.58</v>
      </c>
      <c r="E630" t="s">
        <v>46</v>
      </c>
      <c r="F630" t="s">
        <v>38</v>
      </c>
      <c r="H630" t="s">
        <v>121</v>
      </c>
      <c r="I630" t="s">
        <v>122</v>
      </c>
      <c r="J630" s="13">
        <v>46182</v>
      </c>
      <c r="K630" s="17" t="s">
        <v>40</v>
      </c>
      <c r="L630" s="13">
        <v>46212</v>
      </c>
      <c r="M630" t="s">
        <v>145</v>
      </c>
      <c r="N630" t="s">
        <v>32</v>
      </c>
      <c r="O630" s="13">
        <v>46189</v>
      </c>
      <c r="Q630">
        <f t="shared" ca="1" si="45"/>
        <v>7</v>
      </c>
      <c r="R630">
        <f t="shared" si="46"/>
        <v>7</v>
      </c>
      <c r="S630">
        <f t="shared" ca="1" si="47"/>
        <v>23</v>
      </c>
      <c r="T630" t="str">
        <f t="shared" ca="1" si="48"/>
        <v>On Track</v>
      </c>
      <c r="U630" t="str">
        <f t="shared" ca="1" si="49"/>
        <v>Normal</v>
      </c>
    </row>
    <row r="631" spans="1:22">
      <c r="A631" t="s">
        <v>1753</v>
      </c>
      <c r="B631" t="s">
        <v>103</v>
      </c>
      <c r="C631" t="s">
        <v>1754</v>
      </c>
      <c r="D631" s="16">
        <v>46576.58</v>
      </c>
      <c r="E631" t="s">
        <v>156</v>
      </c>
      <c r="F631" t="s">
        <v>26</v>
      </c>
      <c r="G631" t="s">
        <v>1755</v>
      </c>
      <c r="H631" t="s">
        <v>121</v>
      </c>
      <c r="I631" t="s">
        <v>122</v>
      </c>
      <c r="J631" s="13">
        <v>46153</v>
      </c>
      <c r="K631" s="17" t="s">
        <v>57</v>
      </c>
      <c r="L631" s="13">
        <v>46183</v>
      </c>
      <c r="M631" t="s">
        <v>145</v>
      </c>
      <c r="N631" t="s">
        <v>32</v>
      </c>
      <c r="O631" s="13">
        <v>46160</v>
      </c>
      <c r="Q631">
        <f t="shared" ca="1" si="45"/>
        <v>36</v>
      </c>
      <c r="R631">
        <f t="shared" si="46"/>
        <v>7</v>
      </c>
      <c r="S631">
        <f t="shared" ca="1" si="47"/>
        <v>-6</v>
      </c>
      <c r="T631" t="str">
        <f t="shared" ca="1" si="48"/>
        <v>On Track</v>
      </c>
      <c r="U631" t="str">
        <f t="shared" ca="1" si="49"/>
        <v>At Risk</v>
      </c>
    </row>
    <row r="632" spans="1:22">
      <c r="A632" t="s">
        <v>1756</v>
      </c>
      <c r="B632" t="s">
        <v>271</v>
      </c>
      <c r="C632" t="s">
        <v>1757</v>
      </c>
      <c r="D632" s="16">
        <v>806.59</v>
      </c>
      <c r="E632" t="s">
        <v>69</v>
      </c>
      <c r="F632" t="s">
        <v>26</v>
      </c>
      <c r="G632" t="s">
        <v>1758</v>
      </c>
      <c r="H632" t="s">
        <v>71</v>
      </c>
      <c r="I632" t="s">
        <v>29</v>
      </c>
      <c r="J632" s="13">
        <v>46146</v>
      </c>
      <c r="K632" s="17" t="s">
        <v>40</v>
      </c>
      <c r="L632" s="13">
        <v>46176</v>
      </c>
      <c r="M632" t="s">
        <v>31</v>
      </c>
      <c r="N632" t="s">
        <v>32</v>
      </c>
      <c r="O632" s="13">
        <v>46151</v>
      </c>
      <c r="P632" s="13">
        <v>46154</v>
      </c>
      <c r="Q632">
        <f t="shared" ca="1" si="45"/>
        <v>43</v>
      </c>
      <c r="R632">
        <f t="shared" si="46"/>
        <v>5</v>
      </c>
      <c r="S632">
        <f t="shared" ca="1" si="47"/>
        <v>-13</v>
      </c>
      <c r="T632" t="str">
        <f t="shared" ca="1" si="48"/>
        <v>On Track</v>
      </c>
      <c r="U632" t="str">
        <f t="shared" ca="1" si="49"/>
        <v>Normal</v>
      </c>
      <c r="V632" t="s">
        <v>33</v>
      </c>
    </row>
    <row r="633" spans="1:22">
      <c r="A633" t="s">
        <v>1759</v>
      </c>
      <c r="B633" t="s">
        <v>208</v>
      </c>
      <c r="C633" t="s">
        <v>1760</v>
      </c>
      <c r="D633" s="16">
        <v>21256.83</v>
      </c>
      <c r="E633" t="s">
        <v>62</v>
      </c>
      <c r="F633" t="s">
        <v>26</v>
      </c>
      <c r="G633" t="s">
        <v>1761</v>
      </c>
      <c r="H633" t="s">
        <v>106</v>
      </c>
      <c r="I633" t="s">
        <v>92</v>
      </c>
      <c r="J633" s="13">
        <v>46176</v>
      </c>
      <c r="K633" s="17" t="s">
        <v>40</v>
      </c>
      <c r="L633" s="13">
        <v>46206</v>
      </c>
      <c r="M633" t="s">
        <v>41</v>
      </c>
      <c r="N633" t="s">
        <v>50</v>
      </c>
      <c r="Q633">
        <f t="shared" ca="1" si="45"/>
        <v>13</v>
      </c>
      <c r="R633" t="str">
        <f t="shared" si="46"/>
        <v/>
      </c>
      <c r="S633">
        <f t="shared" ca="1" si="47"/>
        <v>17</v>
      </c>
      <c r="T633" t="str">
        <f t="shared" ca="1" si="48"/>
        <v>Overdue</v>
      </c>
      <c r="U633" t="str">
        <f t="shared" ca="1" si="49"/>
        <v>Normal</v>
      </c>
      <c r="V633" t="s">
        <v>51</v>
      </c>
    </row>
    <row r="634" spans="1:22">
      <c r="A634" t="s">
        <v>1762</v>
      </c>
      <c r="B634" t="s">
        <v>187</v>
      </c>
      <c r="C634" t="s">
        <v>1763</v>
      </c>
      <c r="D634" s="16">
        <v>2011.92</v>
      </c>
      <c r="E634" t="s">
        <v>111</v>
      </c>
      <c r="F634" t="s">
        <v>38</v>
      </c>
      <c r="H634" t="s">
        <v>113</v>
      </c>
      <c r="I634" t="s">
        <v>29</v>
      </c>
      <c r="J634" s="13">
        <v>46165</v>
      </c>
      <c r="K634" s="17" t="s">
        <v>30</v>
      </c>
      <c r="L634" s="13">
        <v>46180</v>
      </c>
      <c r="M634" t="s">
        <v>31</v>
      </c>
      <c r="N634" t="s">
        <v>100</v>
      </c>
      <c r="O634" s="13">
        <v>46184</v>
      </c>
      <c r="P634" s="13">
        <v>46186</v>
      </c>
      <c r="Q634">
        <f t="shared" ca="1" si="45"/>
        <v>24</v>
      </c>
      <c r="R634">
        <f t="shared" si="46"/>
        <v>19</v>
      </c>
      <c r="S634">
        <f t="shared" ca="1" si="47"/>
        <v>-9</v>
      </c>
      <c r="T634" t="str">
        <f t="shared" ca="1" si="48"/>
        <v>On Track</v>
      </c>
      <c r="U634" t="str">
        <f t="shared" ca="1" si="49"/>
        <v>Normal</v>
      </c>
      <c r="V634" t="s">
        <v>101</v>
      </c>
    </row>
    <row r="635" spans="1:22">
      <c r="A635" t="s">
        <v>1764</v>
      </c>
      <c r="B635" t="s">
        <v>94</v>
      </c>
      <c r="C635" t="s">
        <v>1765</v>
      </c>
      <c r="D635" s="16">
        <v>3760.76</v>
      </c>
      <c r="E635" t="s">
        <v>37</v>
      </c>
      <c r="F635" t="s">
        <v>26</v>
      </c>
      <c r="G635" t="s">
        <v>1766</v>
      </c>
      <c r="H635" t="s">
        <v>39</v>
      </c>
      <c r="I635" t="s">
        <v>29</v>
      </c>
      <c r="J635" s="13">
        <v>46151</v>
      </c>
      <c r="K635" s="17" t="s">
        <v>30</v>
      </c>
      <c r="L635" s="13">
        <v>46166</v>
      </c>
      <c r="M635" t="s">
        <v>65</v>
      </c>
      <c r="N635" t="s">
        <v>32</v>
      </c>
      <c r="Q635">
        <f t="shared" ca="1" si="45"/>
        <v>38</v>
      </c>
      <c r="R635" t="str">
        <f t="shared" si="46"/>
        <v/>
      </c>
      <c r="S635">
        <f t="shared" ca="1" si="47"/>
        <v>-23</v>
      </c>
      <c r="T635" t="str">
        <f t="shared" ca="1" si="48"/>
        <v>On Track</v>
      </c>
      <c r="U635" t="str">
        <f t="shared" ca="1" si="49"/>
        <v>At Risk</v>
      </c>
    </row>
    <row r="636" spans="1:22">
      <c r="A636" t="s">
        <v>1767</v>
      </c>
      <c r="B636" t="s">
        <v>172</v>
      </c>
      <c r="C636" t="s">
        <v>1768</v>
      </c>
      <c r="D636" s="16">
        <v>334.92</v>
      </c>
      <c r="E636" t="s">
        <v>62</v>
      </c>
      <c r="F636" t="s">
        <v>38</v>
      </c>
      <c r="H636" t="s">
        <v>64</v>
      </c>
      <c r="I636" t="s">
        <v>29</v>
      </c>
      <c r="J636" s="13">
        <v>46178</v>
      </c>
      <c r="K636" s="17" t="s">
        <v>57</v>
      </c>
      <c r="L636" s="13">
        <v>46208</v>
      </c>
      <c r="M636" t="s">
        <v>41</v>
      </c>
      <c r="N636" t="s">
        <v>100</v>
      </c>
      <c r="Q636">
        <f t="shared" ca="1" si="45"/>
        <v>11</v>
      </c>
      <c r="R636" t="str">
        <f t="shared" si="46"/>
        <v/>
      </c>
      <c r="S636">
        <f t="shared" ca="1" si="47"/>
        <v>19</v>
      </c>
      <c r="T636" t="str">
        <f t="shared" ca="1" si="48"/>
        <v>Overdue</v>
      </c>
      <c r="U636" t="str">
        <f t="shared" ca="1" si="49"/>
        <v>Normal</v>
      </c>
      <c r="V636" t="s">
        <v>101</v>
      </c>
    </row>
    <row r="637" spans="1:22">
      <c r="A637" t="s">
        <v>1769</v>
      </c>
      <c r="B637" t="s">
        <v>115</v>
      </c>
      <c r="C637" t="s">
        <v>1770</v>
      </c>
      <c r="D637" s="16">
        <v>2677.62</v>
      </c>
      <c r="E637" t="s">
        <v>62</v>
      </c>
      <c r="F637" t="s">
        <v>26</v>
      </c>
      <c r="G637" t="s">
        <v>1771</v>
      </c>
      <c r="H637" t="s">
        <v>64</v>
      </c>
      <c r="I637" t="s">
        <v>29</v>
      </c>
      <c r="J637" s="13">
        <v>46146</v>
      </c>
      <c r="K637" s="17" t="s">
        <v>40</v>
      </c>
      <c r="L637" s="13">
        <v>46176</v>
      </c>
      <c r="M637" t="s">
        <v>31</v>
      </c>
      <c r="N637" t="s">
        <v>50</v>
      </c>
      <c r="O637" s="13">
        <v>46153</v>
      </c>
      <c r="P637" s="13">
        <v>46157</v>
      </c>
      <c r="Q637">
        <f t="shared" ca="1" si="45"/>
        <v>43</v>
      </c>
      <c r="R637">
        <f t="shared" si="46"/>
        <v>7</v>
      </c>
      <c r="S637">
        <f t="shared" ca="1" si="47"/>
        <v>-13</v>
      </c>
      <c r="T637" t="str">
        <f t="shared" ca="1" si="48"/>
        <v>On Track</v>
      </c>
      <c r="U637" t="str">
        <f t="shared" ca="1" si="49"/>
        <v>Normal</v>
      </c>
      <c r="V637" t="s">
        <v>51</v>
      </c>
    </row>
    <row r="638" spans="1:22">
      <c r="A638" t="s">
        <v>1772</v>
      </c>
      <c r="B638" t="s">
        <v>35</v>
      </c>
      <c r="C638" t="s">
        <v>1773</v>
      </c>
      <c r="D638" s="16">
        <v>664.16</v>
      </c>
      <c r="E638" t="s">
        <v>142</v>
      </c>
      <c r="F638" t="s">
        <v>38</v>
      </c>
      <c r="H638" t="s">
        <v>335</v>
      </c>
      <c r="I638" t="s">
        <v>29</v>
      </c>
      <c r="J638" s="13">
        <v>46178</v>
      </c>
      <c r="K638" s="17" t="s">
        <v>57</v>
      </c>
      <c r="L638" s="13">
        <v>46208</v>
      </c>
      <c r="M638" t="s">
        <v>31</v>
      </c>
      <c r="N638" t="s">
        <v>32</v>
      </c>
      <c r="O638" s="13">
        <v>46182</v>
      </c>
      <c r="P638" s="13">
        <v>46186</v>
      </c>
      <c r="Q638">
        <f t="shared" ca="1" si="45"/>
        <v>11</v>
      </c>
      <c r="R638">
        <f t="shared" si="46"/>
        <v>4</v>
      </c>
      <c r="S638">
        <f t="shared" ca="1" si="47"/>
        <v>19</v>
      </c>
      <c r="T638" t="str">
        <f t="shared" ca="1" si="48"/>
        <v>On Track</v>
      </c>
      <c r="U638" t="str">
        <f t="shared" ca="1" si="49"/>
        <v>Normal</v>
      </c>
      <c r="V638" t="s">
        <v>33</v>
      </c>
    </row>
    <row r="639" spans="1:22">
      <c r="A639" t="s">
        <v>1774</v>
      </c>
      <c r="B639" t="s">
        <v>271</v>
      </c>
      <c r="C639" t="s">
        <v>1775</v>
      </c>
      <c r="D639" s="16">
        <v>1730.07</v>
      </c>
      <c r="E639" t="s">
        <v>302</v>
      </c>
      <c r="F639" t="s">
        <v>26</v>
      </c>
      <c r="G639" t="s">
        <v>1776</v>
      </c>
      <c r="H639" t="s">
        <v>304</v>
      </c>
      <c r="I639" t="s">
        <v>29</v>
      </c>
      <c r="J639" s="13">
        <v>46163</v>
      </c>
      <c r="K639" s="17" t="s">
        <v>40</v>
      </c>
      <c r="L639" s="13">
        <v>46193</v>
      </c>
      <c r="M639" t="s">
        <v>31</v>
      </c>
      <c r="N639" t="s">
        <v>32</v>
      </c>
      <c r="O639" s="13">
        <v>46167</v>
      </c>
      <c r="P639" s="13">
        <v>46170</v>
      </c>
      <c r="Q639">
        <f t="shared" ca="1" si="45"/>
        <v>26</v>
      </c>
      <c r="R639">
        <f t="shared" si="46"/>
        <v>4</v>
      </c>
      <c r="S639">
        <f t="shared" ca="1" si="47"/>
        <v>4</v>
      </c>
      <c r="T639" t="str">
        <f t="shared" ca="1" si="48"/>
        <v>On Track</v>
      </c>
      <c r="U639" t="str">
        <f t="shared" ca="1" si="49"/>
        <v>Normal</v>
      </c>
      <c r="V639" t="s">
        <v>33</v>
      </c>
    </row>
    <row r="640" spans="1:22">
      <c r="A640" t="s">
        <v>1777</v>
      </c>
      <c r="B640" t="s">
        <v>208</v>
      </c>
      <c r="C640" t="s">
        <v>1778</v>
      </c>
      <c r="D640" s="16">
        <v>1340.28</v>
      </c>
      <c r="E640" t="s">
        <v>25</v>
      </c>
      <c r="F640" t="s">
        <v>26</v>
      </c>
      <c r="G640" t="s">
        <v>1779</v>
      </c>
      <c r="H640" t="s">
        <v>28</v>
      </c>
      <c r="I640" t="s">
        <v>29</v>
      </c>
      <c r="J640" s="13">
        <v>46175</v>
      </c>
      <c r="K640" s="17" t="s">
        <v>40</v>
      </c>
      <c r="L640" s="13">
        <v>46205</v>
      </c>
      <c r="M640" t="s">
        <v>99</v>
      </c>
      <c r="N640" t="s">
        <v>100</v>
      </c>
      <c r="O640" s="13">
        <v>46186</v>
      </c>
      <c r="Q640">
        <f t="shared" ca="1" si="45"/>
        <v>14</v>
      </c>
      <c r="R640">
        <f t="shared" si="46"/>
        <v>11</v>
      </c>
      <c r="S640">
        <f t="shared" ca="1" si="47"/>
        <v>16</v>
      </c>
      <c r="T640" t="str">
        <f t="shared" ca="1" si="48"/>
        <v>On Track</v>
      </c>
      <c r="U640" t="str">
        <f t="shared" ca="1" si="49"/>
        <v>Normal</v>
      </c>
      <c r="V640" t="s">
        <v>101</v>
      </c>
    </row>
    <row r="641" spans="1:22">
      <c r="A641" t="s">
        <v>1780</v>
      </c>
      <c r="B641" t="s">
        <v>137</v>
      </c>
      <c r="C641" t="s">
        <v>1781</v>
      </c>
      <c r="D641" s="16">
        <v>3132.61</v>
      </c>
      <c r="E641" t="s">
        <v>62</v>
      </c>
      <c r="F641" t="s">
        <v>38</v>
      </c>
      <c r="H641" t="s">
        <v>64</v>
      </c>
      <c r="I641" t="s">
        <v>29</v>
      </c>
      <c r="J641" s="13">
        <v>46145</v>
      </c>
      <c r="K641" s="17" t="s">
        <v>49</v>
      </c>
      <c r="L641" s="13">
        <v>46190</v>
      </c>
      <c r="M641" t="s">
        <v>31</v>
      </c>
      <c r="N641" t="s">
        <v>32</v>
      </c>
      <c r="O641" s="13">
        <v>46150</v>
      </c>
      <c r="P641" s="13">
        <v>46156</v>
      </c>
      <c r="Q641">
        <f t="shared" ca="1" si="45"/>
        <v>44</v>
      </c>
      <c r="R641">
        <f t="shared" si="46"/>
        <v>5</v>
      </c>
      <c r="S641">
        <f t="shared" ca="1" si="47"/>
        <v>1</v>
      </c>
      <c r="T641" t="str">
        <f t="shared" ca="1" si="48"/>
        <v>On Track</v>
      </c>
      <c r="U641" t="str">
        <f t="shared" ca="1" si="49"/>
        <v>Normal</v>
      </c>
      <c r="V641" t="s">
        <v>33</v>
      </c>
    </row>
    <row r="642" spans="1:22">
      <c r="A642" t="s">
        <v>1782</v>
      </c>
      <c r="B642" t="s">
        <v>222</v>
      </c>
      <c r="C642" t="s">
        <v>1783</v>
      </c>
      <c r="D642" s="16">
        <v>2279.2199999999998</v>
      </c>
      <c r="E642" t="s">
        <v>156</v>
      </c>
      <c r="F642" t="s">
        <v>38</v>
      </c>
      <c r="H642" t="s">
        <v>157</v>
      </c>
      <c r="I642" t="s">
        <v>29</v>
      </c>
      <c r="J642" s="13">
        <v>46176</v>
      </c>
      <c r="K642" s="17" t="s">
        <v>57</v>
      </c>
      <c r="L642" s="13">
        <v>46206</v>
      </c>
      <c r="M642" t="s">
        <v>84</v>
      </c>
      <c r="N642" t="s">
        <v>58</v>
      </c>
      <c r="O642" s="13">
        <v>46181</v>
      </c>
      <c r="Q642">
        <f t="shared" ref="Q642:Q705" ca="1" si="50">IF(J642="","",TODAY()-J642)</f>
        <v>13</v>
      </c>
      <c r="R642">
        <f t="shared" ref="R642:R705" si="51">IF(O642="","",O642-J642)</f>
        <v>5</v>
      </c>
      <c r="S642">
        <f t="shared" ref="S642:S705" ca="1" si="52">IF(L642="","",L642-TODAY())</f>
        <v>17</v>
      </c>
      <c r="T642" t="str">
        <f t="shared" ref="T642:T705" ca="1" si="53">IF(AND(M642="Pending Approval",Q642&gt;5),"Overdue","On Track")</f>
        <v>On Track</v>
      </c>
      <c r="U642" t="str">
        <f t="shared" ref="U642:U705" ca="1" si="54">IF(AND(M642&lt;&gt;"Paid",S642&lt;=5),"At Risk","Normal")</f>
        <v>Normal</v>
      </c>
      <c r="V642" t="s">
        <v>59</v>
      </c>
    </row>
    <row r="643" spans="1:22">
      <c r="A643" t="s">
        <v>1784</v>
      </c>
      <c r="B643" t="s">
        <v>168</v>
      </c>
      <c r="C643" t="s">
        <v>1785</v>
      </c>
      <c r="D643" s="16">
        <v>254.55</v>
      </c>
      <c r="E643" t="s">
        <v>78</v>
      </c>
      <c r="F643" t="s">
        <v>26</v>
      </c>
      <c r="G643" t="s">
        <v>1786</v>
      </c>
      <c r="H643" t="s">
        <v>80</v>
      </c>
      <c r="I643" t="s">
        <v>29</v>
      </c>
      <c r="J643" s="13">
        <v>46183</v>
      </c>
      <c r="K643" s="17" t="s">
        <v>49</v>
      </c>
      <c r="L643" s="13">
        <v>46228</v>
      </c>
      <c r="M643" t="s">
        <v>41</v>
      </c>
      <c r="N643" t="s">
        <v>32</v>
      </c>
      <c r="Q643">
        <f t="shared" ca="1" si="50"/>
        <v>6</v>
      </c>
      <c r="R643" t="str">
        <f t="shared" si="51"/>
        <v/>
      </c>
      <c r="S643">
        <f t="shared" ca="1" si="52"/>
        <v>39</v>
      </c>
      <c r="T643" t="str">
        <f t="shared" ca="1" si="53"/>
        <v>Overdue</v>
      </c>
      <c r="U643" t="str">
        <f t="shared" ca="1" si="54"/>
        <v>Normal</v>
      </c>
      <c r="V643" t="s">
        <v>42</v>
      </c>
    </row>
    <row r="644" spans="1:22">
      <c r="A644" t="s">
        <v>1787</v>
      </c>
      <c r="B644" t="s">
        <v>44</v>
      </c>
      <c r="C644" t="s">
        <v>1788</v>
      </c>
      <c r="D644" s="16">
        <v>3343.99</v>
      </c>
      <c r="E644" t="s">
        <v>37</v>
      </c>
      <c r="F644" t="s">
        <v>38</v>
      </c>
      <c r="H644" t="s">
        <v>39</v>
      </c>
      <c r="I644" t="s">
        <v>29</v>
      </c>
      <c r="J644" s="13">
        <v>46184</v>
      </c>
      <c r="K644" s="17" t="s">
        <v>57</v>
      </c>
      <c r="L644" s="13">
        <v>46214</v>
      </c>
      <c r="M644" t="s">
        <v>145</v>
      </c>
      <c r="N644" t="s">
        <v>32</v>
      </c>
      <c r="O644" s="13">
        <v>46187</v>
      </c>
      <c r="Q644">
        <f t="shared" ca="1" si="50"/>
        <v>5</v>
      </c>
      <c r="R644">
        <f t="shared" si="51"/>
        <v>3</v>
      </c>
      <c r="S644">
        <f t="shared" ca="1" si="52"/>
        <v>25</v>
      </c>
      <c r="T644" t="str">
        <f t="shared" ca="1" si="53"/>
        <v>On Track</v>
      </c>
      <c r="U644" t="str">
        <f t="shared" ca="1" si="54"/>
        <v>Normal</v>
      </c>
    </row>
    <row r="645" spans="1:22">
      <c r="A645" t="s">
        <v>1789</v>
      </c>
      <c r="B645" t="s">
        <v>137</v>
      </c>
      <c r="C645" t="s">
        <v>1790</v>
      </c>
      <c r="D645" s="16">
        <v>3427.85</v>
      </c>
      <c r="E645" t="s">
        <v>156</v>
      </c>
      <c r="F645" t="s">
        <v>38</v>
      </c>
      <c r="H645" t="s">
        <v>157</v>
      </c>
      <c r="I645" t="s">
        <v>29</v>
      </c>
      <c r="J645" s="13">
        <v>46179</v>
      </c>
      <c r="K645" s="17" t="s">
        <v>49</v>
      </c>
      <c r="L645" s="13">
        <v>46224</v>
      </c>
      <c r="M645" t="s">
        <v>65</v>
      </c>
      <c r="N645" t="s">
        <v>179</v>
      </c>
      <c r="Q645">
        <f t="shared" ca="1" si="50"/>
        <v>10</v>
      </c>
      <c r="R645" t="str">
        <f t="shared" si="51"/>
        <v/>
      </c>
      <c r="S645">
        <f t="shared" ca="1" si="52"/>
        <v>35</v>
      </c>
      <c r="T645" t="str">
        <f t="shared" ca="1" si="53"/>
        <v>On Track</v>
      </c>
      <c r="U645" t="str">
        <f t="shared" ca="1" si="54"/>
        <v>Normal</v>
      </c>
      <c r="V645" t="s">
        <v>180</v>
      </c>
    </row>
    <row r="646" spans="1:22">
      <c r="A646" t="s">
        <v>1791</v>
      </c>
      <c r="B646" t="s">
        <v>44</v>
      </c>
      <c r="C646" t="s">
        <v>1792</v>
      </c>
      <c r="D646" s="16">
        <v>1368.97</v>
      </c>
      <c r="E646" t="s">
        <v>69</v>
      </c>
      <c r="F646" t="s">
        <v>38</v>
      </c>
      <c r="H646" t="s">
        <v>71</v>
      </c>
      <c r="I646" t="s">
        <v>29</v>
      </c>
      <c r="J646" s="13">
        <v>46165</v>
      </c>
      <c r="K646" s="17" t="s">
        <v>57</v>
      </c>
      <c r="L646" s="13">
        <v>46195</v>
      </c>
      <c r="M646" t="s">
        <v>31</v>
      </c>
      <c r="N646" t="s">
        <v>32</v>
      </c>
      <c r="O646" s="13">
        <v>46168</v>
      </c>
      <c r="P646" s="13">
        <v>46169</v>
      </c>
      <c r="Q646">
        <f t="shared" ca="1" si="50"/>
        <v>24</v>
      </c>
      <c r="R646">
        <f t="shared" si="51"/>
        <v>3</v>
      </c>
      <c r="S646">
        <f t="shared" ca="1" si="52"/>
        <v>6</v>
      </c>
      <c r="T646" t="str">
        <f t="shared" ca="1" si="53"/>
        <v>On Track</v>
      </c>
      <c r="U646" t="str">
        <f t="shared" ca="1" si="54"/>
        <v>Normal</v>
      </c>
      <c r="V646" t="s">
        <v>33</v>
      </c>
    </row>
    <row r="647" spans="1:22">
      <c r="A647" t="s">
        <v>1793</v>
      </c>
      <c r="B647" t="s">
        <v>251</v>
      </c>
      <c r="C647" t="s">
        <v>1794</v>
      </c>
      <c r="D647" s="16">
        <v>18117.77</v>
      </c>
      <c r="E647" t="s">
        <v>302</v>
      </c>
      <c r="F647" t="s">
        <v>26</v>
      </c>
      <c r="G647" t="s">
        <v>1795</v>
      </c>
      <c r="H647" t="s">
        <v>429</v>
      </c>
      <c r="I647" t="s">
        <v>92</v>
      </c>
      <c r="J647" s="13">
        <v>46188</v>
      </c>
      <c r="K647" s="17" t="s">
        <v>40</v>
      </c>
      <c r="L647" s="13">
        <v>46218</v>
      </c>
      <c r="M647" t="s">
        <v>65</v>
      </c>
      <c r="N647" t="s">
        <v>32</v>
      </c>
      <c r="Q647">
        <f t="shared" ca="1" si="50"/>
        <v>1</v>
      </c>
      <c r="R647" t="str">
        <f t="shared" si="51"/>
        <v/>
      </c>
      <c r="S647">
        <f t="shared" ca="1" si="52"/>
        <v>29</v>
      </c>
      <c r="T647" t="str">
        <f t="shared" ca="1" si="53"/>
        <v>On Track</v>
      </c>
      <c r="U647" t="str">
        <f t="shared" ca="1" si="54"/>
        <v>Normal</v>
      </c>
    </row>
    <row r="648" spans="1:22">
      <c r="A648" t="s">
        <v>1796</v>
      </c>
      <c r="B648" t="s">
        <v>118</v>
      </c>
      <c r="C648" t="s">
        <v>1797</v>
      </c>
      <c r="D648" s="16">
        <v>1856.13</v>
      </c>
      <c r="E648" t="s">
        <v>62</v>
      </c>
      <c r="F648" t="s">
        <v>38</v>
      </c>
      <c r="H648" t="s">
        <v>64</v>
      </c>
      <c r="I648" t="s">
        <v>29</v>
      </c>
      <c r="J648" s="13">
        <v>46182</v>
      </c>
      <c r="K648" s="17" t="s">
        <v>49</v>
      </c>
      <c r="L648" s="13">
        <v>46227</v>
      </c>
      <c r="M648" t="s">
        <v>99</v>
      </c>
      <c r="N648" t="s">
        <v>32</v>
      </c>
      <c r="O648" s="13">
        <v>46185</v>
      </c>
      <c r="Q648">
        <f t="shared" ca="1" si="50"/>
        <v>7</v>
      </c>
      <c r="R648">
        <f t="shared" si="51"/>
        <v>3</v>
      </c>
      <c r="S648">
        <f t="shared" ca="1" si="52"/>
        <v>38</v>
      </c>
      <c r="T648" t="str">
        <f t="shared" ca="1" si="53"/>
        <v>On Track</v>
      </c>
      <c r="U648" t="str">
        <f t="shared" ca="1" si="54"/>
        <v>Normal</v>
      </c>
    </row>
    <row r="649" spans="1:22">
      <c r="A649" t="s">
        <v>1798</v>
      </c>
      <c r="B649" t="s">
        <v>124</v>
      </c>
      <c r="C649" t="s">
        <v>1799</v>
      </c>
      <c r="D649" s="16">
        <v>340.01</v>
      </c>
      <c r="E649" t="s">
        <v>302</v>
      </c>
      <c r="F649" t="s">
        <v>26</v>
      </c>
      <c r="G649" t="s">
        <v>1800</v>
      </c>
      <c r="H649" t="s">
        <v>304</v>
      </c>
      <c r="I649" t="s">
        <v>29</v>
      </c>
      <c r="J649" s="13">
        <v>46166</v>
      </c>
      <c r="K649" s="17" t="s">
        <v>57</v>
      </c>
      <c r="L649" s="13">
        <v>46196</v>
      </c>
      <c r="M649" t="s">
        <v>99</v>
      </c>
      <c r="N649" t="s">
        <v>32</v>
      </c>
      <c r="O649" s="13">
        <v>46172</v>
      </c>
      <c r="Q649">
        <f t="shared" ca="1" si="50"/>
        <v>23</v>
      </c>
      <c r="R649">
        <f t="shared" si="51"/>
        <v>6</v>
      </c>
      <c r="S649">
        <f t="shared" ca="1" si="52"/>
        <v>7</v>
      </c>
      <c r="T649" t="str">
        <f t="shared" ca="1" si="53"/>
        <v>On Track</v>
      </c>
      <c r="U649" t="str">
        <f t="shared" ca="1" si="54"/>
        <v>Normal</v>
      </c>
    </row>
    <row r="650" spans="1:22">
      <c r="A650" t="s">
        <v>1801</v>
      </c>
      <c r="B650" t="s">
        <v>129</v>
      </c>
      <c r="C650" t="s">
        <v>1802</v>
      </c>
      <c r="D650" s="16">
        <v>28057.32</v>
      </c>
      <c r="E650" t="s">
        <v>62</v>
      </c>
      <c r="F650" t="s">
        <v>26</v>
      </c>
      <c r="G650" t="s">
        <v>1803</v>
      </c>
      <c r="H650" t="s">
        <v>121</v>
      </c>
      <c r="I650" t="s">
        <v>122</v>
      </c>
      <c r="J650" s="13">
        <v>46189</v>
      </c>
      <c r="K650" s="17" t="s">
        <v>57</v>
      </c>
      <c r="L650" s="13">
        <v>46219</v>
      </c>
      <c r="M650" t="s">
        <v>41</v>
      </c>
      <c r="N650" t="s">
        <v>32</v>
      </c>
      <c r="Q650">
        <f t="shared" ca="1" si="50"/>
        <v>0</v>
      </c>
      <c r="R650" t="str">
        <f t="shared" si="51"/>
        <v/>
      </c>
      <c r="S650">
        <f t="shared" ca="1" si="52"/>
        <v>30</v>
      </c>
      <c r="T650" t="str">
        <f t="shared" ca="1" si="53"/>
        <v>On Track</v>
      </c>
      <c r="U650" t="str">
        <f t="shared" ca="1" si="54"/>
        <v>Normal</v>
      </c>
      <c r="V650" t="s">
        <v>42</v>
      </c>
    </row>
    <row r="651" spans="1:22">
      <c r="A651" t="s">
        <v>1804</v>
      </c>
      <c r="B651" t="s">
        <v>115</v>
      </c>
      <c r="C651" t="s">
        <v>1805</v>
      </c>
      <c r="D651" s="16">
        <v>2760.62</v>
      </c>
      <c r="E651" t="s">
        <v>78</v>
      </c>
      <c r="F651" t="s">
        <v>38</v>
      </c>
      <c r="H651" t="s">
        <v>80</v>
      </c>
      <c r="I651" t="s">
        <v>29</v>
      </c>
      <c r="J651" s="13">
        <v>46180</v>
      </c>
      <c r="K651" s="17" t="s">
        <v>57</v>
      </c>
      <c r="L651" s="13">
        <v>46210</v>
      </c>
      <c r="M651" t="s">
        <v>65</v>
      </c>
      <c r="N651" t="s">
        <v>58</v>
      </c>
      <c r="Q651">
        <f t="shared" ca="1" si="50"/>
        <v>9</v>
      </c>
      <c r="R651" t="str">
        <f t="shared" si="51"/>
        <v/>
      </c>
      <c r="S651">
        <f t="shared" ca="1" si="52"/>
        <v>21</v>
      </c>
      <c r="T651" t="str">
        <f t="shared" ca="1" si="53"/>
        <v>On Track</v>
      </c>
      <c r="U651" t="str">
        <f t="shared" ca="1" si="54"/>
        <v>Normal</v>
      </c>
      <c r="V651" t="s">
        <v>59</v>
      </c>
    </row>
    <row r="652" spans="1:22">
      <c r="A652" t="s">
        <v>1806</v>
      </c>
      <c r="B652" t="s">
        <v>76</v>
      </c>
      <c r="C652" t="s">
        <v>1807</v>
      </c>
      <c r="D652" s="16">
        <v>3334.8</v>
      </c>
      <c r="E652" t="s">
        <v>156</v>
      </c>
      <c r="F652" t="s">
        <v>38</v>
      </c>
      <c r="H652" t="s">
        <v>157</v>
      </c>
      <c r="I652" t="s">
        <v>29</v>
      </c>
      <c r="J652" s="13">
        <v>46188</v>
      </c>
      <c r="K652" s="17" t="s">
        <v>49</v>
      </c>
      <c r="L652" s="13">
        <v>46233</v>
      </c>
      <c r="M652" t="s">
        <v>65</v>
      </c>
      <c r="N652" t="s">
        <v>32</v>
      </c>
      <c r="Q652">
        <f t="shared" ca="1" si="50"/>
        <v>1</v>
      </c>
      <c r="R652" t="str">
        <f t="shared" si="51"/>
        <v/>
      </c>
      <c r="S652">
        <f t="shared" ca="1" si="52"/>
        <v>44</v>
      </c>
      <c r="T652" t="str">
        <f t="shared" ca="1" si="53"/>
        <v>On Track</v>
      </c>
      <c r="U652" t="str">
        <f t="shared" ca="1" si="54"/>
        <v>Normal</v>
      </c>
    </row>
    <row r="653" spans="1:22">
      <c r="A653" t="s">
        <v>1808</v>
      </c>
      <c r="B653" t="s">
        <v>82</v>
      </c>
      <c r="C653" t="s">
        <v>1809</v>
      </c>
      <c r="D653" s="16">
        <v>4777.7299999999996</v>
      </c>
      <c r="E653" t="s">
        <v>142</v>
      </c>
      <c r="F653" t="s">
        <v>26</v>
      </c>
      <c r="G653" t="s">
        <v>1810</v>
      </c>
      <c r="H653" t="s">
        <v>335</v>
      </c>
      <c r="I653" t="s">
        <v>29</v>
      </c>
      <c r="J653" s="13">
        <v>46177</v>
      </c>
      <c r="K653" s="17" t="s">
        <v>40</v>
      </c>
      <c r="L653" s="13">
        <v>46207</v>
      </c>
      <c r="M653" t="s">
        <v>65</v>
      </c>
      <c r="N653" t="s">
        <v>32</v>
      </c>
      <c r="Q653">
        <f t="shared" ca="1" si="50"/>
        <v>12</v>
      </c>
      <c r="R653" t="str">
        <f t="shared" si="51"/>
        <v/>
      </c>
      <c r="S653">
        <f t="shared" ca="1" si="52"/>
        <v>18</v>
      </c>
      <c r="T653" t="str">
        <f t="shared" ca="1" si="53"/>
        <v>On Track</v>
      </c>
      <c r="U653" t="str">
        <f t="shared" ca="1" si="54"/>
        <v>Normal</v>
      </c>
    </row>
    <row r="654" spans="1:22">
      <c r="A654" t="s">
        <v>1811</v>
      </c>
      <c r="B654" t="s">
        <v>82</v>
      </c>
      <c r="C654" t="s">
        <v>1812</v>
      </c>
      <c r="D654" s="16">
        <v>15382</v>
      </c>
      <c r="E654" t="s">
        <v>156</v>
      </c>
      <c r="F654" t="s">
        <v>26</v>
      </c>
      <c r="G654" t="s">
        <v>1813</v>
      </c>
      <c r="H654" t="s">
        <v>394</v>
      </c>
      <c r="I654" t="s">
        <v>92</v>
      </c>
      <c r="J654" s="13">
        <v>46156</v>
      </c>
      <c r="K654" s="17" t="s">
        <v>49</v>
      </c>
      <c r="L654" s="13">
        <v>46201</v>
      </c>
      <c r="M654" t="s">
        <v>84</v>
      </c>
      <c r="N654" t="s">
        <v>32</v>
      </c>
      <c r="O654" s="13">
        <v>46161</v>
      </c>
      <c r="Q654">
        <f t="shared" ca="1" si="50"/>
        <v>33</v>
      </c>
      <c r="R654">
        <f t="shared" si="51"/>
        <v>5</v>
      </c>
      <c r="S654">
        <f t="shared" ca="1" si="52"/>
        <v>12</v>
      </c>
      <c r="T654" t="str">
        <f t="shared" ca="1" si="53"/>
        <v>On Track</v>
      </c>
      <c r="U654" t="str">
        <f t="shared" ca="1" si="54"/>
        <v>Normal</v>
      </c>
    </row>
    <row r="655" spans="1:22">
      <c r="A655" t="s">
        <v>1814</v>
      </c>
      <c r="B655" t="s">
        <v>168</v>
      </c>
      <c r="C655" t="s">
        <v>1815</v>
      </c>
      <c r="D655" s="16">
        <v>8839.1</v>
      </c>
      <c r="E655" t="s">
        <v>25</v>
      </c>
      <c r="F655" t="s">
        <v>26</v>
      </c>
      <c r="G655" t="s">
        <v>1816</v>
      </c>
      <c r="H655" t="s">
        <v>149</v>
      </c>
      <c r="I655" t="s">
        <v>92</v>
      </c>
      <c r="J655" s="13">
        <v>46184</v>
      </c>
      <c r="K655" s="17" t="s">
        <v>30</v>
      </c>
      <c r="L655" s="13">
        <v>46199</v>
      </c>
      <c r="M655" t="s">
        <v>145</v>
      </c>
      <c r="N655" t="s">
        <v>32</v>
      </c>
      <c r="O655" s="13">
        <v>46189</v>
      </c>
      <c r="Q655">
        <f t="shared" ca="1" si="50"/>
        <v>5</v>
      </c>
      <c r="R655">
        <f t="shared" si="51"/>
        <v>5</v>
      </c>
      <c r="S655">
        <f t="shared" ca="1" si="52"/>
        <v>10</v>
      </c>
      <c r="T655" t="str">
        <f t="shared" ca="1" si="53"/>
        <v>On Track</v>
      </c>
      <c r="U655" t="str">
        <f t="shared" ca="1" si="54"/>
        <v>Normal</v>
      </c>
    </row>
    <row r="656" spans="1:22">
      <c r="A656" t="s">
        <v>1817</v>
      </c>
      <c r="B656" t="s">
        <v>23</v>
      </c>
      <c r="C656" t="s">
        <v>1818</v>
      </c>
      <c r="D656" s="16">
        <v>9819.49</v>
      </c>
      <c r="E656" t="s">
        <v>142</v>
      </c>
      <c r="F656" t="s">
        <v>26</v>
      </c>
      <c r="G656" t="s">
        <v>1819</v>
      </c>
      <c r="H656" t="s">
        <v>144</v>
      </c>
      <c r="I656" t="s">
        <v>92</v>
      </c>
      <c r="J656" s="13">
        <v>46147</v>
      </c>
      <c r="K656" s="17" t="s">
        <v>49</v>
      </c>
      <c r="L656" s="13">
        <v>46192</v>
      </c>
      <c r="M656" t="s">
        <v>65</v>
      </c>
      <c r="N656" t="s">
        <v>32</v>
      </c>
      <c r="Q656">
        <f t="shared" ca="1" si="50"/>
        <v>42</v>
      </c>
      <c r="R656" t="str">
        <f t="shared" si="51"/>
        <v/>
      </c>
      <c r="S656">
        <f t="shared" ca="1" si="52"/>
        <v>3</v>
      </c>
      <c r="T656" t="str">
        <f t="shared" ca="1" si="53"/>
        <v>On Track</v>
      </c>
      <c r="U656" t="str">
        <f t="shared" ca="1" si="54"/>
        <v>At Risk</v>
      </c>
    </row>
    <row r="657" spans="1:22">
      <c r="A657" t="s">
        <v>1820</v>
      </c>
      <c r="B657" t="s">
        <v>187</v>
      </c>
      <c r="C657" t="s">
        <v>1821</v>
      </c>
      <c r="D657" s="16">
        <v>685.3</v>
      </c>
      <c r="E657" t="s">
        <v>37</v>
      </c>
      <c r="F657" t="s">
        <v>26</v>
      </c>
      <c r="G657" t="s">
        <v>1822</v>
      </c>
      <c r="H657" t="s">
        <v>39</v>
      </c>
      <c r="I657" t="s">
        <v>29</v>
      </c>
      <c r="J657" s="13">
        <v>46149</v>
      </c>
      <c r="K657" s="17" t="s">
        <v>30</v>
      </c>
      <c r="L657" s="13">
        <v>46164</v>
      </c>
      <c r="M657" t="s">
        <v>41</v>
      </c>
      <c r="N657" t="s">
        <v>213</v>
      </c>
      <c r="Q657">
        <f t="shared" ca="1" si="50"/>
        <v>40</v>
      </c>
      <c r="R657" t="str">
        <f t="shared" si="51"/>
        <v/>
      </c>
      <c r="S657">
        <f t="shared" ca="1" si="52"/>
        <v>-25</v>
      </c>
      <c r="T657" t="str">
        <f t="shared" ca="1" si="53"/>
        <v>Overdue</v>
      </c>
      <c r="U657" t="str">
        <f t="shared" ca="1" si="54"/>
        <v>At Risk</v>
      </c>
      <c r="V657" t="s">
        <v>214</v>
      </c>
    </row>
    <row r="658" spans="1:22">
      <c r="A658" t="s">
        <v>1823</v>
      </c>
      <c r="B658" t="s">
        <v>137</v>
      </c>
      <c r="C658" t="s">
        <v>1824</v>
      </c>
      <c r="D658" s="16">
        <v>3900.86</v>
      </c>
      <c r="E658" t="s">
        <v>46</v>
      </c>
      <c r="F658" t="s">
        <v>26</v>
      </c>
      <c r="G658" t="s">
        <v>1825</v>
      </c>
      <c r="H658" t="s">
        <v>48</v>
      </c>
      <c r="I658" t="s">
        <v>29</v>
      </c>
      <c r="J658" s="13">
        <v>46184</v>
      </c>
      <c r="K658" s="17" t="s">
        <v>40</v>
      </c>
      <c r="L658" s="13">
        <v>46214</v>
      </c>
      <c r="M658" t="s">
        <v>65</v>
      </c>
      <c r="N658" t="s">
        <v>32</v>
      </c>
      <c r="Q658">
        <f t="shared" ca="1" si="50"/>
        <v>5</v>
      </c>
      <c r="R658" t="str">
        <f t="shared" si="51"/>
        <v/>
      </c>
      <c r="S658">
        <f t="shared" ca="1" si="52"/>
        <v>25</v>
      </c>
      <c r="T658" t="str">
        <f t="shared" ca="1" si="53"/>
        <v>On Track</v>
      </c>
      <c r="U658" t="str">
        <f t="shared" ca="1" si="54"/>
        <v>Normal</v>
      </c>
    </row>
    <row r="659" spans="1:22">
      <c r="A659" t="s">
        <v>1826</v>
      </c>
      <c r="B659" t="s">
        <v>208</v>
      </c>
      <c r="C659" t="s">
        <v>1827</v>
      </c>
      <c r="D659" s="16">
        <v>3671.43</v>
      </c>
      <c r="E659" t="s">
        <v>55</v>
      </c>
      <c r="F659" t="s">
        <v>26</v>
      </c>
      <c r="G659" t="s">
        <v>1828</v>
      </c>
      <c r="H659" t="s">
        <v>56</v>
      </c>
      <c r="I659" t="s">
        <v>29</v>
      </c>
      <c r="J659" s="13">
        <v>46186</v>
      </c>
      <c r="K659" s="17" t="s">
        <v>30</v>
      </c>
      <c r="L659" s="13">
        <v>46201</v>
      </c>
      <c r="M659" t="s">
        <v>145</v>
      </c>
      <c r="N659" t="s">
        <v>32</v>
      </c>
      <c r="O659" s="13">
        <v>46189</v>
      </c>
      <c r="Q659">
        <f t="shared" ca="1" si="50"/>
        <v>3</v>
      </c>
      <c r="R659">
        <f t="shared" si="51"/>
        <v>3</v>
      </c>
      <c r="S659">
        <f t="shared" ca="1" si="52"/>
        <v>12</v>
      </c>
      <c r="T659" t="str">
        <f t="shared" ca="1" si="53"/>
        <v>On Track</v>
      </c>
      <c r="U659" t="str">
        <f t="shared" ca="1" si="54"/>
        <v>Normal</v>
      </c>
    </row>
    <row r="660" spans="1:22">
      <c r="A660" t="s">
        <v>1829</v>
      </c>
      <c r="B660" t="s">
        <v>187</v>
      </c>
      <c r="C660" t="s">
        <v>1830</v>
      </c>
      <c r="D660" s="16">
        <v>4516.01</v>
      </c>
      <c r="E660" t="s">
        <v>25</v>
      </c>
      <c r="F660" t="s">
        <v>38</v>
      </c>
      <c r="H660" t="s">
        <v>28</v>
      </c>
      <c r="I660" t="s">
        <v>29</v>
      </c>
      <c r="J660" s="13">
        <v>46173</v>
      </c>
      <c r="K660" s="17" t="s">
        <v>49</v>
      </c>
      <c r="L660" s="13">
        <v>46218</v>
      </c>
      <c r="M660" t="s">
        <v>99</v>
      </c>
      <c r="N660" t="s">
        <v>58</v>
      </c>
      <c r="O660" s="13">
        <v>46188</v>
      </c>
      <c r="Q660">
        <f t="shared" ca="1" si="50"/>
        <v>16</v>
      </c>
      <c r="R660">
        <f t="shared" si="51"/>
        <v>15</v>
      </c>
      <c r="S660">
        <f t="shared" ca="1" si="52"/>
        <v>29</v>
      </c>
      <c r="T660" t="str">
        <f t="shared" ca="1" si="53"/>
        <v>On Track</v>
      </c>
      <c r="U660" t="str">
        <f t="shared" ca="1" si="54"/>
        <v>Normal</v>
      </c>
      <c r="V660" t="s">
        <v>59</v>
      </c>
    </row>
    <row r="661" spans="1:22">
      <c r="A661" t="s">
        <v>1831</v>
      </c>
      <c r="B661" t="s">
        <v>103</v>
      </c>
      <c r="C661" t="s">
        <v>1832</v>
      </c>
      <c r="D661" s="16">
        <v>3074.87</v>
      </c>
      <c r="E661" t="s">
        <v>55</v>
      </c>
      <c r="F661" t="s">
        <v>26</v>
      </c>
      <c r="G661" t="s">
        <v>1833</v>
      </c>
      <c r="H661" t="s">
        <v>56</v>
      </c>
      <c r="I661" t="s">
        <v>29</v>
      </c>
      <c r="J661" s="13">
        <v>46146</v>
      </c>
      <c r="K661" s="17" t="s">
        <v>30</v>
      </c>
      <c r="L661" s="13">
        <v>46161</v>
      </c>
      <c r="M661" t="s">
        <v>31</v>
      </c>
      <c r="N661" t="s">
        <v>32</v>
      </c>
      <c r="O661" s="13">
        <v>46153</v>
      </c>
      <c r="P661" s="13">
        <v>46159</v>
      </c>
      <c r="Q661">
        <f t="shared" ca="1" si="50"/>
        <v>43</v>
      </c>
      <c r="R661">
        <f t="shared" si="51"/>
        <v>7</v>
      </c>
      <c r="S661">
        <f t="shared" ca="1" si="52"/>
        <v>-28</v>
      </c>
      <c r="T661" t="str">
        <f t="shared" ca="1" si="53"/>
        <v>On Track</v>
      </c>
      <c r="U661" t="str">
        <f t="shared" ca="1" si="54"/>
        <v>Normal</v>
      </c>
      <c r="V661" t="s">
        <v>33</v>
      </c>
    </row>
    <row r="662" spans="1:22">
      <c r="A662" t="s">
        <v>1834</v>
      </c>
      <c r="B662" t="s">
        <v>103</v>
      </c>
      <c r="C662" t="s">
        <v>1835</v>
      </c>
      <c r="D662" s="16">
        <v>2712.2</v>
      </c>
      <c r="E662" t="s">
        <v>156</v>
      </c>
      <c r="F662" t="s">
        <v>26</v>
      </c>
      <c r="G662" t="s">
        <v>1836</v>
      </c>
      <c r="H662" t="s">
        <v>157</v>
      </c>
      <c r="I662" t="s">
        <v>29</v>
      </c>
      <c r="J662" s="13">
        <v>46163</v>
      </c>
      <c r="K662" s="17" t="s">
        <v>49</v>
      </c>
      <c r="L662" s="13">
        <v>46208</v>
      </c>
      <c r="M662" t="s">
        <v>31</v>
      </c>
      <c r="N662" t="s">
        <v>32</v>
      </c>
      <c r="O662" s="13">
        <v>46164</v>
      </c>
      <c r="P662" s="13">
        <v>46170</v>
      </c>
      <c r="Q662">
        <f t="shared" ca="1" si="50"/>
        <v>26</v>
      </c>
      <c r="R662">
        <f t="shared" si="51"/>
        <v>1</v>
      </c>
      <c r="S662">
        <f t="shared" ca="1" si="52"/>
        <v>19</v>
      </c>
      <c r="T662" t="str">
        <f t="shared" ca="1" si="53"/>
        <v>On Track</v>
      </c>
      <c r="U662" t="str">
        <f t="shared" ca="1" si="54"/>
        <v>Normal</v>
      </c>
      <c r="V662" t="s">
        <v>33</v>
      </c>
    </row>
    <row r="663" spans="1:22">
      <c r="A663" t="s">
        <v>1837</v>
      </c>
      <c r="B663" t="s">
        <v>222</v>
      </c>
      <c r="C663" t="s">
        <v>1838</v>
      </c>
      <c r="D663" s="16">
        <v>3977.29</v>
      </c>
      <c r="E663" t="s">
        <v>302</v>
      </c>
      <c r="F663" t="s">
        <v>26</v>
      </c>
      <c r="G663" t="s">
        <v>1839</v>
      </c>
      <c r="H663" t="s">
        <v>304</v>
      </c>
      <c r="I663" t="s">
        <v>29</v>
      </c>
      <c r="J663" s="13">
        <v>46171</v>
      </c>
      <c r="K663" s="17" t="s">
        <v>49</v>
      </c>
      <c r="L663" s="13">
        <v>46216</v>
      </c>
      <c r="M663" t="s">
        <v>41</v>
      </c>
      <c r="N663" t="s">
        <v>32</v>
      </c>
      <c r="Q663">
        <f t="shared" ca="1" si="50"/>
        <v>18</v>
      </c>
      <c r="R663" t="str">
        <f t="shared" si="51"/>
        <v/>
      </c>
      <c r="S663">
        <f t="shared" ca="1" si="52"/>
        <v>27</v>
      </c>
      <c r="T663" t="str">
        <f t="shared" ca="1" si="53"/>
        <v>Overdue</v>
      </c>
      <c r="U663" t="str">
        <f t="shared" ca="1" si="54"/>
        <v>Normal</v>
      </c>
      <c r="V663" t="s">
        <v>42</v>
      </c>
    </row>
    <row r="664" spans="1:22">
      <c r="A664" t="s">
        <v>1840</v>
      </c>
      <c r="B664" t="s">
        <v>137</v>
      </c>
      <c r="C664" t="s">
        <v>1841</v>
      </c>
      <c r="D664" s="16">
        <v>2414.5500000000002</v>
      </c>
      <c r="E664" t="s">
        <v>142</v>
      </c>
      <c r="F664" t="s">
        <v>38</v>
      </c>
      <c r="H664" t="s">
        <v>335</v>
      </c>
      <c r="I664" t="s">
        <v>29</v>
      </c>
      <c r="J664" s="13">
        <v>46173</v>
      </c>
      <c r="K664" s="17" t="s">
        <v>49</v>
      </c>
      <c r="L664" s="13">
        <v>46218</v>
      </c>
      <c r="M664" t="s">
        <v>31</v>
      </c>
      <c r="N664" t="s">
        <v>50</v>
      </c>
      <c r="O664" s="13">
        <v>46188</v>
      </c>
      <c r="P664" s="13">
        <v>46189</v>
      </c>
      <c r="Q664">
        <f t="shared" ca="1" si="50"/>
        <v>16</v>
      </c>
      <c r="R664">
        <f t="shared" si="51"/>
        <v>15</v>
      </c>
      <c r="S664">
        <f t="shared" ca="1" si="52"/>
        <v>29</v>
      </c>
      <c r="T664" t="str">
        <f t="shared" ca="1" si="53"/>
        <v>On Track</v>
      </c>
      <c r="U664" t="str">
        <f t="shared" ca="1" si="54"/>
        <v>Normal</v>
      </c>
      <c r="V664" t="s">
        <v>51</v>
      </c>
    </row>
    <row r="665" spans="1:22">
      <c r="A665" t="s">
        <v>1842</v>
      </c>
      <c r="B665" t="s">
        <v>82</v>
      </c>
      <c r="C665" t="s">
        <v>1843</v>
      </c>
      <c r="D665" s="16">
        <v>266.82</v>
      </c>
      <c r="E665" t="s">
        <v>62</v>
      </c>
      <c r="F665" t="s">
        <v>26</v>
      </c>
      <c r="G665" t="s">
        <v>1844</v>
      </c>
      <c r="H665" t="s">
        <v>64</v>
      </c>
      <c r="I665" t="s">
        <v>29</v>
      </c>
      <c r="J665" s="13">
        <v>46173</v>
      </c>
      <c r="K665" s="17" t="s">
        <v>57</v>
      </c>
      <c r="L665" s="13">
        <v>46203</v>
      </c>
      <c r="M665" t="s">
        <v>41</v>
      </c>
      <c r="N665" t="s">
        <v>32</v>
      </c>
      <c r="Q665">
        <f t="shared" ca="1" si="50"/>
        <v>16</v>
      </c>
      <c r="R665" t="str">
        <f t="shared" si="51"/>
        <v/>
      </c>
      <c r="S665">
        <f t="shared" ca="1" si="52"/>
        <v>14</v>
      </c>
      <c r="T665" t="str">
        <f t="shared" ca="1" si="53"/>
        <v>Overdue</v>
      </c>
      <c r="U665" t="str">
        <f t="shared" ca="1" si="54"/>
        <v>Normal</v>
      </c>
      <c r="V665" t="s">
        <v>42</v>
      </c>
    </row>
    <row r="666" spans="1:22">
      <c r="A666" t="s">
        <v>1845</v>
      </c>
      <c r="B666" t="s">
        <v>172</v>
      </c>
      <c r="C666" t="s">
        <v>1846</v>
      </c>
      <c r="D666" s="16">
        <v>4753.95</v>
      </c>
      <c r="E666" t="s">
        <v>55</v>
      </c>
      <c r="F666" t="s">
        <v>26</v>
      </c>
      <c r="G666" t="s">
        <v>1847</v>
      </c>
      <c r="H666" t="s">
        <v>56</v>
      </c>
      <c r="I666" t="s">
        <v>29</v>
      </c>
      <c r="J666" s="13">
        <v>46166</v>
      </c>
      <c r="K666" s="17" t="s">
        <v>30</v>
      </c>
      <c r="L666" s="13">
        <v>46181</v>
      </c>
      <c r="M666" t="s">
        <v>31</v>
      </c>
      <c r="N666" t="s">
        <v>32</v>
      </c>
      <c r="O666" s="13">
        <v>46169</v>
      </c>
      <c r="P666" s="13">
        <v>46171</v>
      </c>
      <c r="Q666">
        <f t="shared" ca="1" si="50"/>
        <v>23</v>
      </c>
      <c r="R666">
        <f t="shared" si="51"/>
        <v>3</v>
      </c>
      <c r="S666">
        <f t="shared" ca="1" si="52"/>
        <v>-8</v>
      </c>
      <c r="T666" t="str">
        <f t="shared" ca="1" si="53"/>
        <v>On Track</v>
      </c>
      <c r="U666" t="str">
        <f t="shared" ca="1" si="54"/>
        <v>Normal</v>
      </c>
      <c r="V666" t="s">
        <v>33</v>
      </c>
    </row>
    <row r="667" spans="1:22">
      <c r="A667" t="s">
        <v>1848</v>
      </c>
      <c r="B667" t="s">
        <v>115</v>
      </c>
      <c r="C667" t="s">
        <v>1849</v>
      </c>
      <c r="D667" s="16">
        <v>385.07</v>
      </c>
      <c r="E667" t="s">
        <v>142</v>
      </c>
      <c r="F667" t="s">
        <v>26</v>
      </c>
      <c r="G667" t="s">
        <v>1850</v>
      </c>
      <c r="H667" t="s">
        <v>335</v>
      </c>
      <c r="I667" t="s">
        <v>29</v>
      </c>
      <c r="J667" s="13">
        <v>46158</v>
      </c>
      <c r="K667" s="17" t="s">
        <v>49</v>
      </c>
      <c r="L667" s="13">
        <v>46203</v>
      </c>
      <c r="M667" t="s">
        <v>99</v>
      </c>
      <c r="N667" t="s">
        <v>32</v>
      </c>
      <c r="O667" s="13">
        <v>46164</v>
      </c>
      <c r="Q667">
        <f t="shared" ca="1" si="50"/>
        <v>31</v>
      </c>
      <c r="R667">
        <f t="shared" si="51"/>
        <v>6</v>
      </c>
      <c r="S667">
        <f t="shared" ca="1" si="52"/>
        <v>14</v>
      </c>
      <c r="T667" t="str">
        <f t="shared" ca="1" si="53"/>
        <v>On Track</v>
      </c>
      <c r="U667" t="str">
        <f t="shared" ca="1" si="54"/>
        <v>Normal</v>
      </c>
    </row>
    <row r="668" spans="1:22">
      <c r="A668" t="s">
        <v>1851</v>
      </c>
      <c r="B668" t="s">
        <v>271</v>
      </c>
      <c r="C668" t="s">
        <v>1852</v>
      </c>
      <c r="D668" s="16">
        <v>4085.11</v>
      </c>
      <c r="E668" t="s">
        <v>126</v>
      </c>
      <c r="F668" t="s">
        <v>38</v>
      </c>
      <c r="H668" t="s">
        <v>241</v>
      </c>
      <c r="I668" t="s">
        <v>29</v>
      </c>
      <c r="J668" s="13">
        <v>46145</v>
      </c>
      <c r="K668" s="17" t="s">
        <v>57</v>
      </c>
      <c r="L668" s="13">
        <v>46175</v>
      </c>
      <c r="M668" t="s">
        <v>41</v>
      </c>
      <c r="N668" t="s">
        <v>32</v>
      </c>
      <c r="Q668">
        <f t="shared" ca="1" si="50"/>
        <v>44</v>
      </c>
      <c r="R668" t="str">
        <f t="shared" si="51"/>
        <v/>
      </c>
      <c r="S668">
        <f t="shared" ca="1" si="52"/>
        <v>-14</v>
      </c>
      <c r="T668" t="str">
        <f t="shared" ca="1" si="53"/>
        <v>Overdue</v>
      </c>
      <c r="U668" t="str">
        <f t="shared" ca="1" si="54"/>
        <v>At Risk</v>
      </c>
      <c r="V668" t="s">
        <v>42</v>
      </c>
    </row>
    <row r="669" spans="1:22">
      <c r="A669" t="s">
        <v>1853</v>
      </c>
      <c r="B669" t="s">
        <v>124</v>
      </c>
      <c r="C669" t="s">
        <v>1854</v>
      </c>
      <c r="D669" s="16">
        <v>1944.19</v>
      </c>
      <c r="E669" t="s">
        <v>126</v>
      </c>
      <c r="F669" t="s">
        <v>26</v>
      </c>
      <c r="G669" t="s">
        <v>1855</v>
      </c>
      <c r="H669" t="s">
        <v>241</v>
      </c>
      <c r="I669" t="s">
        <v>29</v>
      </c>
      <c r="J669" s="13">
        <v>46183</v>
      </c>
      <c r="K669" s="17" t="s">
        <v>40</v>
      </c>
      <c r="L669" s="13">
        <v>46213</v>
      </c>
      <c r="M669" t="s">
        <v>41</v>
      </c>
      <c r="N669" t="s">
        <v>179</v>
      </c>
      <c r="Q669">
        <f t="shared" ca="1" si="50"/>
        <v>6</v>
      </c>
      <c r="R669" t="str">
        <f t="shared" si="51"/>
        <v/>
      </c>
      <c r="S669">
        <f t="shared" ca="1" si="52"/>
        <v>24</v>
      </c>
      <c r="T669" t="str">
        <f t="shared" ca="1" si="53"/>
        <v>Overdue</v>
      </c>
      <c r="U669" t="str">
        <f t="shared" ca="1" si="54"/>
        <v>Normal</v>
      </c>
      <c r="V669" t="s">
        <v>180</v>
      </c>
    </row>
    <row r="670" spans="1:22">
      <c r="A670" t="s">
        <v>1856</v>
      </c>
      <c r="B670" t="s">
        <v>172</v>
      </c>
      <c r="C670" t="s">
        <v>1857</v>
      </c>
      <c r="D670" s="16">
        <v>3409.31</v>
      </c>
      <c r="E670" t="s">
        <v>126</v>
      </c>
      <c r="F670" t="s">
        <v>26</v>
      </c>
      <c r="G670" t="s">
        <v>1858</v>
      </c>
      <c r="H670" t="s">
        <v>241</v>
      </c>
      <c r="I670" t="s">
        <v>29</v>
      </c>
      <c r="J670" s="13">
        <v>46184</v>
      </c>
      <c r="K670" s="17" t="s">
        <v>57</v>
      </c>
      <c r="L670" s="13">
        <v>46214</v>
      </c>
      <c r="M670" t="s">
        <v>65</v>
      </c>
      <c r="N670" t="s">
        <v>213</v>
      </c>
      <c r="Q670">
        <f t="shared" ca="1" si="50"/>
        <v>5</v>
      </c>
      <c r="R670" t="str">
        <f t="shared" si="51"/>
        <v/>
      </c>
      <c r="S670">
        <f t="shared" ca="1" si="52"/>
        <v>25</v>
      </c>
      <c r="T670" t="str">
        <f t="shared" ca="1" si="53"/>
        <v>On Track</v>
      </c>
      <c r="U670" t="str">
        <f t="shared" ca="1" si="54"/>
        <v>Normal</v>
      </c>
      <c r="V670" t="s">
        <v>214</v>
      </c>
    </row>
    <row r="671" spans="1:22">
      <c r="A671" t="s">
        <v>1859</v>
      </c>
      <c r="B671" t="s">
        <v>222</v>
      </c>
      <c r="C671" t="s">
        <v>1860</v>
      </c>
      <c r="D671" s="16">
        <v>3114.04</v>
      </c>
      <c r="E671" t="s">
        <v>142</v>
      </c>
      <c r="F671" t="s">
        <v>26</v>
      </c>
      <c r="G671" t="s">
        <v>1861</v>
      </c>
      <c r="H671" t="s">
        <v>335</v>
      </c>
      <c r="I671" t="s">
        <v>29</v>
      </c>
      <c r="J671" s="13">
        <v>46176</v>
      </c>
      <c r="K671" s="17" t="s">
        <v>40</v>
      </c>
      <c r="L671" s="13">
        <v>46206</v>
      </c>
      <c r="M671" t="s">
        <v>41</v>
      </c>
      <c r="N671" t="s">
        <v>32</v>
      </c>
      <c r="Q671">
        <f t="shared" ca="1" si="50"/>
        <v>13</v>
      </c>
      <c r="R671" t="str">
        <f t="shared" si="51"/>
        <v/>
      </c>
      <c r="S671">
        <f t="shared" ca="1" si="52"/>
        <v>17</v>
      </c>
      <c r="T671" t="str">
        <f t="shared" ca="1" si="53"/>
        <v>Overdue</v>
      </c>
      <c r="U671" t="str">
        <f t="shared" ca="1" si="54"/>
        <v>Normal</v>
      </c>
      <c r="V671" t="s">
        <v>42</v>
      </c>
    </row>
    <row r="672" spans="1:22">
      <c r="A672" t="s">
        <v>1862</v>
      </c>
      <c r="B672" t="s">
        <v>118</v>
      </c>
      <c r="C672" t="s">
        <v>1863</v>
      </c>
      <c r="D672" s="16">
        <v>2564.19</v>
      </c>
      <c r="E672" t="s">
        <v>37</v>
      </c>
      <c r="F672" t="s">
        <v>38</v>
      </c>
      <c r="H672" t="s">
        <v>39</v>
      </c>
      <c r="I672" t="s">
        <v>29</v>
      </c>
      <c r="J672" s="13">
        <v>46185</v>
      </c>
      <c r="K672" s="17" t="s">
        <v>49</v>
      </c>
      <c r="L672" s="13">
        <v>46230</v>
      </c>
      <c r="M672" t="s">
        <v>65</v>
      </c>
      <c r="N672" t="s">
        <v>32</v>
      </c>
      <c r="Q672">
        <f t="shared" ca="1" si="50"/>
        <v>4</v>
      </c>
      <c r="R672" t="str">
        <f t="shared" si="51"/>
        <v/>
      </c>
      <c r="S672">
        <f t="shared" ca="1" si="52"/>
        <v>41</v>
      </c>
      <c r="T672" t="str">
        <f t="shared" ca="1" si="53"/>
        <v>On Track</v>
      </c>
      <c r="U672" t="str">
        <f t="shared" ca="1" si="54"/>
        <v>Normal</v>
      </c>
    </row>
    <row r="673" spans="1:22">
      <c r="A673" t="s">
        <v>1864</v>
      </c>
      <c r="B673" t="s">
        <v>109</v>
      </c>
      <c r="C673" t="s">
        <v>1865</v>
      </c>
      <c r="D673" s="16">
        <v>2894.4</v>
      </c>
      <c r="E673" t="s">
        <v>62</v>
      </c>
      <c r="F673" t="s">
        <v>38</v>
      </c>
      <c r="H673" t="s">
        <v>64</v>
      </c>
      <c r="I673" t="s">
        <v>29</v>
      </c>
      <c r="J673" s="13">
        <v>46181</v>
      </c>
      <c r="K673" s="17" t="s">
        <v>30</v>
      </c>
      <c r="L673" s="13">
        <v>46196</v>
      </c>
      <c r="M673" t="s">
        <v>99</v>
      </c>
      <c r="N673" t="s">
        <v>32</v>
      </c>
      <c r="O673" s="13">
        <v>46189</v>
      </c>
      <c r="Q673">
        <f t="shared" ca="1" si="50"/>
        <v>8</v>
      </c>
      <c r="R673">
        <f t="shared" si="51"/>
        <v>8</v>
      </c>
      <c r="S673">
        <f t="shared" ca="1" si="52"/>
        <v>7</v>
      </c>
      <c r="T673" t="str">
        <f t="shared" ca="1" si="53"/>
        <v>On Track</v>
      </c>
      <c r="U673" t="str">
        <f t="shared" ca="1" si="54"/>
        <v>Normal</v>
      </c>
    </row>
    <row r="674" spans="1:22">
      <c r="A674" t="s">
        <v>1866</v>
      </c>
      <c r="B674" t="s">
        <v>168</v>
      </c>
      <c r="C674" t="s">
        <v>306</v>
      </c>
      <c r="D674" s="16">
        <v>4506.5200000000004</v>
      </c>
      <c r="E674" t="s">
        <v>55</v>
      </c>
      <c r="F674" t="s">
        <v>26</v>
      </c>
      <c r="G674" t="s">
        <v>1867</v>
      </c>
      <c r="H674" t="s">
        <v>56</v>
      </c>
      <c r="I674" t="s">
        <v>29</v>
      </c>
      <c r="J674" s="13">
        <v>46149</v>
      </c>
      <c r="K674" s="17" t="s">
        <v>57</v>
      </c>
      <c r="L674" s="13">
        <v>46179</v>
      </c>
      <c r="M674" t="s">
        <v>31</v>
      </c>
      <c r="N674" t="s">
        <v>32</v>
      </c>
      <c r="O674" s="13">
        <v>46155</v>
      </c>
      <c r="P674" s="13">
        <v>46156</v>
      </c>
      <c r="Q674">
        <f t="shared" ca="1" si="50"/>
        <v>40</v>
      </c>
      <c r="R674">
        <f t="shared" si="51"/>
        <v>6</v>
      </c>
      <c r="S674">
        <f t="shared" ca="1" si="52"/>
        <v>-10</v>
      </c>
      <c r="T674" t="str">
        <f t="shared" ca="1" si="53"/>
        <v>On Track</v>
      </c>
      <c r="U674" t="str">
        <f t="shared" ca="1" si="54"/>
        <v>Normal</v>
      </c>
      <c r="V674" t="s">
        <v>33</v>
      </c>
    </row>
    <row r="675" spans="1:22">
      <c r="A675" t="s">
        <v>1868</v>
      </c>
      <c r="B675" t="s">
        <v>35</v>
      </c>
      <c r="C675" t="s">
        <v>1869</v>
      </c>
      <c r="D675" s="16">
        <v>2302.7399999999998</v>
      </c>
      <c r="E675" t="s">
        <v>37</v>
      </c>
      <c r="F675" t="s">
        <v>26</v>
      </c>
      <c r="G675" t="s">
        <v>1870</v>
      </c>
      <c r="H675" t="s">
        <v>39</v>
      </c>
      <c r="I675" t="s">
        <v>29</v>
      </c>
      <c r="J675" s="13">
        <v>46175</v>
      </c>
      <c r="K675" s="17" t="s">
        <v>49</v>
      </c>
      <c r="L675" s="13">
        <v>46220</v>
      </c>
      <c r="M675" t="s">
        <v>31</v>
      </c>
      <c r="N675" t="s">
        <v>32</v>
      </c>
      <c r="O675" s="13">
        <v>46176</v>
      </c>
      <c r="P675" s="13">
        <v>46178</v>
      </c>
      <c r="Q675">
        <f t="shared" ca="1" si="50"/>
        <v>14</v>
      </c>
      <c r="R675">
        <f t="shared" si="51"/>
        <v>1</v>
      </c>
      <c r="S675">
        <f t="shared" ca="1" si="52"/>
        <v>31</v>
      </c>
      <c r="T675" t="str">
        <f t="shared" ca="1" si="53"/>
        <v>On Track</v>
      </c>
      <c r="U675" t="str">
        <f t="shared" ca="1" si="54"/>
        <v>Normal</v>
      </c>
      <c r="V675" t="s">
        <v>33</v>
      </c>
    </row>
    <row r="676" spans="1:22">
      <c r="A676" t="s">
        <v>1871</v>
      </c>
      <c r="B676" t="s">
        <v>23</v>
      </c>
      <c r="C676" t="s">
        <v>1872</v>
      </c>
      <c r="D676" s="16">
        <v>625</v>
      </c>
      <c r="E676" t="s">
        <v>25</v>
      </c>
      <c r="F676" t="s">
        <v>38</v>
      </c>
      <c r="H676" t="s">
        <v>28</v>
      </c>
      <c r="I676" t="s">
        <v>29</v>
      </c>
      <c r="J676" s="13">
        <v>46176</v>
      </c>
      <c r="K676" s="17" t="s">
        <v>30</v>
      </c>
      <c r="L676" s="13">
        <v>46191</v>
      </c>
      <c r="M676" t="s">
        <v>31</v>
      </c>
      <c r="N676" t="s">
        <v>58</v>
      </c>
      <c r="O676" s="13">
        <v>46187</v>
      </c>
      <c r="P676" s="13">
        <v>46188</v>
      </c>
      <c r="Q676">
        <f t="shared" ca="1" si="50"/>
        <v>13</v>
      </c>
      <c r="R676">
        <f t="shared" si="51"/>
        <v>11</v>
      </c>
      <c r="S676">
        <f t="shared" ca="1" si="52"/>
        <v>2</v>
      </c>
      <c r="T676" t="str">
        <f t="shared" ca="1" si="53"/>
        <v>On Track</v>
      </c>
      <c r="U676" t="str">
        <f t="shared" ca="1" si="54"/>
        <v>Normal</v>
      </c>
      <c r="V676" t="s">
        <v>59</v>
      </c>
    </row>
    <row r="677" spans="1:22">
      <c r="A677" t="s">
        <v>1873</v>
      </c>
      <c r="B677" t="s">
        <v>172</v>
      </c>
      <c r="C677" t="s">
        <v>1874</v>
      </c>
      <c r="D677" s="16">
        <v>1748.05</v>
      </c>
      <c r="E677" t="s">
        <v>142</v>
      </c>
      <c r="F677" t="s">
        <v>26</v>
      </c>
      <c r="G677" t="s">
        <v>1875</v>
      </c>
      <c r="H677" t="s">
        <v>335</v>
      </c>
      <c r="I677" t="s">
        <v>29</v>
      </c>
      <c r="J677" s="13">
        <v>46187</v>
      </c>
      <c r="K677" s="17" t="s">
        <v>49</v>
      </c>
      <c r="L677" s="13">
        <v>46232</v>
      </c>
      <c r="M677" t="s">
        <v>99</v>
      </c>
      <c r="N677" t="s">
        <v>32</v>
      </c>
      <c r="O677" s="13">
        <v>46189</v>
      </c>
      <c r="Q677">
        <f t="shared" ca="1" si="50"/>
        <v>2</v>
      </c>
      <c r="R677">
        <f t="shared" si="51"/>
        <v>2</v>
      </c>
      <c r="S677">
        <f t="shared" ca="1" si="52"/>
        <v>43</v>
      </c>
      <c r="T677" t="str">
        <f t="shared" ca="1" si="53"/>
        <v>On Track</v>
      </c>
      <c r="U677" t="str">
        <f t="shared" ca="1" si="54"/>
        <v>Normal</v>
      </c>
    </row>
    <row r="678" spans="1:22">
      <c r="A678" t="s">
        <v>1876</v>
      </c>
      <c r="B678" t="s">
        <v>109</v>
      </c>
      <c r="C678" t="s">
        <v>1877</v>
      </c>
      <c r="D678" s="16">
        <v>1438.17</v>
      </c>
      <c r="E678" t="s">
        <v>69</v>
      </c>
      <c r="F678" t="s">
        <v>38</v>
      </c>
      <c r="H678" t="s">
        <v>71</v>
      </c>
      <c r="I678" t="s">
        <v>29</v>
      </c>
      <c r="J678" s="13">
        <v>46162</v>
      </c>
      <c r="K678" s="17" t="s">
        <v>49</v>
      </c>
      <c r="L678" s="13">
        <v>46207</v>
      </c>
      <c r="M678" t="s">
        <v>31</v>
      </c>
      <c r="N678" t="s">
        <v>58</v>
      </c>
      <c r="O678" s="13">
        <v>46182</v>
      </c>
      <c r="P678" s="13">
        <v>46211</v>
      </c>
      <c r="Q678">
        <f t="shared" ca="1" si="50"/>
        <v>27</v>
      </c>
      <c r="R678">
        <f t="shared" si="51"/>
        <v>20</v>
      </c>
      <c r="S678">
        <f t="shared" ca="1" si="52"/>
        <v>18</v>
      </c>
      <c r="T678" t="str">
        <f t="shared" ca="1" si="53"/>
        <v>On Track</v>
      </c>
      <c r="U678" t="str">
        <f t="shared" ca="1" si="54"/>
        <v>Normal</v>
      </c>
      <c r="V678" t="s">
        <v>107</v>
      </c>
    </row>
    <row r="679" spans="1:22">
      <c r="A679" t="s">
        <v>1878</v>
      </c>
      <c r="B679" t="s">
        <v>251</v>
      </c>
      <c r="C679" t="s">
        <v>1879</v>
      </c>
      <c r="D679" s="16">
        <v>3713.28</v>
      </c>
      <c r="E679" t="s">
        <v>111</v>
      </c>
      <c r="F679" t="s">
        <v>26</v>
      </c>
      <c r="G679" t="s">
        <v>1880</v>
      </c>
      <c r="H679" t="s">
        <v>113</v>
      </c>
      <c r="I679" t="s">
        <v>29</v>
      </c>
      <c r="J679" s="13">
        <v>46158</v>
      </c>
      <c r="K679" s="17" t="s">
        <v>57</v>
      </c>
      <c r="L679" s="13">
        <v>46188</v>
      </c>
      <c r="M679" t="s">
        <v>31</v>
      </c>
      <c r="N679" t="s">
        <v>32</v>
      </c>
      <c r="O679" s="13">
        <v>46162</v>
      </c>
      <c r="P679" s="13">
        <v>46167</v>
      </c>
      <c r="Q679">
        <f t="shared" ca="1" si="50"/>
        <v>31</v>
      </c>
      <c r="R679">
        <f t="shared" si="51"/>
        <v>4</v>
      </c>
      <c r="S679">
        <f t="shared" ca="1" si="52"/>
        <v>-1</v>
      </c>
      <c r="T679" t="str">
        <f t="shared" ca="1" si="53"/>
        <v>On Track</v>
      </c>
      <c r="U679" t="str">
        <f t="shared" ca="1" si="54"/>
        <v>Normal</v>
      </c>
      <c r="V679" t="s">
        <v>33</v>
      </c>
    </row>
    <row r="680" spans="1:22">
      <c r="A680" t="s">
        <v>1881</v>
      </c>
      <c r="B680" t="s">
        <v>67</v>
      </c>
      <c r="C680" t="s">
        <v>1882</v>
      </c>
      <c r="D680" s="16">
        <v>13997.32</v>
      </c>
      <c r="E680" t="s">
        <v>62</v>
      </c>
      <c r="F680" t="s">
        <v>38</v>
      </c>
      <c r="H680" t="s">
        <v>106</v>
      </c>
      <c r="I680" t="s">
        <v>92</v>
      </c>
      <c r="J680" s="13">
        <v>46164</v>
      </c>
      <c r="K680" s="17" t="s">
        <v>57</v>
      </c>
      <c r="L680" s="13">
        <v>46194</v>
      </c>
      <c r="M680" t="s">
        <v>31</v>
      </c>
      <c r="N680" t="s">
        <v>32</v>
      </c>
      <c r="O680" s="13">
        <v>46178</v>
      </c>
      <c r="P680" s="13">
        <v>46185</v>
      </c>
      <c r="Q680">
        <f t="shared" ca="1" si="50"/>
        <v>25</v>
      </c>
      <c r="R680">
        <f t="shared" si="51"/>
        <v>14</v>
      </c>
      <c r="S680">
        <f t="shared" ca="1" si="52"/>
        <v>5</v>
      </c>
      <c r="T680" t="str">
        <f t="shared" ca="1" si="53"/>
        <v>On Track</v>
      </c>
      <c r="U680" t="str">
        <f t="shared" ca="1" si="54"/>
        <v>Normal</v>
      </c>
      <c r="V680" t="s">
        <v>33</v>
      </c>
    </row>
    <row r="681" spans="1:22">
      <c r="A681" t="s">
        <v>1883</v>
      </c>
      <c r="B681" t="s">
        <v>94</v>
      </c>
      <c r="C681" t="s">
        <v>1884</v>
      </c>
      <c r="D681" s="16">
        <v>4225.5600000000004</v>
      </c>
      <c r="E681" t="s">
        <v>142</v>
      </c>
      <c r="F681" t="s">
        <v>26</v>
      </c>
      <c r="G681" t="s">
        <v>1885</v>
      </c>
      <c r="H681" t="s">
        <v>335</v>
      </c>
      <c r="I681" t="s">
        <v>29</v>
      </c>
      <c r="J681" s="13">
        <v>46144</v>
      </c>
      <c r="K681" s="17" t="s">
        <v>40</v>
      </c>
      <c r="L681" s="13">
        <v>46174</v>
      </c>
      <c r="M681" t="s">
        <v>31</v>
      </c>
      <c r="N681" t="s">
        <v>50</v>
      </c>
      <c r="O681" s="13">
        <v>46154</v>
      </c>
      <c r="P681" s="13">
        <v>46160</v>
      </c>
      <c r="Q681">
        <f t="shared" ca="1" si="50"/>
        <v>45</v>
      </c>
      <c r="R681">
        <f t="shared" si="51"/>
        <v>10</v>
      </c>
      <c r="S681">
        <f t="shared" ca="1" si="52"/>
        <v>-15</v>
      </c>
      <c r="T681" t="str">
        <f t="shared" ca="1" si="53"/>
        <v>On Track</v>
      </c>
      <c r="U681" t="str">
        <f t="shared" ca="1" si="54"/>
        <v>Normal</v>
      </c>
      <c r="V681" t="s">
        <v>51</v>
      </c>
    </row>
    <row r="682" spans="1:22">
      <c r="A682" t="s">
        <v>1886</v>
      </c>
      <c r="B682" t="s">
        <v>208</v>
      </c>
      <c r="C682" t="s">
        <v>1887</v>
      </c>
      <c r="D682" s="16">
        <v>1733.66</v>
      </c>
      <c r="E682" t="s">
        <v>69</v>
      </c>
      <c r="F682" t="s">
        <v>26</v>
      </c>
      <c r="G682" t="s">
        <v>1888</v>
      </c>
      <c r="H682" t="s">
        <v>71</v>
      </c>
      <c r="I682" t="s">
        <v>29</v>
      </c>
      <c r="J682" s="13">
        <v>46146</v>
      </c>
      <c r="K682" s="17" t="s">
        <v>57</v>
      </c>
      <c r="L682" s="13">
        <v>46176</v>
      </c>
      <c r="M682" t="s">
        <v>31</v>
      </c>
      <c r="N682" t="s">
        <v>32</v>
      </c>
      <c r="O682" s="13">
        <v>46152</v>
      </c>
      <c r="P682" s="13">
        <v>46159</v>
      </c>
      <c r="Q682">
        <f t="shared" ca="1" si="50"/>
        <v>43</v>
      </c>
      <c r="R682">
        <f t="shared" si="51"/>
        <v>6</v>
      </c>
      <c r="S682">
        <f t="shared" ca="1" si="52"/>
        <v>-13</v>
      </c>
      <c r="T682" t="str">
        <f t="shared" ca="1" si="53"/>
        <v>On Track</v>
      </c>
      <c r="U682" t="str">
        <f t="shared" ca="1" si="54"/>
        <v>Normal</v>
      </c>
      <c r="V682" t="s">
        <v>33</v>
      </c>
    </row>
    <row r="683" spans="1:22">
      <c r="A683" t="s">
        <v>1889</v>
      </c>
      <c r="B683" t="s">
        <v>187</v>
      </c>
      <c r="C683" t="s">
        <v>1890</v>
      </c>
      <c r="D683" s="16">
        <v>24113.360000000001</v>
      </c>
      <c r="E683" t="s">
        <v>37</v>
      </c>
      <c r="F683" t="s">
        <v>26</v>
      </c>
      <c r="G683" t="s">
        <v>1891</v>
      </c>
      <c r="H683" t="s">
        <v>815</v>
      </c>
      <c r="I683" t="s">
        <v>92</v>
      </c>
      <c r="J683" s="13">
        <v>46148</v>
      </c>
      <c r="K683" s="17" t="s">
        <v>40</v>
      </c>
      <c r="L683" s="13">
        <v>46178</v>
      </c>
      <c r="M683" t="s">
        <v>31</v>
      </c>
      <c r="N683" t="s">
        <v>32</v>
      </c>
      <c r="O683" s="13">
        <v>46150</v>
      </c>
      <c r="P683" s="13">
        <v>46154</v>
      </c>
      <c r="Q683">
        <f t="shared" ca="1" si="50"/>
        <v>41</v>
      </c>
      <c r="R683">
        <f t="shared" si="51"/>
        <v>2</v>
      </c>
      <c r="S683">
        <f t="shared" ca="1" si="52"/>
        <v>-11</v>
      </c>
      <c r="T683" t="str">
        <f t="shared" ca="1" si="53"/>
        <v>On Track</v>
      </c>
      <c r="U683" t="str">
        <f t="shared" ca="1" si="54"/>
        <v>Normal</v>
      </c>
      <c r="V683" t="s">
        <v>33</v>
      </c>
    </row>
    <row r="684" spans="1:22">
      <c r="A684" t="s">
        <v>1892</v>
      </c>
      <c r="B684" t="s">
        <v>151</v>
      </c>
      <c r="C684" t="s">
        <v>1893</v>
      </c>
      <c r="D684" s="16">
        <v>3320.73</v>
      </c>
      <c r="E684" t="s">
        <v>25</v>
      </c>
      <c r="F684" t="s">
        <v>26</v>
      </c>
      <c r="G684" t="s">
        <v>1894</v>
      </c>
      <c r="H684" t="s">
        <v>28</v>
      </c>
      <c r="I684" t="s">
        <v>29</v>
      </c>
      <c r="J684" s="13">
        <v>46188</v>
      </c>
      <c r="K684" s="17" t="s">
        <v>40</v>
      </c>
      <c r="L684" s="13">
        <v>46218</v>
      </c>
      <c r="M684" t="s">
        <v>41</v>
      </c>
      <c r="N684" t="s">
        <v>32</v>
      </c>
      <c r="Q684">
        <f t="shared" ca="1" si="50"/>
        <v>1</v>
      </c>
      <c r="R684" t="str">
        <f t="shared" si="51"/>
        <v/>
      </c>
      <c r="S684">
        <f t="shared" ca="1" si="52"/>
        <v>29</v>
      </c>
      <c r="T684" t="str">
        <f t="shared" ca="1" si="53"/>
        <v>On Track</v>
      </c>
      <c r="U684" t="str">
        <f t="shared" ca="1" si="54"/>
        <v>Normal</v>
      </c>
      <c r="V684" t="s">
        <v>42</v>
      </c>
    </row>
    <row r="685" spans="1:22">
      <c r="A685" t="s">
        <v>1895</v>
      </c>
      <c r="B685" t="s">
        <v>151</v>
      </c>
      <c r="C685" t="s">
        <v>1896</v>
      </c>
      <c r="D685" s="16">
        <v>3251.04</v>
      </c>
      <c r="E685" t="s">
        <v>126</v>
      </c>
      <c r="F685" t="s">
        <v>26</v>
      </c>
      <c r="G685" t="s">
        <v>1897</v>
      </c>
      <c r="H685" t="s">
        <v>241</v>
      </c>
      <c r="I685" t="s">
        <v>29</v>
      </c>
      <c r="J685" s="13">
        <v>46167</v>
      </c>
      <c r="K685" s="17" t="s">
        <v>30</v>
      </c>
      <c r="L685" s="13">
        <v>46182</v>
      </c>
      <c r="M685" t="s">
        <v>31</v>
      </c>
      <c r="N685" t="s">
        <v>32</v>
      </c>
      <c r="O685" s="13">
        <v>46176</v>
      </c>
      <c r="P685" s="13">
        <v>46177</v>
      </c>
      <c r="Q685">
        <f t="shared" ca="1" si="50"/>
        <v>22</v>
      </c>
      <c r="R685">
        <f t="shared" si="51"/>
        <v>9</v>
      </c>
      <c r="S685">
        <f t="shared" ca="1" si="52"/>
        <v>-7</v>
      </c>
      <c r="T685" t="str">
        <f t="shared" ca="1" si="53"/>
        <v>On Track</v>
      </c>
      <c r="U685" t="str">
        <f t="shared" ca="1" si="54"/>
        <v>Normal</v>
      </c>
      <c r="V685" t="s">
        <v>33</v>
      </c>
    </row>
    <row r="686" spans="1:22">
      <c r="A686" t="s">
        <v>1898</v>
      </c>
      <c r="B686" t="s">
        <v>67</v>
      </c>
      <c r="C686" t="s">
        <v>1899</v>
      </c>
      <c r="D686" s="16">
        <v>562.87</v>
      </c>
      <c r="E686" t="s">
        <v>55</v>
      </c>
      <c r="F686" t="s">
        <v>38</v>
      </c>
      <c r="H686" t="s">
        <v>56</v>
      </c>
      <c r="I686" t="s">
        <v>29</v>
      </c>
      <c r="J686" s="13">
        <v>46157</v>
      </c>
      <c r="K686" s="17" t="s">
        <v>57</v>
      </c>
      <c r="L686" s="13">
        <v>46187</v>
      </c>
      <c r="M686" t="s">
        <v>31</v>
      </c>
      <c r="N686" t="s">
        <v>179</v>
      </c>
      <c r="O686" s="13">
        <v>46175</v>
      </c>
      <c r="P686" s="13">
        <v>46179</v>
      </c>
      <c r="Q686">
        <f t="shared" ca="1" si="50"/>
        <v>32</v>
      </c>
      <c r="R686">
        <f t="shared" si="51"/>
        <v>18</v>
      </c>
      <c r="S686">
        <f t="shared" ca="1" si="52"/>
        <v>-2</v>
      </c>
      <c r="T686" t="str">
        <f t="shared" ca="1" si="53"/>
        <v>On Track</v>
      </c>
      <c r="U686" t="str">
        <f t="shared" ca="1" si="54"/>
        <v>Normal</v>
      </c>
      <c r="V686" t="s">
        <v>180</v>
      </c>
    </row>
    <row r="687" spans="1:22">
      <c r="A687" t="s">
        <v>1900</v>
      </c>
      <c r="B687" t="s">
        <v>187</v>
      </c>
      <c r="C687" t="s">
        <v>1901</v>
      </c>
      <c r="D687" s="16">
        <v>16456.09</v>
      </c>
      <c r="E687" t="s">
        <v>37</v>
      </c>
      <c r="F687" t="s">
        <v>26</v>
      </c>
      <c r="G687" t="s">
        <v>1902</v>
      </c>
      <c r="H687" t="s">
        <v>815</v>
      </c>
      <c r="I687" t="s">
        <v>92</v>
      </c>
      <c r="J687" s="13">
        <v>46173</v>
      </c>
      <c r="K687" s="17" t="s">
        <v>49</v>
      </c>
      <c r="L687" s="13">
        <v>46218</v>
      </c>
      <c r="M687" t="s">
        <v>99</v>
      </c>
      <c r="N687" t="s">
        <v>32</v>
      </c>
      <c r="O687" s="13">
        <v>46176</v>
      </c>
      <c r="Q687">
        <f t="shared" ca="1" si="50"/>
        <v>16</v>
      </c>
      <c r="R687">
        <f t="shared" si="51"/>
        <v>3</v>
      </c>
      <c r="S687">
        <f t="shared" ca="1" si="52"/>
        <v>29</v>
      </c>
      <c r="T687" t="str">
        <f t="shared" ca="1" si="53"/>
        <v>On Track</v>
      </c>
      <c r="U687" t="str">
        <f t="shared" ca="1" si="54"/>
        <v>Normal</v>
      </c>
    </row>
    <row r="688" spans="1:22">
      <c r="A688" t="s">
        <v>1903</v>
      </c>
      <c r="B688" t="s">
        <v>208</v>
      </c>
      <c r="C688" t="s">
        <v>1904</v>
      </c>
      <c r="D688" s="16">
        <v>15254.2</v>
      </c>
      <c r="E688" t="s">
        <v>37</v>
      </c>
      <c r="F688" t="s">
        <v>38</v>
      </c>
      <c r="H688" t="s">
        <v>815</v>
      </c>
      <c r="I688" t="s">
        <v>92</v>
      </c>
      <c r="J688" s="13">
        <v>46175</v>
      </c>
      <c r="K688" s="17" t="s">
        <v>40</v>
      </c>
      <c r="L688" s="13">
        <v>46205</v>
      </c>
      <c r="M688" t="s">
        <v>41</v>
      </c>
      <c r="N688" t="s">
        <v>58</v>
      </c>
      <c r="Q688">
        <f t="shared" ca="1" si="50"/>
        <v>14</v>
      </c>
      <c r="R688" t="str">
        <f t="shared" si="51"/>
        <v/>
      </c>
      <c r="S688">
        <f t="shared" ca="1" si="52"/>
        <v>16</v>
      </c>
      <c r="T688" t="str">
        <f t="shared" ca="1" si="53"/>
        <v>Overdue</v>
      </c>
      <c r="U688" t="str">
        <f t="shared" ca="1" si="54"/>
        <v>Normal</v>
      </c>
      <c r="V688" t="s">
        <v>59</v>
      </c>
    </row>
    <row r="689" spans="1:22">
      <c r="A689" t="s">
        <v>1905</v>
      </c>
      <c r="B689" t="s">
        <v>151</v>
      </c>
      <c r="C689" t="s">
        <v>1906</v>
      </c>
      <c r="D689" s="16">
        <v>3935.43</v>
      </c>
      <c r="E689" t="s">
        <v>55</v>
      </c>
      <c r="F689" t="s">
        <v>26</v>
      </c>
      <c r="G689" t="s">
        <v>1907</v>
      </c>
      <c r="H689" t="s">
        <v>56</v>
      </c>
      <c r="I689" t="s">
        <v>29</v>
      </c>
      <c r="J689" s="13">
        <v>46155</v>
      </c>
      <c r="K689" s="17" t="s">
        <v>40</v>
      </c>
      <c r="L689" s="13">
        <v>46185</v>
      </c>
      <c r="M689" t="s">
        <v>31</v>
      </c>
      <c r="N689" t="s">
        <v>32</v>
      </c>
      <c r="O689" s="13">
        <v>46158</v>
      </c>
      <c r="P689" s="13">
        <v>46159</v>
      </c>
      <c r="Q689">
        <f t="shared" ca="1" si="50"/>
        <v>34</v>
      </c>
      <c r="R689">
        <f t="shared" si="51"/>
        <v>3</v>
      </c>
      <c r="S689">
        <f t="shared" ca="1" si="52"/>
        <v>-4</v>
      </c>
      <c r="T689" t="str">
        <f t="shared" ca="1" si="53"/>
        <v>On Track</v>
      </c>
      <c r="U689" t="str">
        <f t="shared" ca="1" si="54"/>
        <v>Normal</v>
      </c>
      <c r="V689" t="s">
        <v>33</v>
      </c>
    </row>
    <row r="690" spans="1:22">
      <c r="A690" t="s">
        <v>1908</v>
      </c>
      <c r="B690" t="s">
        <v>109</v>
      </c>
      <c r="C690" t="s">
        <v>1909</v>
      </c>
      <c r="D690" s="16">
        <v>4210.96</v>
      </c>
      <c r="E690" t="s">
        <v>302</v>
      </c>
      <c r="F690" t="s">
        <v>26</v>
      </c>
      <c r="G690" t="s">
        <v>1910</v>
      </c>
      <c r="H690" t="s">
        <v>304</v>
      </c>
      <c r="I690" t="s">
        <v>29</v>
      </c>
      <c r="J690" s="13">
        <v>46178</v>
      </c>
      <c r="K690" s="17" t="s">
        <v>49</v>
      </c>
      <c r="L690" s="13">
        <v>46223</v>
      </c>
      <c r="M690" t="s">
        <v>41</v>
      </c>
      <c r="N690" t="s">
        <v>32</v>
      </c>
      <c r="Q690">
        <f t="shared" ca="1" si="50"/>
        <v>11</v>
      </c>
      <c r="R690" t="str">
        <f t="shared" si="51"/>
        <v/>
      </c>
      <c r="S690">
        <f t="shared" ca="1" si="52"/>
        <v>34</v>
      </c>
      <c r="T690" t="str">
        <f t="shared" ca="1" si="53"/>
        <v>Overdue</v>
      </c>
      <c r="U690" t="str">
        <f t="shared" ca="1" si="54"/>
        <v>Normal</v>
      </c>
      <c r="V690" t="s">
        <v>42</v>
      </c>
    </row>
    <row r="691" spans="1:22">
      <c r="A691" t="s">
        <v>1911</v>
      </c>
      <c r="B691" t="s">
        <v>172</v>
      </c>
      <c r="C691" t="s">
        <v>1912</v>
      </c>
      <c r="D691" s="16">
        <v>3716.47</v>
      </c>
      <c r="E691" t="s">
        <v>62</v>
      </c>
      <c r="F691" t="s">
        <v>26</v>
      </c>
      <c r="G691" t="s">
        <v>1913</v>
      </c>
      <c r="H691" t="s">
        <v>64</v>
      </c>
      <c r="I691" t="s">
        <v>29</v>
      </c>
      <c r="J691" s="13">
        <v>46148</v>
      </c>
      <c r="K691" s="17" t="s">
        <v>30</v>
      </c>
      <c r="L691" s="13">
        <v>46163</v>
      </c>
      <c r="M691" t="s">
        <v>31</v>
      </c>
      <c r="N691" t="s">
        <v>32</v>
      </c>
      <c r="O691" s="13">
        <v>46155</v>
      </c>
      <c r="P691" s="13">
        <v>46157</v>
      </c>
      <c r="Q691">
        <f t="shared" ca="1" si="50"/>
        <v>41</v>
      </c>
      <c r="R691">
        <f t="shared" si="51"/>
        <v>7</v>
      </c>
      <c r="S691">
        <f t="shared" ca="1" si="52"/>
        <v>-26</v>
      </c>
      <c r="T691" t="str">
        <f t="shared" ca="1" si="53"/>
        <v>On Track</v>
      </c>
      <c r="U691" t="str">
        <f t="shared" ca="1" si="54"/>
        <v>Normal</v>
      </c>
      <c r="V691" t="s">
        <v>33</v>
      </c>
    </row>
    <row r="692" spans="1:22">
      <c r="A692" t="s">
        <v>1914</v>
      </c>
      <c r="B692" t="s">
        <v>172</v>
      </c>
      <c r="C692" t="s">
        <v>1915</v>
      </c>
      <c r="D692" s="16">
        <v>371.57</v>
      </c>
      <c r="E692" t="s">
        <v>78</v>
      </c>
      <c r="F692" t="s">
        <v>38</v>
      </c>
      <c r="H692" t="s">
        <v>80</v>
      </c>
      <c r="I692" t="s">
        <v>29</v>
      </c>
      <c r="J692" s="13">
        <v>46187</v>
      </c>
      <c r="K692" s="17" t="s">
        <v>40</v>
      </c>
      <c r="L692" s="13">
        <v>46217</v>
      </c>
      <c r="M692" t="s">
        <v>41</v>
      </c>
      <c r="N692" t="s">
        <v>32</v>
      </c>
      <c r="Q692">
        <f t="shared" ca="1" si="50"/>
        <v>2</v>
      </c>
      <c r="R692" t="str">
        <f t="shared" si="51"/>
        <v/>
      </c>
      <c r="S692">
        <f t="shared" ca="1" si="52"/>
        <v>28</v>
      </c>
      <c r="T692" t="str">
        <f t="shared" ca="1" si="53"/>
        <v>On Track</v>
      </c>
      <c r="U692" t="str">
        <f t="shared" ca="1" si="54"/>
        <v>Normal</v>
      </c>
      <c r="V692" t="s">
        <v>42</v>
      </c>
    </row>
    <row r="693" spans="1:22">
      <c r="A693" t="s">
        <v>1916</v>
      </c>
      <c r="B693" t="s">
        <v>53</v>
      </c>
      <c r="C693" t="s">
        <v>1917</v>
      </c>
      <c r="D693" s="16">
        <v>11378.65</v>
      </c>
      <c r="E693" t="s">
        <v>69</v>
      </c>
      <c r="F693" t="s">
        <v>38</v>
      </c>
      <c r="H693" t="s">
        <v>178</v>
      </c>
      <c r="I693" t="s">
        <v>92</v>
      </c>
      <c r="J693" s="13">
        <v>46175</v>
      </c>
      <c r="K693" s="17" t="s">
        <v>40</v>
      </c>
      <c r="L693" s="13">
        <v>46205</v>
      </c>
      <c r="M693" t="s">
        <v>99</v>
      </c>
      <c r="N693" t="s">
        <v>32</v>
      </c>
      <c r="O693" s="13">
        <v>46183</v>
      </c>
      <c r="Q693">
        <f t="shared" ca="1" si="50"/>
        <v>14</v>
      </c>
      <c r="R693">
        <f t="shared" si="51"/>
        <v>8</v>
      </c>
      <c r="S693">
        <f t="shared" ca="1" si="52"/>
        <v>16</v>
      </c>
      <c r="T693" t="str">
        <f t="shared" ca="1" si="53"/>
        <v>On Track</v>
      </c>
      <c r="U693" t="str">
        <f t="shared" ca="1" si="54"/>
        <v>Normal</v>
      </c>
    </row>
    <row r="694" spans="1:22">
      <c r="A694" t="s">
        <v>1918</v>
      </c>
      <c r="B694" t="s">
        <v>271</v>
      </c>
      <c r="C694" t="s">
        <v>1919</v>
      </c>
      <c r="D694" s="16">
        <v>16836.28</v>
      </c>
      <c r="E694" t="s">
        <v>46</v>
      </c>
      <c r="F694" t="s">
        <v>26</v>
      </c>
      <c r="G694" t="s">
        <v>1920</v>
      </c>
      <c r="H694" t="s">
        <v>161</v>
      </c>
      <c r="I694" t="s">
        <v>92</v>
      </c>
      <c r="J694" s="13">
        <v>46178</v>
      </c>
      <c r="K694" s="17" t="s">
        <v>40</v>
      </c>
      <c r="L694" s="13">
        <v>46208</v>
      </c>
      <c r="M694" t="s">
        <v>41</v>
      </c>
      <c r="N694" t="s">
        <v>32</v>
      </c>
      <c r="Q694">
        <f t="shared" ca="1" si="50"/>
        <v>11</v>
      </c>
      <c r="R694" t="str">
        <f t="shared" si="51"/>
        <v/>
      </c>
      <c r="S694">
        <f t="shared" ca="1" si="52"/>
        <v>19</v>
      </c>
      <c r="T694" t="str">
        <f t="shared" ca="1" si="53"/>
        <v>Overdue</v>
      </c>
      <c r="U694" t="str">
        <f t="shared" ca="1" si="54"/>
        <v>Normal</v>
      </c>
      <c r="V694" t="s">
        <v>42</v>
      </c>
    </row>
    <row r="695" spans="1:22">
      <c r="A695" t="s">
        <v>1921</v>
      </c>
      <c r="B695" t="s">
        <v>124</v>
      </c>
      <c r="C695" t="s">
        <v>1922</v>
      </c>
      <c r="D695" s="16">
        <v>3500.58</v>
      </c>
      <c r="E695" t="s">
        <v>142</v>
      </c>
      <c r="F695" t="s">
        <v>38</v>
      </c>
      <c r="H695" t="s">
        <v>335</v>
      </c>
      <c r="I695" t="s">
        <v>29</v>
      </c>
      <c r="J695" s="13">
        <v>46178</v>
      </c>
      <c r="K695" s="17" t="s">
        <v>57</v>
      </c>
      <c r="L695" s="13">
        <v>46208</v>
      </c>
      <c r="M695" t="s">
        <v>99</v>
      </c>
      <c r="N695" t="s">
        <v>100</v>
      </c>
      <c r="O695" s="13">
        <v>46189</v>
      </c>
      <c r="Q695">
        <f t="shared" ca="1" si="50"/>
        <v>11</v>
      </c>
      <c r="R695">
        <f t="shared" si="51"/>
        <v>11</v>
      </c>
      <c r="S695">
        <f t="shared" ca="1" si="52"/>
        <v>19</v>
      </c>
      <c r="T695" t="str">
        <f t="shared" ca="1" si="53"/>
        <v>On Track</v>
      </c>
      <c r="U695" t="str">
        <f t="shared" ca="1" si="54"/>
        <v>Normal</v>
      </c>
      <c r="V695" t="s">
        <v>101</v>
      </c>
    </row>
    <row r="696" spans="1:22">
      <c r="A696" t="s">
        <v>1923</v>
      </c>
      <c r="B696" t="s">
        <v>94</v>
      </c>
      <c r="C696" t="s">
        <v>1924</v>
      </c>
      <c r="D696" s="16">
        <v>19958.73</v>
      </c>
      <c r="E696" t="s">
        <v>302</v>
      </c>
      <c r="F696" t="s">
        <v>38</v>
      </c>
      <c r="H696" t="s">
        <v>429</v>
      </c>
      <c r="I696" t="s">
        <v>92</v>
      </c>
      <c r="J696" s="13">
        <v>46167</v>
      </c>
      <c r="K696" s="17" t="s">
        <v>57</v>
      </c>
      <c r="L696" s="13">
        <v>46197</v>
      </c>
      <c r="M696" t="s">
        <v>99</v>
      </c>
      <c r="N696" t="s">
        <v>58</v>
      </c>
      <c r="O696" s="13">
        <v>46185</v>
      </c>
      <c r="Q696">
        <f t="shared" ca="1" si="50"/>
        <v>22</v>
      </c>
      <c r="R696">
        <f t="shared" si="51"/>
        <v>18</v>
      </c>
      <c r="S696">
        <f t="shared" ca="1" si="52"/>
        <v>8</v>
      </c>
      <c r="T696" t="str">
        <f t="shared" ca="1" si="53"/>
        <v>On Track</v>
      </c>
      <c r="U696" t="str">
        <f t="shared" ca="1" si="54"/>
        <v>Normal</v>
      </c>
      <c r="V696" t="s">
        <v>59</v>
      </c>
    </row>
    <row r="697" spans="1:22">
      <c r="A697" t="s">
        <v>1925</v>
      </c>
      <c r="B697" t="s">
        <v>129</v>
      </c>
      <c r="C697" t="s">
        <v>1926</v>
      </c>
      <c r="D697" s="16">
        <v>21193.79</v>
      </c>
      <c r="E697" t="s">
        <v>25</v>
      </c>
      <c r="F697" t="s">
        <v>26</v>
      </c>
      <c r="G697" t="s">
        <v>1927</v>
      </c>
      <c r="H697" t="s">
        <v>149</v>
      </c>
      <c r="I697" t="s">
        <v>92</v>
      </c>
      <c r="J697" s="13">
        <v>46146</v>
      </c>
      <c r="K697" s="17" t="s">
        <v>40</v>
      </c>
      <c r="L697" s="13">
        <v>46176</v>
      </c>
      <c r="M697" t="s">
        <v>31</v>
      </c>
      <c r="N697" t="s">
        <v>32</v>
      </c>
      <c r="O697" s="13">
        <v>46159</v>
      </c>
      <c r="P697" s="13">
        <v>46165</v>
      </c>
      <c r="Q697">
        <f t="shared" ca="1" si="50"/>
        <v>43</v>
      </c>
      <c r="R697">
        <f t="shared" si="51"/>
        <v>13</v>
      </c>
      <c r="S697">
        <f t="shared" ca="1" si="52"/>
        <v>-13</v>
      </c>
      <c r="T697" t="str">
        <f t="shared" ca="1" si="53"/>
        <v>On Track</v>
      </c>
      <c r="U697" t="str">
        <f t="shared" ca="1" si="54"/>
        <v>Normal</v>
      </c>
      <c r="V697" t="s">
        <v>33</v>
      </c>
    </row>
    <row r="698" spans="1:22">
      <c r="A698" t="s">
        <v>1928</v>
      </c>
      <c r="B698" t="s">
        <v>187</v>
      </c>
      <c r="C698" t="s">
        <v>1929</v>
      </c>
      <c r="D698" s="16">
        <v>12703.75</v>
      </c>
      <c r="E698" t="s">
        <v>126</v>
      </c>
      <c r="F698" t="s">
        <v>26</v>
      </c>
      <c r="G698" t="s">
        <v>1930</v>
      </c>
      <c r="H698" t="s">
        <v>127</v>
      </c>
      <c r="I698" t="s">
        <v>92</v>
      </c>
      <c r="J698" s="13">
        <v>46157</v>
      </c>
      <c r="K698" s="17" t="s">
        <v>30</v>
      </c>
      <c r="L698" s="13">
        <v>46172</v>
      </c>
      <c r="M698" t="s">
        <v>31</v>
      </c>
      <c r="N698" t="s">
        <v>32</v>
      </c>
      <c r="O698" s="13">
        <v>46163</v>
      </c>
      <c r="P698" s="13">
        <v>46169</v>
      </c>
      <c r="Q698">
        <f t="shared" ca="1" si="50"/>
        <v>32</v>
      </c>
      <c r="R698">
        <f t="shared" si="51"/>
        <v>6</v>
      </c>
      <c r="S698">
        <f t="shared" ca="1" si="52"/>
        <v>-17</v>
      </c>
      <c r="T698" t="str">
        <f t="shared" ca="1" si="53"/>
        <v>On Track</v>
      </c>
      <c r="U698" t="str">
        <f t="shared" ca="1" si="54"/>
        <v>Normal</v>
      </c>
      <c r="V698" t="s">
        <v>33</v>
      </c>
    </row>
    <row r="699" spans="1:22">
      <c r="A699" t="s">
        <v>1931</v>
      </c>
      <c r="B699" t="s">
        <v>94</v>
      </c>
      <c r="C699" t="s">
        <v>1932</v>
      </c>
      <c r="D699" s="16">
        <v>1251.44</v>
      </c>
      <c r="E699" t="s">
        <v>55</v>
      </c>
      <c r="F699" t="s">
        <v>38</v>
      </c>
      <c r="H699" t="s">
        <v>56</v>
      </c>
      <c r="I699" t="s">
        <v>29</v>
      </c>
      <c r="J699" s="13">
        <v>46161</v>
      </c>
      <c r="K699" s="17" t="s">
        <v>49</v>
      </c>
      <c r="L699" s="13">
        <v>46206</v>
      </c>
      <c r="M699" t="s">
        <v>31</v>
      </c>
      <c r="N699" t="s">
        <v>32</v>
      </c>
      <c r="O699" s="13">
        <v>46171</v>
      </c>
      <c r="P699" s="13">
        <v>46210</v>
      </c>
      <c r="Q699">
        <f t="shared" ca="1" si="50"/>
        <v>28</v>
      </c>
      <c r="R699">
        <f t="shared" si="51"/>
        <v>10</v>
      </c>
      <c r="S699">
        <f t="shared" ca="1" si="52"/>
        <v>17</v>
      </c>
      <c r="T699" t="str">
        <f t="shared" ca="1" si="53"/>
        <v>On Track</v>
      </c>
      <c r="U699" t="str">
        <f t="shared" ca="1" si="54"/>
        <v>Normal</v>
      </c>
      <c r="V699" t="s">
        <v>107</v>
      </c>
    </row>
    <row r="700" spans="1:22">
      <c r="A700" t="s">
        <v>1933</v>
      </c>
      <c r="B700" t="s">
        <v>109</v>
      </c>
      <c r="C700" t="s">
        <v>1934</v>
      </c>
      <c r="D700" s="16">
        <v>22983.37</v>
      </c>
      <c r="E700" t="s">
        <v>78</v>
      </c>
      <c r="F700" t="s">
        <v>26</v>
      </c>
      <c r="G700" t="s">
        <v>1935</v>
      </c>
      <c r="H700" t="s">
        <v>91</v>
      </c>
      <c r="I700" t="s">
        <v>92</v>
      </c>
      <c r="J700" s="13">
        <v>46150</v>
      </c>
      <c r="K700" s="17" t="s">
        <v>49</v>
      </c>
      <c r="L700" s="13">
        <v>46195</v>
      </c>
      <c r="M700" t="s">
        <v>41</v>
      </c>
      <c r="N700" t="s">
        <v>100</v>
      </c>
      <c r="Q700">
        <f t="shared" ca="1" si="50"/>
        <v>39</v>
      </c>
      <c r="R700" t="str">
        <f t="shared" si="51"/>
        <v/>
      </c>
      <c r="S700">
        <f t="shared" ca="1" si="52"/>
        <v>6</v>
      </c>
      <c r="T700" t="str">
        <f t="shared" ca="1" si="53"/>
        <v>Overdue</v>
      </c>
      <c r="U700" t="str">
        <f t="shared" ca="1" si="54"/>
        <v>Normal</v>
      </c>
      <c r="V700" t="s">
        <v>101</v>
      </c>
    </row>
    <row r="701" spans="1:22">
      <c r="A701" t="s">
        <v>1936</v>
      </c>
      <c r="B701" t="s">
        <v>109</v>
      </c>
      <c r="C701" t="s">
        <v>1937</v>
      </c>
      <c r="D701" s="16">
        <v>3140.86</v>
      </c>
      <c r="E701" t="s">
        <v>46</v>
      </c>
      <c r="F701" t="s">
        <v>38</v>
      </c>
      <c r="H701" t="s">
        <v>48</v>
      </c>
      <c r="I701" t="s">
        <v>29</v>
      </c>
      <c r="J701" s="13">
        <v>46164</v>
      </c>
      <c r="K701" s="17" t="s">
        <v>40</v>
      </c>
      <c r="L701" s="13">
        <v>46194</v>
      </c>
      <c r="M701" t="s">
        <v>31</v>
      </c>
      <c r="N701" t="s">
        <v>100</v>
      </c>
      <c r="O701" s="13">
        <v>46183</v>
      </c>
      <c r="P701" s="13">
        <v>46185</v>
      </c>
      <c r="Q701">
        <f t="shared" ca="1" si="50"/>
        <v>25</v>
      </c>
      <c r="R701">
        <f t="shared" si="51"/>
        <v>19</v>
      </c>
      <c r="S701">
        <f t="shared" ca="1" si="52"/>
        <v>5</v>
      </c>
      <c r="T701" t="str">
        <f t="shared" ca="1" si="53"/>
        <v>On Track</v>
      </c>
      <c r="U701" t="str">
        <f t="shared" ca="1" si="54"/>
        <v>Normal</v>
      </c>
      <c r="V701" t="s">
        <v>101</v>
      </c>
    </row>
    <row r="702" spans="1:22">
      <c r="A702" t="s">
        <v>1938</v>
      </c>
      <c r="B702" t="s">
        <v>115</v>
      </c>
      <c r="C702" t="s">
        <v>1939</v>
      </c>
      <c r="D702" s="16">
        <v>41666.11</v>
      </c>
      <c r="E702" t="s">
        <v>69</v>
      </c>
      <c r="F702" t="s">
        <v>38</v>
      </c>
      <c r="H702" t="s">
        <v>121</v>
      </c>
      <c r="I702" t="s">
        <v>122</v>
      </c>
      <c r="J702" s="13">
        <v>46151</v>
      </c>
      <c r="K702" s="17" t="s">
        <v>49</v>
      </c>
      <c r="L702" s="13">
        <v>46196</v>
      </c>
      <c r="M702" t="s">
        <v>31</v>
      </c>
      <c r="N702" t="s">
        <v>32</v>
      </c>
      <c r="O702" s="13">
        <v>46158</v>
      </c>
      <c r="P702" s="13">
        <v>46161</v>
      </c>
      <c r="Q702">
        <f t="shared" ca="1" si="50"/>
        <v>38</v>
      </c>
      <c r="R702">
        <f t="shared" si="51"/>
        <v>7</v>
      </c>
      <c r="S702">
        <f t="shared" ca="1" si="52"/>
        <v>7</v>
      </c>
      <c r="T702" t="str">
        <f t="shared" ca="1" si="53"/>
        <v>On Track</v>
      </c>
      <c r="U702" t="str">
        <f t="shared" ca="1" si="54"/>
        <v>Normal</v>
      </c>
      <c r="V702" t="s">
        <v>33</v>
      </c>
    </row>
    <row r="703" spans="1:22">
      <c r="A703" t="s">
        <v>1940</v>
      </c>
      <c r="B703" t="s">
        <v>151</v>
      </c>
      <c r="C703" t="s">
        <v>1941</v>
      </c>
      <c r="D703" s="16">
        <v>1179.95</v>
      </c>
      <c r="E703" t="s">
        <v>126</v>
      </c>
      <c r="F703" t="s">
        <v>26</v>
      </c>
      <c r="G703" t="s">
        <v>1942</v>
      </c>
      <c r="H703" t="s">
        <v>241</v>
      </c>
      <c r="I703" t="s">
        <v>29</v>
      </c>
      <c r="J703" s="13">
        <v>46182</v>
      </c>
      <c r="K703" s="17" t="s">
        <v>40</v>
      </c>
      <c r="L703" s="13">
        <v>46212</v>
      </c>
      <c r="M703" t="s">
        <v>99</v>
      </c>
      <c r="N703" t="s">
        <v>32</v>
      </c>
      <c r="O703" s="13">
        <v>46189</v>
      </c>
      <c r="Q703">
        <f t="shared" ca="1" si="50"/>
        <v>7</v>
      </c>
      <c r="R703">
        <f t="shared" si="51"/>
        <v>7</v>
      </c>
      <c r="S703">
        <f t="shared" ca="1" si="52"/>
        <v>23</v>
      </c>
      <c r="T703" t="str">
        <f t="shared" ca="1" si="53"/>
        <v>On Track</v>
      </c>
      <c r="U703" t="str">
        <f t="shared" ca="1" si="54"/>
        <v>Normal</v>
      </c>
    </row>
    <row r="704" spans="1:22">
      <c r="A704" t="s">
        <v>1943</v>
      </c>
      <c r="B704" t="s">
        <v>82</v>
      </c>
      <c r="C704" t="s">
        <v>1944</v>
      </c>
      <c r="D704" s="16">
        <v>13090.42</v>
      </c>
      <c r="E704" t="s">
        <v>78</v>
      </c>
      <c r="F704" t="s">
        <v>38</v>
      </c>
      <c r="H704" t="s">
        <v>91</v>
      </c>
      <c r="I704" t="s">
        <v>92</v>
      </c>
      <c r="J704" s="13">
        <v>46145</v>
      </c>
      <c r="K704" s="17" t="s">
        <v>57</v>
      </c>
      <c r="L704" s="13">
        <v>46175</v>
      </c>
      <c r="M704" t="s">
        <v>31</v>
      </c>
      <c r="N704" t="s">
        <v>50</v>
      </c>
      <c r="O704" s="13">
        <v>46158</v>
      </c>
      <c r="P704" s="13">
        <v>46159</v>
      </c>
      <c r="Q704">
        <f t="shared" ca="1" si="50"/>
        <v>44</v>
      </c>
      <c r="R704">
        <f t="shared" si="51"/>
        <v>13</v>
      </c>
      <c r="S704">
        <f t="shared" ca="1" si="52"/>
        <v>-14</v>
      </c>
      <c r="T704" t="str">
        <f t="shared" ca="1" si="53"/>
        <v>On Track</v>
      </c>
      <c r="U704" t="str">
        <f t="shared" ca="1" si="54"/>
        <v>Normal</v>
      </c>
      <c r="V704" t="s">
        <v>51</v>
      </c>
    </row>
    <row r="705" spans="1:22">
      <c r="A705" t="s">
        <v>1945</v>
      </c>
      <c r="B705" t="s">
        <v>129</v>
      </c>
      <c r="C705" t="s">
        <v>1946</v>
      </c>
      <c r="D705" s="16">
        <v>1262.1199999999999</v>
      </c>
      <c r="E705" t="s">
        <v>111</v>
      </c>
      <c r="F705" t="s">
        <v>38</v>
      </c>
      <c r="H705" t="s">
        <v>113</v>
      </c>
      <c r="I705" t="s">
        <v>29</v>
      </c>
      <c r="J705" s="13">
        <v>46177</v>
      </c>
      <c r="K705" s="17" t="s">
        <v>49</v>
      </c>
      <c r="L705" s="13">
        <v>46222</v>
      </c>
      <c r="M705" t="s">
        <v>31</v>
      </c>
      <c r="N705" t="s">
        <v>32</v>
      </c>
      <c r="O705" s="13">
        <v>46183</v>
      </c>
      <c r="P705" s="13">
        <v>46185</v>
      </c>
      <c r="Q705">
        <f t="shared" ca="1" si="50"/>
        <v>12</v>
      </c>
      <c r="R705">
        <f t="shared" si="51"/>
        <v>6</v>
      </c>
      <c r="S705">
        <f t="shared" ca="1" si="52"/>
        <v>33</v>
      </c>
      <c r="T705" t="str">
        <f t="shared" ca="1" si="53"/>
        <v>On Track</v>
      </c>
      <c r="U705" t="str">
        <f t="shared" ca="1" si="54"/>
        <v>Normal</v>
      </c>
      <c r="V705" t="s">
        <v>33</v>
      </c>
    </row>
    <row r="706" spans="1:22">
      <c r="A706" t="s">
        <v>1947</v>
      </c>
      <c r="B706" t="s">
        <v>23</v>
      </c>
      <c r="C706" t="s">
        <v>1948</v>
      </c>
      <c r="D706" s="16">
        <v>7448.44</v>
      </c>
      <c r="E706" t="s">
        <v>46</v>
      </c>
      <c r="F706" t="s">
        <v>26</v>
      </c>
      <c r="G706" t="s">
        <v>1949</v>
      </c>
      <c r="H706" t="s">
        <v>161</v>
      </c>
      <c r="I706" t="s">
        <v>92</v>
      </c>
      <c r="J706" s="13">
        <v>46157</v>
      </c>
      <c r="K706" s="17" t="s">
        <v>57</v>
      </c>
      <c r="L706" s="13">
        <v>46187</v>
      </c>
      <c r="M706" t="s">
        <v>31</v>
      </c>
      <c r="N706" t="s">
        <v>32</v>
      </c>
      <c r="O706" s="13">
        <v>46164</v>
      </c>
      <c r="P706" s="13">
        <v>46191</v>
      </c>
      <c r="Q706">
        <f t="shared" ref="Q706:Q769" ca="1" si="55">IF(J706="","",TODAY()-J706)</f>
        <v>32</v>
      </c>
      <c r="R706">
        <f t="shared" ref="R706:R769" si="56">IF(O706="","",O706-J706)</f>
        <v>7</v>
      </c>
      <c r="S706">
        <f t="shared" ref="S706:S769" ca="1" si="57">IF(L706="","",L706-TODAY())</f>
        <v>-2</v>
      </c>
      <c r="T706" t="str">
        <f t="shared" ref="T706:T769" ca="1" si="58">IF(AND(M706="Pending Approval",Q706&gt;5),"Overdue","On Track")</f>
        <v>On Track</v>
      </c>
      <c r="U706" t="str">
        <f t="shared" ref="U706:U769" ca="1" si="59">IF(AND(M706&lt;&gt;"Paid",S706&lt;=5),"At Risk","Normal")</f>
        <v>Normal</v>
      </c>
      <c r="V706" t="s">
        <v>107</v>
      </c>
    </row>
    <row r="707" spans="1:22">
      <c r="A707" t="s">
        <v>1950</v>
      </c>
      <c r="B707" t="s">
        <v>76</v>
      </c>
      <c r="C707" t="s">
        <v>1951</v>
      </c>
      <c r="D707" s="16">
        <v>1052.78</v>
      </c>
      <c r="E707" t="s">
        <v>126</v>
      </c>
      <c r="F707" t="s">
        <v>26</v>
      </c>
      <c r="G707" t="s">
        <v>1952</v>
      </c>
      <c r="H707" t="s">
        <v>241</v>
      </c>
      <c r="I707" t="s">
        <v>29</v>
      </c>
      <c r="J707" s="13">
        <v>46180</v>
      </c>
      <c r="K707" s="17" t="s">
        <v>40</v>
      </c>
      <c r="L707" s="13">
        <v>46210</v>
      </c>
      <c r="M707" t="s">
        <v>65</v>
      </c>
      <c r="N707" t="s">
        <v>100</v>
      </c>
      <c r="Q707">
        <f t="shared" ca="1" si="55"/>
        <v>9</v>
      </c>
      <c r="R707" t="str">
        <f t="shared" si="56"/>
        <v/>
      </c>
      <c r="S707">
        <f t="shared" ca="1" si="57"/>
        <v>21</v>
      </c>
      <c r="T707" t="str">
        <f t="shared" ca="1" si="58"/>
        <v>On Track</v>
      </c>
      <c r="U707" t="str">
        <f t="shared" ca="1" si="59"/>
        <v>Normal</v>
      </c>
      <c r="V707" t="s">
        <v>101</v>
      </c>
    </row>
    <row r="708" spans="1:22">
      <c r="A708" t="s">
        <v>1953</v>
      </c>
      <c r="B708" t="s">
        <v>137</v>
      </c>
      <c r="C708" t="s">
        <v>1954</v>
      </c>
      <c r="D708" s="16">
        <v>1013.34</v>
      </c>
      <c r="E708" t="s">
        <v>142</v>
      </c>
      <c r="F708" t="s">
        <v>26</v>
      </c>
      <c r="G708" t="s">
        <v>1955</v>
      </c>
      <c r="H708" t="s">
        <v>335</v>
      </c>
      <c r="I708" t="s">
        <v>29</v>
      </c>
      <c r="J708" s="13">
        <v>46183</v>
      </c>
      <c r="K708" s="17" t="s">
        <v>40</v>
      </c>
      <c r="L708" s="13">
        <v>46213</v>
      </c>
      <c r="M708" t="s">
        <v>145</v>
      </c>
      <c r="N708" t="s">
        <v>50</v>
      </c>
      <c r="O708" s="13">
        <v>46189</v>
      </c>
      <c r="Q708">
        <f t="shared" ca="1" si="55"/>
        <v>6</v>
      </c>
      <c r="R708">
        <f t="shared" si="56"/>
        <v>6</v>
      </c>
      <c r="S708">
        <f t="shared" ca="1" si="57"/>
        <v>24</v>
      </c>
      <c r="T708" t="str">
        <f t="shared" ca="1" si="58"/>
        <v>On Track</v>
      </c>
      <c r="U708" t="str">
        <f t="shared" ca="1" si="59"/>
        <v>Normal</v>
      </c>
      <c r="V708" t="s">
        <v>51</v>
      </c>
    </row>
    <row r="709" spans="1:22">
      <c r="A709" t="s">
        <v>1956</v>
      </c>
      <c r="B709" t="s">
        <v>137</v>
      </c>
      <c r="C709" t="s">
        <v>1957</v>
      </c>
      <c r="D709" s="16">
        <v>945.23</v>
      </c>
      <c r="E709" t="s">
        <v>156</v>
      </c>
      <c r="F709" t="s">
        <v>38</v>
      </c>
      <c r="H709" t="s">
        <v>157</v>
      </c>
      <c r="I709" t="s">
        <v>29</v>
      </c>
      <c r="J709" s="13">
        <v>46160</v>
      </c>
      <c r="K709" s="17" t="s">
        <v>40</v>
      </c>
      <c r="L709" s="13">
        <v>46190</v>
      </c>
      <c r="M709" t="s">
        <v>31</v>
      </c>
      <c r="N709" t="s">
        <v>32</v>
      </c>
      <c r="O709" s="13">
        <v>46171</v>
      </c>
      <c r="P709" s="13">
        <v>46173</v>
      </c>
      <c r="Q709">
        <f t="shared" ca="1" si="55"/>
        <v>29</v>
      </c>
      <c r="R709">
        <f t="shared" si="56"/>
        <v>11</v>
      </c>
      <c r="S709">
        <f t="shared" ca="1" si="57"/>
        <v>1</v>
      </c>
      <c r="T709" t="str">
        <f t="shared" ca="1" si="58"/>
        <v>On Track</v>
      </c>
      <c r="U709" t="str">
        <f t="shared" ca="1" si="59"/>
        <v>Normal</v>
      </c>
      <c r="V709" t="s">
        <v>33</v>
      </c>
    </row>
    <row r="710" spans="1:22">
      <c r="A710" t="s">
        <v>1958</v>
      </c>
      <c r="B710" t="s">
        <v>251</v>
      </c>
      <c r="C710" t="s">
        <v>1959</v>
      </c>
      <c r="D710" s="16">
        <v>1112.8</v>
      </c>
      <c r="E710" t="s">
        <v>126</v>
      </c>
      <c r="F710" t="s">
        <v>26</v>
      </c>
      <c r="G710" t="s">
        <v>1960</v>
      </c>
      <c r="H710" t="s">
        <v>241</v>
      </c>
      <c r="I710" t="s">
        <v>29</v>
      </c>
      <c r="J710" s="13">
        <v>46167</v>
      </c>
      <c r="K710" s="17" t="s">
        <v>40</v>
      </c>
      <c r="L710" s="13">
        <v>46197</v>
      </c>
      <c r="M710" t="s">
        <v>65</v>
      </c>
      <c r="N710" t="s">
        <v>32</v>
      </c>
      <c r="Q710">
        <f t="shared" ca="1" si="55"/>
        <v>22</v>
      </c>
      <c r="R710" t="str">
        <f t="shared" si="56"/>
        <v/>
      </c>
      <c r="S710">
        <f t="shared" ca="1" si="57"/>
        <v>8</v>
      </c>
      <c r="T710" t="str">
        <f t="shared" ca="1" si="58"/>
        <v>On Track</v>
      </c>
      <c r="U710" t="str">
        <f t="shared" ca="1" si="59"/>
        <v>Normal</v>
      </c>
    </row>
    <row r="711" spans="1:22">
      <c r="A711" t="s">
        <v>1961</v>
      </c>
      <c r="B711" t="s">
        <v>103</v>
      </c>
      <c r="C711" t="s">
        <v>1962</v>
      </c>
      <c r="D711" s="16">
        <v>3166.77</v>
      </c>
      <c r="E711" t="s">
        <v>55</v>
      </c>
      <c r="F711" t="s">
        <v>26</v>
      </c>
      <c r="G711" t="s">
        <v>1963</v>
      </c>
      <c r="H711" t="s">
        <v>56</v>
      </c>
      <c r="I711" t="s">
        <v>29</v>
      </c>
      <c r="J711" s="13">
        <v>46146</v>
      </c>
      <c r="K711" s="17" t="s">
        <v>30</v>
      </c>
      <c r="L711" s="13">
        <v>46161</v>
      </c>
      <c r="M711" t="s">
        <v>31</v>
      </c>
      <c r="N711" t="s">
        <v>32</v>
      </c>
      <c r="O711" s="13">
        <v>46149</v>
      </c>
      <c r="P711" s="13">
        <v>46153</v>
      </c>
      <c r="Q711">
        <f t="shared" ca="1" si="55"/>
        <v>43</v>
      </c>
      <c r="R711">
        <f t="shared" si="56"/>
        <v>3</v>
      </c>
      <c r="S711">
        <f t="shared" ca="1" si="57"/>
        <v>-28</v>
      </c>
      <c r="T711" t="str">
        <f t="shared" ca="1" si="58"/>
        <v>On Track</v>
      </c>
      <c r="U711" t="str">
        <f t="shared" ca="1" si="59"/>
        <v>Normal</v>
      </c>
      <c r="V711" t="s">
        <v>33</v>
      </c>
    </row>
    <row r="712" spans="1:22">
      <c r="A712" t="s">
        <v>1964</v>
      </c>
      <c r="B712" t="s">
        <v>76</v>
      </c>
      <c r="C712" t="s">
        <v>1965</v>
      </c>
      <c r="D712" s="16">
        <v>2473.23</v>
      </c>
      <c r="E712" t="s">
        <v>142</v>
      </c>
      <c r="F712" t="s">
        <v>38</v>
      </c>
      <c r="H712" t="s">
        <v>335</v>
      </c>
      <c r="I712" t="s">
        <v>29</v>
      </c>
      <c r="J712" s="13">
        <v>46188</v>
      </c>
      <c r="K712" s="17" t="s">
        <v>30</v>
      </c>
      <c r="L712" s="13">
        <v>46203</v>
      </c>
      <c r="M712" t="s">
        <v>41</v>
      </c>
      <c r="N712" t="s">
        <v>32</v>
      </c>
      <c r="Q712">
        <f t="shared" ca="1" si="55"/>
        <v>1</v>
      </c>
      <c r="R712" t="str">
        <f t="shared" si="56"/>
        <v/>
      </c>
      <c r="S712">
        <f t="shared" ca="1" si="57"/>
        <v>14</v>
      </c>
      <c r="T712" t="str">
        <f t="shared" ca="1" si="58"/>
        <v>On Track</v>
      </c>
      <c r="U712" t="str">
        <f t="shared" ca="1" si="59"/>
        <v>Normal</v>
      </c>
      <c r="V712" t="s">
        <v>42</v>
      </c>
    </row>
    <row r="713" spans="1:22">
      <c r="A713" t="s">
        <v>1966</v>
      </c>
      <c r="B713" t="s">
        <v>103</v>
      </c>
      <c r="C713" t="s">
        <v>1967</v>
      </c>
      <c r="D713" s="16">
        <v>378.57</v>
      </c>
      <c r="E713" t="s">
        <v>111</v>
      </c>
      <c r="F713" t="s">
        <v>38</v>
      </c>
      <c r="H713" t="s">
        <v>113</v>
      </c>
      <c r="I713" t="s">
        <v>29</v>
      </c>
      <c r="J713" s="13">
        <v>46153</v>
      </c>
      <c r="K713" s="17" t="s">
        <v>49</v>
      </c>
      <c r="L713" s="13">
        <v>46198</v>
      </c>
      <c r="M713" t="s">
        <v>31</v>
      </c>
      <c r="N713" t="s">
        <v>32</v>
      </c>
      <c r="O713" s="13">
        <v>46159</v>
      </c>
      <c r="P713" s="13">
        <v>46164</v>
      </c>
      <c r="Q713">
        <f t="shared" ca="1" si="55"/>
        <v>36</v>
      </c>
      <c r="R713">
        <f t="shared" si="56"/>
        <v>6</v>
      </c>
      <c r="S713">
        <f t="shared" ca="1" si="57"/>
        <v>9</v>
      </c>
      <c r="T713" t="str">
        <f t="shared" ca="1" si="58"/>
        <v>On Track</v>
      </c>
      <c r="U713" t="str">
        <f t="shared" ca="1" si="59"/>
        <v>Normal</v>
      </c>
      <c r="V713" t="s">
        <v>33</v>
      </c>
    </row>
    <row r="714" spans="1:22">
      <c r="A714" t="s">
        <v>1968</v>
      </c>
      <c r="B714" t="s">
        <v>271</v>
      </c>
      <c r="C714" t="s">
        <v>1969</v>
      </c>
      <c r="D714" s="16">
        <v>669.99</v>
      </c>
      <c r="E714" t="s">
        <v>302</v>
      </c>
      <c r="F714" t="s">
        <v>38</v>
      </c>
      <c r="H714" t="s">
        <v>304</v>
      </c>
      <c r="I714" t="s">
        <v>29</v>
      </c>
      <c r="J714" s="13">
        <v>46168</v>
      </c>
      <c r="K714" s="17" t="s">
        <v>40</v>
      </c>
      <c r="L714" s="13">
        <v>46198</v>
      </c>
      <c r="M714" t="s">
        <v>145</v>
      </c>
      <c r="N714" t="s">
        <v>32</v>
      </c>
      <c r="O714" s="13">
        <v>46173</v>
      </c>
      <c r="Q714">
        <f t="shared" ca="1" si="55"/>
        <v>21</v>
      </c>
      <c r="R714">
        <f t="shared" si="56"/>
        <v>5</v>
      </c>
      <c r="S714">
        <f t="shared" ca="1" si="57"/>
        <v>9</v>
      </c>
      <c r="T714" t="str">
        <f t="shared" ca="1" si="58"/>
        <v>On Track</v>
      </c>
      <c r="U714" t="str">
        <f t="shared" ca="1" si="59"/>
        <v>Normal</v>
      </c>
    </row>
    <row r="715" spans="1:22">
      <c r="A715" t="s">
        <v>1970</v>
      </c>
      <c r="B715" t="s">
        <v>168</v>
      </c>
      <c r="C715" t="s">
        <v>1971</v>
      </c>
      <c r="D715" s="16">
        <v>2527.94</v>
      </c>
      <c r="E715" t="s">
        <v>156</v>
      </c>
      <c r="F715" t="s">
        <v>26</v>
      </c>
      <c r="G715" t="s">
        <v>1972</v>
      </c>
      <c r="H715" t="s">
        <v>157</v>
      </c>
      <c r="I715" t="s">
        <v>29</v>
      </c>
      <c r="J715" s="13">
        <v>46168</v>
      </c>
      <c r="K715" s="17" t="s">
        <v>49</v>
      </c>
      <c r="L715" s="13">
        <v>46213</v>
      </c>
      <c r="M715" t="s">
        <v>31</v>
      </c>
      <c r="N715" t="s">
        <v>32</v>
      </c>
      <c r="O715" s="13">
        <v>46170</v>
      </c>
      <c r="P715" s="13">
        <v>46175</v>
      </c>
      <c r="Q715">
        <f t="shared" ca="1" si="55"/>
        <v>21</v>
      </c>
      <c r="R715">
        <f t="shared" si="56"/>
        <v>2</v>
      </c>
      <c r="S715">
        <f t="shared" ca="1" si="57"/>
        <v>24</v>
      </c>
      <c r="T715" t="str">
        <f t="shared" ca="1" si="58"/>
        <v>On Track</v>
      </c>
      <c r="U715" t="str">
        <f t="shared" ca="1" si="59"/>
        <v>Normal</v>
      </c>
      <c r="V715" t="s">
        <v>33</v>
      </c>
    </row>
    <row r="716" spans="1:22">
      <c r="A716" t="s">
        <v>1973</v>
      </c>
      <c r="B716" t="s">
        <v>103</v>
      </c>
      <c r="C716" t="s">
        <v>1974</v>
      </c>
      <c r="D716" s="16">
        <v>1203.3399999999999</v>
      </c>
      <c r="E716" t="s">
        <v>46</v>
      </c>
      <c r="F716" t="s">
        <v>38</v>
      </c>
      <c r="H716" t="s">
        <v>48</v>
      </c>
      <c r="I716" t="s">
        <v>29</v>
      </c>
      <c r="J716" s="13">
        <v>46188</v>
      </c>
      <c r="K716" s="17" t="s">
        <v>49</v>
      </c>
      <c r="L716" s="13">
        <v>46233</v>
      </c>
      <c r="M716" t="s">
        <v>145</v>
      </c>
      <c r="N716" t="s">
        <v>50</v>
      </c>
      <c r="O716" s="13">
        <v>46189</v>
      </c>
      <c r="Q716">
        <f t="shared" ca="1" si="55"/>
        <v>1</v>
      </c>
      <c r="R716">
        <f t="shared" si="56"/>
        <v>1</v>
      </c>
      <c r="S716">
        <f t="shared" ca="1" si="57"/>
        <v>44</v>
      </c>
      <c r="T716" t="str">
        <f t="shared" ca="1" si="58"/>
        <v>On Track</v>
      </c>
      <c r="U716" t="str">
        <f t="shared" ca="1" si="59"/>
        <v>Normal</v>
      </c>
      <c r="V716" t="s">
        <v>51</v>
      </c>
    </row>
    <row r="717" spans="1:22">
      <c r="A717" t="s">
        <v>1975</v>
      </c>
      <c r="B717" t="s">
        <v>35</v>
      </c>
      <c r="C717" t="s">
        <v>1976</v>
      </c>
      <c r="D717" s="16">
        <v>3585.34</v>
      </c>
      <c r="E717" t="s">
        <v>55</v>
      </c>
      <c r="F717" t="s">
        <v>26</v>
      </c>
      <c r="G717" t="s">
        <v>1977</v>
      </c>
      <c r="H717" t="s">
        <v>56</v>
      </c>
      <c r="I717" t="s">
        <v>29</v>
      </c>
      <c r="J717" s="13">
        <v>46155</v>
      </c>
      <c r="K717" s="17" t="s">
        <v>57</v>
      </c>
      <c r="L717" s="13">
        <v>46185</v>
      </c>
      <c r="M717" t="s">
        <v>31</v>
      </c>
      <c r="N717" t="s">
        <v>32</v>
      </c>
      <c r="O717" s="13">
        <v>46158</v>
      </c>
      <c r="P717" s="13">
        <v>46159</v>
      </c>
      <c r="Q717">
        <f t="shared" ca="1" si="55"/>
        <v>34</v>
      </c>
      <c r="R717">
        <f t="shared" si="56"/>
        <v>3</v>
      </c>
      <c r="S717">
        <f t="shared" ca="1" si="57"/>
        <v>-4</v>
      </c>
      <c r="T717" t="str">
        <f t="shared" ca="1" si="58"/>
        <v>On Track</v>
      </c>
      <c r="U717" t="str">
        <f t="shared" ca="1" si="59"/>
        <v>Normal</v>
      </c>
      <c r="V717" t="s">
        <v>33</v>
      </c>
    </row>
    <row r="718" spans="1:22">
      <c r="A718" t="s">
        <v>1978</v>
      </c>
      <c r="B718" t="s">
        <v>115</v>
      </c>
      <c r="C718" t="s">
        <v>1979</v>
      </c>
      <c r="D718" s="16">
        <v>518.37</v>
      </c>
      <c r="E718" t="s">
        <v>126</v>
      </c>
      <c r="F718" t="s">
        <v>26</v>
      </c>
      <c r="G718" t="s">
        <v>1980</v>
      </c>
      <c r="H718" t="s">
        <v>241</v>
      </c>
      <c r="I718" t="s">
        <v>29</v>
      </c>
      <c r="J718" s="13">
        <v>46156</v>
      </c>
      <c r="K718" s="17" t="s">
        <v>49</v>
      </c>
      <c r="L718" s="13">
        <v>46201</v>
      </c>
      <c r="M718" t="s">
        <v>31</v>
      </c>
      <c r="N718" t="s">
        <v>100</v>
      </c>
      <c r="O718" s="13">
        <v>46173</v>
      </c>
      <c r="P718" s="13">
        <v>46178</v>
      </c>
      <c r="Q718">
        <f t="shared" ca="1" si="55"/>
        <v>33</v>
      </c>
      <c r="R718">
        <f t="shared" si="56"/>
        <v>17</v>
      </c>
      <c r="S718">
        <f t="shared" ca="1" si="57"/>
        <v>12</v>
      </c>
      <c r="T718" t="str">
        <f t="shared" ca="1" si="58"/>
        <v>On Track</v>
      </c>
      <c r="U718" t="str">
        <f t="shared" ca="1" si="59"/>
        <v>Normal</v>
      </c>
      <c r="V718" t="s">
        <v>101</v>
      </c>
    </row>
    <row r="719" spans="1:22">
      <c r="A719" t="s">
        <v>1981</v>
      </c>
      <c r="B719" t="s">
        <v>23</v>
      </c>
      <c r="C719" t="s">
        <v>1982</v>
      </c>
      <c r="D719" s="16">
        <v>639.97</v>
      </c>
      <c r="E719" t="s">
        <v>46</v>
      </c>
      <c r="F719" t="s">
        <v>26</v>
      </c>
      <c r="G719" t="s">
        <v>1983</v>
      </c>
      <c r="H719" t="s">
        <v>48</v>
      </c>
      <c r="I719" t="s">
        <v>29</v>
      </c>
      <c r="J719" s="13">
        <v>46165</v>
      </c>
      <c r="K719" s="17" t="s">
        <v>30</v>
      </c>
      <c r="L719" s="13">
        <v>46180</v>
      </c>
      <c r="M719" t="s">
        <v>31</v>
      </c>
      <c r="N719" t="s">
        <v>32</v>
      </c>
      <c r="O719" s="13">
        <v>46173</v>
      </c>
      <c r="P719" s="13">
        <v>46180</v>
      </c>
      <c r="Q719">
        <f t="shared" ca="1" si="55"/>
        <v>24</v>
      </c>
      <c r="R719">
        <f t="shared" si="56"/>
        <v>8</v>
      </c>
      <c r="S719">
        <f t="shared" ca="1" si="57"/>
        <v>-9</v>
      </c>
      <c r="T719" t="str">
        <f t="shared" ca="1" si="58"/>
        <v>On Track</v>
      </c>
      <c r="U719" t="str">
        <f t="shared" ca="1" si="59"/>
        <v>Normal</v>
      </c>
      <c r="V719" t="s">
        <v>33</v>
      </c>
    </row>
    <row r="720" spans="1:22">
      <c r="A720" t="s">
        <v>1984</v>
      </c>
      <c r="B720" t="s">
        <v>94</v>
      </c>
      <c r="C720" t="s">
        <v>1985</v>
      </c>
      <c r="D720" s="16">
        <v>4596.22</v>
      </c>
      <c r="E720" t="s">
        <v>302</v>
      </c>
      <c r="F720" t="s">
        <v>38</v>
      </c>
      <c r="H720" t="s">
        <v>304</v>
      </c>
      <c r="I720" t="s">
        <v>29</v>
      </c>
      <c r="J720" s="13">
        <v>46146</v>
      </c>
      <c r="K720" s="17" t="s">
        <v>30</v>
      </c>
      <c r="L720" s="13">
        <v>46161</v>
      </c>
      <c r="M720" t="s">
        <v>41</v>
      </c>
      <c r="N720" t="s">
        <v>32</v>
      </c>
      <c r="Q720">
        <f t="shared" ca="1" si="55"/>
        <v>43</v>
      </c>
      <c r="R720" t="str">
        <f t="shared" si="56"/>
        <v/>
      </c>
      <c r="S720">
        <f t="shared" ca="1" si="57"/>
        <v>-28</v>
      </c>
      <c r="T720" t="str">
        <f t="shared" ca="1" si="58"/>
        <v>Overdue</v>
      </c>
      <c r="U720" t="str">
        <f t="shared" ca="1" si="59"/>
        <v>At Risk</v>
      </c>
      <c r="V720" t="s">
        <v>42</v>
      </c>
    </row>
    <row r="721" spans="1:22">
      <c r="A721" t="s">
        <v>1986</v>
      </c>
      <c r="B721" t="s">
        <v>73</v>
      </c>
      <c r="C721" t="s">
        <v>1987</v>
      </c>
      <c r="D721" s="16">
        <v>1937.07</v>
      </c>
      <c r="E721" t="s">
        <v>37</v>
      </c>
      <c r="F721" t="s">
        <v>38</v>
      </c>
      <c r="H721" t="s">
        <v>39</v>
      </c>
      <c r="I721" t="s">
        <v>29</v>
      </c>
      <c r="J721" s="13">
        <v>46164</v>
      </c>
      <c r="K721" s="17" t="s">
        <v>57</v>
      </c>
      <c r="L721" s="13">
        <v>46194</v>
      </c>
      <c r="M721" t="s">
        <v>31</v>
      </c>
      <c r="N721" t="s">
        <v>100</v>
      </c>
      <c r="O721" s="13">
        <v>46182</v>
      </c>
      <c r="P721" s="13">
        <v>46185</v>
      </c>
      <c r="Q721">
        <f t="shared" ca="1" si="55"/>
        <v>25</v>
      </c>
      <c r="R721">
        <f t="shared" si="56"/>
        <v>18</v>
      </c>
      <c r="S721">
        <f t="shared" ca="1" si="57"/>
        <v>5</v>
      </c>
      <c r="T721" t="str">
        <f t="shared" ca="1" si="58"/>
        <v>On Track</v>
      </c>
      <c r="U721" t="str">
        <f t="shared" ca="1" si="59"/>
        <v>Normal</v>
      </c>
      <c r="V721" t="s">
        <v>101</v>
      </c>
    </row>
    <row r="722" spans="1:22">
      <c r="A722" t="s">
        <v>1988</v>
      </c>
      <c r="B722" t="s">
        <v>53</v>
      </c>
      <c r="C722" t="s">
        <v>1989</v>
      </c>
      <c r="D722" s="16">
        <v>3427.3</v>
      </c>
      <c r="E722" t="s">
        <v>302</v>
      </c>
      <c r="F722" t="s">
        <v>38</v>
      </c>
      <c r="H722" t="s">
        <v>304</v>
      </c>
      <c r="I722" t="s">
        <v>29</v>
      </c>
      <c r="J722" s="13">
        <v>46152</v>
      </c>
      <c r="K722" s="17" t="s">
        <v>30</v>
      </c>
      <c r="L722" s="13">
        <v>46167</v>
      </c>
      <c r="M722" t="s">
        <v>31</v>
      </c>
      <c r="N722" t="s">
        <v>32</v>
      </c>
      <c r="O722" s="13">
        <v>46160</v>
      </c>
      <c r="P722" s="13">
        <v>46165</v>
      </c>
      <c r="Q722">
        <f t="shared" ca="1" si="55"/>
        <v>37</v>
      </c>
      <c r="R722">
        <f t="shared" si="56"/>
        <v>8</v>
      </c>
      <c r="S722">
        <f t="shared" ca="1" si="57"/>
        <v>-22</v>
      </c>
      <c r="T722" t="str">
        <f t="shared" ca="1" si="58"/>
        <v>On Track</v>
      </c>
      <c r="U722" t="str">
        <f t="shared" ca="1" si="59"/>
        <v>Normal</v>
      </c>
      <c r="V722" t="s">
        <v>33</v>
      </c>
    </row>
    <row r="723" spans="1:22">
      <c r="A723" t="s">
        <v>1990</v>
      </c>
      <c r="B723" t="s">
        <v>118</v>
      </c>
      <c r="C723" t="s">
        <v>1991</v>
      </c>
      <c r="D723" s="16">
        <v>3254.04</v>
      </c>
      <c r="E723" t="s">
        <v>62</v>
      </c>
      <c r="F723" t="s">
        <v>26</v>
      </c>
      <c r="G723" t="s">
        <v>1992</v>
      </c>
      <c r="H723" t="s">
        <v>64</v>
      </c>
      <c r="I723" t="s">
        <v>29</v>
      </c>
      <c r="J723" s="13">
        <v>46164</v>
      </c>
      <c r="K723" s="17" t="s">
        <v>30</v>
      </c>
      <c r="L723" s="13">
        <v>46179</v>
      </c>
      <c r="M723" t="s">
        <v>65</v>
      </c>
      <c r="N723" t="s">
        <v>32</v>
      </c>
      <c r="Q723">
        <f t="shared" ca="1" si="55"/>
        <v>25</v>
      </c>
      <c r="R723" t="str">
        <f t="shared" si="56"/>
        <v/>
      </c>
      <c r="S723">
        <f t="shared" ca="1" si="57"/>
        <v>-10</v>
      </c>
      <c r="T723" t="str">
        <f t="shared" ca="1" si="58"/>
        <v>On Track</v>
      </c>
      <c r="U723" t="str">
        <f t="shared" ca="1" si="59"/>
        <v>At Risk</v>
      </c>
    </row>
    <row r="724" spans="1:22">
      <c r="A724" t="s">
        <v>1993</v>
      </c>
      <c r="B724" t="s">
        <v>73</v>
      </c>
      <c r="C724" t="s">
        <v>1994</v>
      </c>
      <c r="D724" s="16">
        <v>3010.77</v>
      </c>
      <c r="E724" t="s">
        <v>111</v>
      </c>
      <c r="F724" t="s">
        <v>26</v>
      </c>
      <c r="G724" t="s">
        <v>1995</v>
      </c>
      <c r="H724" t="s">
        <v>113</v>
      </c>
      <c r="I724" t="s">
        <v>29</v>
      </c>
      <c r="J724" s="13">
        <v>46149</v>
      </c>
      <c r="K724" s="17" t="s">
        <v>49</v>
      </c>
      <c r="L724" s="13">
        <v>46194</v>
      </c>
      <c r="M724" t="s">
        <v>84</v>
      </c>
      <c r="N724" t="s">
        <v>32</v>
      </c>
      <c r="O724" s="13">
        <v>46152</v>
      </c>
      <c r="Q724">
        <f t="shared" ca="1" si="55"/>
        <v>40</v>
      </c>
      <c r="R724">
        <f t="shared" si="56"/>
        <v>3</v>
      </c>
      <c r="S724">
        <f t="shared" ca="1" si="57"/>
        <v>5</v>
      </c>
      <c r="T724" t="str">
        <f t="shared" ca="1" si="58"/>
        <v>On Track</v>
      </c>
      <c r="U724" t="str">
        <f t="shared" ca="1" si="59"/>
        <v>At Risk</v>
      </c>
    </row>
    <row r="725" spans="1:22">
      <c r="A725" t="s">
        <v>1996</v>
      </c>
      <c r="B725" t="s">
        <v>208</v>
      </c>
      <c r="C725" t="s">
        <v>1997</v>
      </c>
      <c r="D725" s="16">
        <v>3489.34</v>
      </c>
      <c r="E725" t="s">
        <v>156</v>
      </c>
      <c r="F725" t="s">
        <v>38</v>
      </c>
      <c r="H725" t="s">
        <v>157</v>
      </c>
      <c r="I725" t="s">
        <v>29</v>
      </c>
      <c r="J725" s="13">
        <v>46180</v>
      </c>
      <c r="K725" s="17" t="s">
        <v>30</v>
      </c>
      <c r="L725" s="13">
        <v>46195</v>
      </c>
      <c r="M725" t="s">
        <v>99</v>
      </c>
      <c r="N725" t="s">
        <v>32</v>
      </c>
      <c r="O725" s="13">
        <v>46189</v>
      </c>
      <c r="Q725">
        <f t="shared" ca="1" si="55"/>
        <v>9</v>
      </c>
      <c r="R725">
        <f t="shared" si="56"/>
        <v>9</v>
      </c>
      <c r="S725">
        <f t="shared" ca="1" si="57"/>
        <v>6</v>
      </c>
      <c r="T725" t="str">
        <f t="shared" ca="1" si="58"/>
        <v>On Track</v>
      </c>
      <c r="U725" t="str">
        <f t="shared" ca="1" si="59"/>
        <v>Normal</v>
      </c>
    </row>
    <row r="726" spans="1:22">
      <c r="A726" t="s">
        <v>1998</v>
      </c>
      <c r="B726" t="s">
        <v>251</v>
      </c>
      <c r="C726" t="s">
        <v>1999</v>
      </c>
      <c r="D726" s="16">
        <v>1357.27</v>
      </c>
      <c r="E726" t="s">
        <v>111</v>
      </c>
      <c r="F726" t="s">
        <v>26</v>
      </c>
      <c r="G726" t="s">
        <v>2000</v>
      </c>
      <c r="H726" t="s">
        <v>113</v>
      </c>
      <c r="I726" t="s">
        <v>29</v>
      </c>
      <c r="J726" s="13">
        <v>46188</v>
      </c>
      <c r="K726" s="17" t="s">
        <v>30</v>
      </c>
      <c r="L726" s="13">
        <v>46203</v>
      </c>
      <c r="M726" t="s">
        <v>41</v>
      </c>
      <c r="N726" t="s">
        <v>32</v>
      </c>
      <c r="Q726">
        <f t="shared" ca="1" si="55"/>
        <v>1</v>
      </c>
      <c r="R726" t="str">
        <f t="shared" si="56"/>
        <v/>
      </c>
      <c r="S726">
        <f t="shared" ca="1" si="57"/>
        <v>14</v>
      </c>
      <c r="T726" t="str">
        <f t="shared" ca="1" si="58"/>
        <v>On Track</v>
      </c>
      <c r="U726" t="str">
        <f t="shared" ca="1" si="59"/>
        <v>Normal</v>
      </c>
      <c r="V726" t="s">
        <v>42</v>
      </c>
    </row>
    <row r="727" spans="1:22">
      <c r="A727" t="s">
        <v>2001</v>
      </c>
      <c r="B727" t="s">
        <v>208</v>
      </c>
      <c r="C727" t="s">
        <v>2002</v>
      </c>
      <c r="D727" s="16">
        <v>1422.21</v>
      </c>
      <c r="E727" t="s">
        <v>156</v>
      </c>
      <c r="F727" t="s">
        <v>26</v>
      </c>
      <c r="G727" t="s">
        <v>2003</v>
      </c>
      <c r="H727" t="s">
        <v>157</v>
      </c>
      <c r="I727" t="s">
        <v>29</v>
      </c>
      <c r="J727" s="13">
        <v>46186</v>
      </c>
      <c r="K727" s="17" t="s">
        <v>30</v>
      </c>
      <c r="L727" s="13">
        <v>46201</v>
      </c>
      <c r="M727" t="s">
        <v>41</v>
      </c>
      <c r="N727" t="s">
        <v>32</v>
      </c>
      <c r="Q727">
        <f t="shared" ca="1" si="55"/>
        <v>3</v>
      </c>
      <c r="R727" t="str">
        <f t="shared" si="56"/>
        <v/>
      </c>
      <c r="S727">
        <f t="shared" ca="1" si="57"/>
        <v>12</v>
      </c>
      <c r="T727" t="str">
        <f t="shared" ca="1" si="58"/>
        <v>On Track</v>
      </c>
      <c r="U727" t="str">
        <f t="shared" ca="1" si="59"/>
        <v>Normal</v>
      </c>
      <c r="V727" t="s">
        <v>42</v>
      </c>
    </row>
    <row r="728" spans="1:22">
      <c r="A728" t="s">
        <v>2004</v>
      </c>
      <c r="B728" t="s">
        <v>73</v>
      </c>
      <c r="C728" t="s">
        <v>2005</v>
      </c>
      <c r="D728" s="16">
        <v>19943.580000000002</v>
      </c>
      <c r="E728" t="s">
        <v>126</v>
      </c>
      <c r="F728" t="s">
        <v>38</v>
      </c>
      <c r="H728" t="s">
        <v>127</v>
      </c>
      <c r="I728" t="s">
        <v>92</v>
      </c>
      <c r="J728" s="13">
        <v>46185</v>
      </c>
      <c r="K728" s="17" t="s">
        <v>49</v>
      </c>
      <c r="L728" s="13">
        <v>46230</v>
      </c>
      <c r="M728" t="s">
        <v>145</v>
      </c>
      <c r="N728" t="s">
        <v>32</v>
      </c>
      <c r="O728" s="13">
        <v>46189</v>
      </c>
      <c r="Q728">
        <f t="shared" ca="1" si="55"/>
        <v>4</v>
      </c>
      <c r="R728">
        <f t="shared" si="56"/>
        <v>4</v>
      </c>
      <c r="S728">
        <f t="shared" ca="1" si="57"/>
        <v>41</v>
      </c>
      <c r="T728" t="str">
        <f t="shared" ca="1" si="58"/>
        <v>On Track</v>
      </c>
      <c r="U728" t="str">
        <f t="shared" ca="1" si="59"/>
        <v>Normal</v>
      </c>
    </row>
    <row r="729" spans="1:22">
      <c r="A729" t="s">
        <v>2006</v>
      </c>
      <c r="B729" t="s">
        <v>44</v>
      </c>
      <c r="C729" t="s">
        <v>2007</v>
      </c>
      <c r="D729" s="16">
        <v>756.79</v>
      </c>
      <c r="E729" t="s">
        <v>25</v>
      </c>
      <c r="F729" t="s">
        <v>26</v>
      </c>
      <c r="G729" t="s">
        <v>2008</v>
      </c>
      <c r="H729" t="s">
        <v>28</v>
      </c>
      <c r="I729" t="s">
        <v>29</v>
      </c>
      <c r="J729" s="13">
        <v>46156</v>
      </c>
      <c r="K729" s="17" t="s">
        <v>30</v>
      </c>
      <c r="L729" s="13">
        <v>46171</v>
      </c>
      <c r="M729" t="s">
        <v>145</v>
      </c>
      <c r="N729" t="s">
        <v>32</v>
      </c>
      <c r="O729" s="13">
        <v>46161</v>
      </c>
      <c r="Q729">
        <f t="shared" ca="1" si="55"/>
        <v>33</v>
      </c>
      <c r="R729">
        <f t="shared" si="56"/>
        <v>5</v>
      </c>
      <c r="S729">
        <f t="shared" ca="1" si="57"/>
        <v>-18</v>
      </c>
      <c r="T729" t="str">
        <f t="shared" ca="1" si="58"/>
        <v>On Track</v>
      </c>
      <c r="U729" t="str">
        <f t="shared" ca="1" si="59"/>
        <v>At Risk</v>
      </c>
    </row>
    <row r="730" spans="1:22">
      <c r="A730" t="s">
        <v>2009</v>
      </c>
      <c r="B730" t="s">
        <v>115</v>
      </c>
      <c r="C730" t="s">
        <v>2010</v>
      </c>
      <c r="D730" s="16">
        <v>531.58000000000004</v>
      </c>
      <c r="E730" t="s">
        <v>69</v>
      </c>
      <c r="F730" t="s">
        <v>26</v>
      </c>
      <c r="G730" t="s">
        <v>2011</v>
      </c>
      <c r="H730" t="s">
        <v>71</v>
      </c>
      <c r="I730" t="s">
        <v>29</v>
      </c>
      <c r="J730" s="13">
        <v>46168</v>
      </c>
      <c r="K730" s="17" t="s">
        <v>40</v>
      </c>
      <c r="L730" s="13">
        <v>46198</v>
      </c>
      <c r="M730" t="s">
        <v>99</v>
      </c>
      <c r="N730" t="s">
        <v>32</v>
      </c>
      <c r="O730" s="13">
        <v>46174</v>
      </c>
      <c r="Q730">
        <f t="shared" ca="1" si="55"/>
        <v>21</v>
      </c>
      <c r="R730">
        <f t="shared" si="56"/>
        <v>6</v>
      </c>
      <c r="S730">
        <f t="shared" ca="1" si="57"/>
        <v>9</v>
      </c>
      <c r="T730" t="str">
        <f t="shared" ca="1" si="58"/>
        <v>On Track</v>
      </c>
      <c r="U730" t="str">
        <f t="shared" ca="1" si="59"/>
        <v>Normal</v>
      </c>
    </row>
    <row r="731" spans="1:22">
      <c r="A731" t="s">
        <v>2012</v>
      </c>
      <c r="B731" t="s">
        <v>222</v>
      </c>
      <c r="C731" t="s">
        <v>2013</v>
      </c>
      <c r="D731" s="16">
        <v>2938.03</v>
      </c>
      <c r="E731" t="s">
        <v>78</v>
      </c>
      <c r="F731" t="s">
        <v>26</v>
      </c>
      <c r="G731" t="s">
        <v>2014</v>
      </c>
      <c r="H731" t="s">
        <v>80</v>
      </c>
      <c r="I731" t="s">
        <v>29</v>
      </c>
      <c r="J731" s="13">
        <v>46178</v>
      </c>
      <c r="K731" s="17" t="s">
        <v>40</v>
      </c>
      <c r="L731" s="13">
        <v>46208</v>
      </c>
      <c r="M731" t="s">
        <v>65</v>
      </c>
      <c r="N731" t="s">
        <v>32</v>
      </c>
      <c r="Q731">
        <f t="shared" ca="1" si="55"/>
        <v>11</v>
      </c>
      <c r="R731" t="str">
        <f t="shared" si="56"/>
        <v/>
      </c>
      <c r="S731">
        <f t="shared" ca="1" si="57"/>
        <v>19</v>
      </c>
      <c r="T731" t="str">
        <f t="shared" ca="1" si="58"/>
        <v>On Track</v>
      </c>
      <c r="U731" t="str">
        <f t="shared" ca="1" si="59"/>
        <v>Normal</v>
      </c>
    </row>
    <row r="732" spans="1:22">
      <c r="A732" t="s">
        <v>2015</v>
      </c>
      <c r="B732" t="s">
        <v>118</v>
      </c>
      <c r="C732" t="s">
        <v>2016</v>
      </c>
      <c r="D732" s="16">
        <v>1539.44</v>
      </c>
      <c r="E732" t="s">
        <v>62</v>
      </c>
      <c r="F732" t="s">
        <v>38</v>
      </c>
      <c r="H732" t="s">
        <v>64</v>
      </c>
      <c r="I732" t="s">
        <v>29</v>
      </c>
      <c r="J732" s="13">
        <v>46188</v>
      </c>
      <c r="K732" s="17" t="s">
        <v>30</v>
      </c>
      <c r="L732" s="13">
        <v>46203</v>
      </c>
      <c r="M732" t="s">
        <v>99</v>
      </c>
      <c r="N732" t="s">
        <v>32</v>
      </c>
      <c r="O732" s="13">
        <v>46189</v>
      </c>
      <c r="Q732">
        <f t="shared" ca="1" si="55"/>
        <v>1</v>
      </c>
      <c r="R732">
        <f t="shared" si="56"/>
        <v>1</v>
      </c>
      <c r="S732">
        <f t="shared" ca="1" si="57"/>
        <v>14</v>
      </c>
      <c r="T732" t="str">
        <f t="shared" ca="1" si="58"/>
        <v>On Track</v>
      </c>
      <c r="U732" t="str">
        <f t="shared" ca="1" si="59"/>
        <v>Normal</v>
      </c>
    </row>
    <row r="733" spans="1:22">
      <c r="A733" t="s">
        <v>2017</v>
      </c>
      <c r="B733" t="s">
        <v>115</v>
      </c>
      <c r="C733" t="s">
        <v>2018</v>
      </c>
      <c r="D733" s="16">
        <v>1231.46</v>
      </c>
      <c r="E733" t="s">
        <v>62</v>
      </c>
      <c r="F733" t="s">
        <v>26</v>
      </c>
      <c r="G733" t="s">
        <v>2019</v>
      </c>
      <c r="H733" t="s">
        <v>64</v>
      </c>
      <c r="I733" t="s">
        <v>29</v>
      </c>
      <c r="J733" s="13">
        <v>46147</v>
      </c>
      <c r="K733" s="17" t="s">
        <v>49</v>
      </c>
      <c r="L733" s="13">
        <v>46192</v>
      </c>
      <c r="M733" t="s">
        <v>99</v>
      </c>
      <c r="N733" t="s">
        <v>32</v>
      </c>
      <c r="O733" s="13">
        <v>46152</v>
      </c>
      <c r="Q733">
        <f t="shared" ca="1" si="55"/>
        <v>42</v>
      </c>
      <c r="R733">
        <f t="shared" si="56"/>
        <v>5</v>
      </c>
      <c r="S733">
        <f t="shared" ca="1" si="57"/>
        <v>3</v>
      </c>
      <c r="T733" t="str">
        <f t="shared" ca="1" si="58"/>
        <v>On Track</v>
      </c>
      <c r="U733" t="str">
        <f t="shared" ca="1" si="59"/>
        <v>At Risk</v>
      </c>
    </row>
    <row r="734" spans="1:22">
      <c r="A734" t="s">
        <v>2020</v>
      </c>
      <c r="B734" t="s">
        <v>129</v>
      </c>
      <c r="C734" t="s">
        <v>2021</v>
      </c>
      <c r="D734" s="16">
        <v>23001.58</v>
      </c>
      <c r="E734" t="s">
        <v>69</v>
      </c>
      <c r="F734" t="s">
        <v>38</v>
      </c>
      <c r="H734" t="s">
        <v>178</v>
      </c>
      <c r="I734" t="s">
        <v>92</v>
      </c>
      <c r="J734" s="13">
        <v>46175</v>
      </c>
      <c r="K734" s="17" t="s">
        <v>40</v>
      </c>
      <c r="L734" s="13">
        <v>46205</v>
      </c>
      <c r="M734" t="s">
        <v>145</v>
      </c>
      <c r="N734" t="s">
        <v>32</v>
      </c>
      <c r="O734" s="13">
        <v>46179</v>
      </c>
      <c r="Q734">
        <f t="shared" ca="1" si="55"/>
        <v>14</v>
      </c>
      <c r="R734">
        <f t="shared" si="56"/>
        <v>4</v>
      </c>
      <c r="S734">
        <f t="shared" ca="1" si="57"/>
        <v>16</v>
      </c>
      <c r="T734" t="str">
        <f t="shared" ca="1" si="58"/>
        <v>On Track</v>
      </c>
      <c r="U734" t="str">
        <f t="shared" ca="1" si="59"/>
        <v>Normal</v>
      </c>
    </row>
    <row r="735" spans="1:22">
      <c r="A735" t="s">
        <v>2022</v>
      </c>
      <c r="B735" t="s">
        <v>168</v>
      </c>
      <c r="C735" t="s">
        <v>2023</v>
      </c>
      <c r="D735" s="16">
        <v>1834.8</v>
      </c>
      <c r="E735" t="s">
        <v>111</v>
      </c>
      <c r="F735" t="s">
        <v>26</v>
      </c>
      <c r="G735" t="s">
        <v>2024</v>
      </c>
      <c r="H735" t="s">
        <v>113</v>
      </c>
      <c r="I735" t="s">
        <v>29</v>
      </c>
      <c r="J735" s="13">
        <v>46177</v>
      </c>
      <c r="K735" s="17" t="s">
        <v>49</v>
      </c>
      <c r="L735" s="13">
        <v>46222</v>
      </c>
      <c r="M735" t="s">
        <v>41</v>
      </c>
      <c r="N735" t="s">
        <v>32</v>
      </c>
      <c r="Q735">
        <f t="shared" ca="1" si="55"/>
        <v>12</v>
      </c>
      <c r="R735" t="str">
        <f t="shared" si="56"/>
        <v/>
      </c>
      <c r="S735">
        <f t="shared" ca="1" si="57"/>
        <v>33</v>
      </c>
      <c r="T735" t="str">
        <f t="shared" ca="1" si="58"/>
        <v>Overdue</v>
      </c>
      <c r="U735" t="str">
        <f t="shared" ca="1" si="59"/>
        <v>Normal</v>
      </c>
      <c r="V735" t="s">
        <v>42</v>
      </c>
    </row>
    <row r="736" spans="1:22">
      <c r="A736" t="s">
        <v>2025</v>
      </c>
      <c r="B736" t="s">
        <v>208</v>
      </c>
      <c r="C736" t="s">
        <v>2026</v>
      </c>
      <c r="D736" s="16">
        <v>3672.81</v>
      </c>
      <c r="E736" t="s">
        <v>25</v>
      </c>
      <c r="F736" t="s">
        <v>26</v>
      </c>
      <c r="G736" t="s">
        <v>2027</v>
      </c>
      <c r="H736" t="s">
        <v>28</v>
      </c>
      <c r="I736" t="s">
        <v>29</v>
      </c>
      <c r="J736" s="13">
        <v>46147</v>
      </c>
      <c r="K736" s="17" t="s">
        <v>49</v>
      </c>
      <c r="L736" s="13">
        <v>46192</v>
      </c>
      <c r="M736" t="s">
        <v>31</v>
      </c>
      <c r="N736" t="s">
        <v>32</v>
      </c>
      <c r="O736" s="13">
        <v>46152</v>
      </c>
      <c r="P736" s="13">
        <v>46156</v>
      </c>
      <c r="Q736">
        <f t="shared" ca="1" si="55"/>
        <v>42</v>
      </c>
      <c r="R736">
        <f t="shared" si="56"/>
        <v>5</v>
      </c>
      <c r="S736">
        <f t="shared" ca="1" si="57"/>
        <v>3</v>
      </c>
      <c r="T736" t="str">
        <f t="shared" ca="1" si="58"/>
        <v>On Track</v>
      </c>
      <c r="U736" t="str">
        <f t="shared" ca="1" si="59"/>
        <v>Normal</v>
      </c>
      <c r="V736" t="s">
        <v>33</v>
      </c>
    </row>
    <row r="737" spans="1:22">
      <c r="A737" t="s">
        <v>2028</v>
      </c>
      <c r="B737" t="s">
        <v>251</v>
      </c>
      <c r="C737" t="s">
        <v>2029</v>
      </c>
      <c r="D737" s="16">
        <v>9090.44</v>
      </c>
      <c r="E737" t="s">
        <v>156</v>
      </c>
      <c r="F737" t="s">
        <v>38</v>
      </c>
      <c r="H737" t="s">
        <v>394</v>
      </c>
      <c r="I737" t="s">
        <v>92</v>
      </c>
      <c r="J737" s="13">
        <v>46156</v>
      </c>
      <c r="K737" s="17" t="s">
        <v>30</v>
      </c>
      <c r="L737" s="13">
        <v>46171</v>
      </c>
      <c r="M737" t="s">
        <v>31</v>
      </c>
      <c r="N737" t="s">
        <v>32</v>
      </c>
      <c r="O737" s="13">
        <v>46160</v>
      </c>
      <c r="P737" s="13">
        <v>46164</v>
      </c>
      <c r="Q737">
        <f t="shared" ca="1" si="55"/>
        <v>33</v>
      </c>
      <c r="R737">
        <f t="shared" si="56"/>
        <v>4</v>
      </c>
      <c r="S737">
        <f t="shared" ca="1" si="57"/>
        <v>-18</v>
      </c>
      <c r="T737" t="str">
        <f t="shared" ca="1" si="58"/>
        <v>On Track</v>
      </c>
      <c r="U737" t="str">
        <f t="shared" ca="1" si="59"/>
        <v>Normal</v>
      </c>
      <c r="V737" t="s">
        <v>33</v>
      </c>
    </row>
    <row r="738" spans="1:22">
      <c r="A738" t="s">
        <v>2030</v>
      </c>
      <c r="B738" t="s">
        <v>271</v>
      </c>
      <c r="C738" t="s">
        <v>2031</v>
      </c>
      <c r="D738" s="16">
        <v>4682.42</v>
      </c>
      <c r="E738" t="s">
        <v>302</v>
      </c>
      <c r="F738" t="s">
        <v>26</v>
      </c>
      <c r="G738" t="s">
        <v>2032</v>
      </c>
      <c r="H738" t="s">
        <v>304</v>
      </c>
      <c r="I738" t="s">
        <v>29</v>
      </c>
      <c r="J738" s="13">
        <v>46151</v>
      </c>
      <c r="K738" s="17" t="s">
        <v>49</v>
      </c>
      <c r="L738" s="13">
        <v>46196</v>
      </c>
      <c r="M738" t="s">
        <v>31</v>
      </c>
      <c r="N738" t="s">
        <v>32</v>
      </c>
      <c r="O738" s="13">
        <v>46155</v>
      </c>
      <c r="P738" s="13">
        <v>46200</v>
      </c>
      <c r="Q738">
        <f t="shared" ca="1" si="55"/>
        <v>38</v>
      </c>
      <c r="R738">
        <f t="shared" si="56"/>
        <v>4</v>
      </c>
      <c r="S738">
        <f t="shared" ca="1" si="57"/>
        <v>7</v>
      </c>
      <c r="T738" t="str">
        <f t="shared" ca="1" si="58"/>
        <v>On Track</v>
      </c>
      <c r="U738" t="str">
        <f t="shared" ca="1" si="59"/>
        <v>Normal</v>
      </c>
      <c r="V738" t="s">
        <v>107</v>
      </c>
    </row>
    <row r="739" spans="1:22">
      <c r="A739" t="s">
        <v>2033</v>
      </c>
      <c r="B739" t="s">
        <v>82</v>
      </c>
      <c r="C739" t="s">
        <v>2034</v>
      </c>
      <c r="D739" s="16">
        <v>2473.25</v>
      </c>
      <c r="E739" t="s">
        <v>25</v>
      </c>
      <c r="F739" t="s">
        <v>38</v>
      </c>
      <c r="H739" t="s">
        <v>28</v>
      </c>
      <c r="I739" t="s">
        <v>29</v>
      </c>
      <c r="J739" s="13">
        <v>46155</v>
      </c>
      <c r="K739" s="17" t="s">
        <v>40</v>
      </c>
      <c r="L739" s="13">
        <v>46185</v>
      </c>
      <c r="M739" t="s">
        <v>99</v>
      </c>
      <c r="N739" t="s">
        <v>58</v>
      </c>
      <c r="O739" s="13">
        <v>46176</v>
      </c>
      <c r="Q739">
        <f t="shared" ca="1" si="55"/>
        <v>34</v>
      </c>
      <c r="R739">
        <f t="shared" si="56"/>
        <v>21</v>
      </c>
      <c r="S739">
        <f t="shared" ca="1" si="57"/>
        <v>-4</v>
      </c>
      <c r="T739" t="str">
        <f t="shared" ca="1" si="58"/>
        <v>On Track</v>
      </c>
      <c r="U739" t="str">
        <f t="shared" ca="1" si="59"/>
        <v>At Risk</v>
      </c>
      <c r="V739" t="s">
        <v>59</v>
      </c>
    </row>
    <row r="740" spans="1:22">
      <c r="A740" t="s">
        <v>2035</v>
      </c>
      <c r="B740" t="s">
        <v>44</v>
      </c>
      <c r="C740" t="s">
        <v>2036</v>
      </c>
      <c r="D740" s="16">
        <v>1921.32</v>
      </c>
      <c r="E740" t="s">
        <v>111</v>
      </c>
      <c r="F740" t="s">
        <v>26</v>
      </c>
      <c r="G740" t="s">
        <v>2037</v>
      </c>
      <c r="H740" t="s">
        <v>113</v>
      </c>
      <c r="I740" t="s">
        <v>29</v>
      </c>
      <c r="J740" s="13">
        <v>46151</v>
      </c>
      <c r="K740" s="17" t="s">
        <v>40</v>
      </c>
      <c r="L740" s="13">
        <v>46181</v>
      </c>
      <c r="M740" t="s">
        <v>31</v>
      </c>
      <c r="N740" t="s">
        <v>32</v>
      </c>
      <c r="O740" s="13">
        <v>46155</v>
      </c>
      <c r="P740" s="13">
        <v>46160</v>
      </c>
      <c r="Q740">
        <f t="shared" ca="1" si="55"/>
        <v>38</v>
      </c>
      <c r="R740">
        <f t="shared" si="56"/>
        <v>4</v>
      </c>
      <c r="S740">
        <f t="shared" ca="1" si="57"/>
        <v>-8</v>
      </c>
      <c r="T740" t="str">
        <f t="shared" ca="1" si="58"/>
        <v>On Track</v>
      </c>
      <c r="U740" t="str">
        <f t="shared" ca="1" si="59"/>
        <v>Normal</v>
      </c>
      <c r="V740" t="s">
        <v>33</v>
      </c>
    </row>
    <row r="741" spans="1:22">
      <c r="A741" t="s">
        <v>2038</v>
      </c>
      <c r="B741" t="s">
        <v>251</v>
      </c>
      <c r="C741" t="s">
        <v>2039</v>
      </c>
      <c r="D741" s="16">
        <v>680.22</v>
      </c>
      <c r="E741" t="s">
        <v>156</v>
      </c>
      <c r="F741" t="s">
        <v>26</v>
      </c>
      <c r="G741" t="s">
        <v>2040</v>
      </c>
      <c r="H741" t="s">
        <v>157</v>
      </c>
      <c r="I741" t="s">
        <v>29</v>
      </c>
      <c r="J741" s="13">
        <v>46174</v>
      </c>
      <c r="K741" s="17" t="s">
        <v>40</v>
      </c>
      <c r="L741" s="13">
        <v>46204</v>
      </c>
      <c r="M741" t="s">
        <v>31</v>
      </c>
      <c r="N741" t="s">
        <v>32</v>
      </c>
      <c r="O741" s="13">
        <v>46177</v>
      </c>
      <c r="P741" s="13">
        <v>46178</v>
      </c>
      <c r="Q741">
        <f t="shared" ca="1" si="55"/>
        <v>15</v>
      </c>
      <c r="R741">
        <f t="shared" si="56"/>
        <v>3</v>
      </c>
      <c r="S741">
        <f t="shared" ca="1" si="57"/>
        <v>15</v>
      </c>
      <c r="T741" t="str">
        <f t="shared" ca="1" si="58"/>
        <v>On Track</v>
      </c>
      <c r="U741" t="str">
        <f t="shared" ca="1" si="59"/>
        <v>Normal</v>
      </c>
      <c r="V741" t="s">
        <v>33</v>
      </c>
    </row>
    <row r="742" spans="1:22">
      <c r="A742" t="s">
        <v>2041</v>
      </c>
      <c r="B742" t="s">
        <v>67</v>
      </c>
      <c r="C742" t="s">
        <v>2042</v>
      </c>
      <c r="D742" s="16">
        <v>3438.38</v>
      </c>
      <c r="E742" t="s">
        <v>46</v>
      </c>
      <c r="F742" t="s">
        <v>26</v>
      </c>
      <c r="G742" t="s">
        <v>1410</v>
      </c>
      <c r="H742" t="s">
        <v>48</v>
      </c>
      <c r="I742" t="s">
        <v>29</v>
      </c>
      <c r="J742" s="13">
        <v>46178</v>
      </c>
      <c r="K742" s="17" t="s">
        <v>40</v>
      </c>
      <c r="L742" s="13">
        <v>46208</v>
      </c>
      <c r="M742" t="s">
        <v>41</v>
      </c>
      <c r="N742" t="s">
        <v>32</v>
      </c>
      <c r="Q742">
        <f t="shared" ca="1" si="55"/>
        <v>11</v>
      </c>
      <c r="R742" t="str">
        <f t="shared" si="56"/>
        <v/>
      </c>
      <c r="S742">
        <f t="shared" ca="1" si="57"/>
        <v>19</v>
      </c>
      <c r="T742" t="str">
        <f t="shared" ca="1" si="58"/>
        <v>Overdue</v>
      </c>
      <c r="U742" t="str">
        <f t="shared" ca="1" si="59"/>
        <v>Normal</v>
      </c>
      <c r="V742" t="s">
        <v>42</v>
      </c>
    </row>
    <row r="743" spans="1:22">
      <c r="A743" t="s">
        <v>2043</v>
      </c>
      <c r="B743" t="s">
        <v>118</v>
      </c>
      <c r="C743" t="s">
        <v>2044</v>
      </c>
      <c r="D743" s="16">
        <v>2975.92</v>
      </c>
      <c r="E743" t="s">
        <v>25</v>
      </c>
      <c r="F743" t="s">
        <v>26</v>
      </c>
      <c r="G743" t="s">
        <v>2045</v>
      </c>
      <c r="H743" t="s">
        <v>28</v>
      </c>
      <c r="I743" t="s">
        <v>29</v>
      </c>
      <c r="J743" s="13">
        <v>46172</v>
      </c>
      <c r="K743" s="17" t="s">
        <v>49</v>
      </c>
      <c r="L743" s="13">
        <v>46217</v>
      </c>
      <c r="M743" t="s">
        <v>41</v>
      </c>
      <c r="N743" t="s">
        <v>32</v>
      </c>
      <c r="Q743">
        <f t="shared" ca="1" si="55"/>
        <v>17</v>
      </c>
      <c r="R743" t="str">
        <f t="shared" si="56"/>
        <v/>
      </c>
      <c r="S743">
        <f t="shared" ca="1" si="57"/>
        <v>28</v>
      </c>
      <c r="T743" t="str">
        <f t="shared" ca="1" si="58"/>
        <v>Overdue</v>
      </c>
      <c r="U743" t="str">
        <f t="shared" ca="1" si="59"/>
        <v>Normal</v>
      </c>
      <c r="V743" t="s">
        <v>42</v>
      </c>
    </row>
    <row r="744" spans="1:22">
      <c r="A744" t="s">
        <v>2046</v>
      </c>
      <c r="B744" t="s">
        <v>271</v>
      </c>
      <c r="C744" t="s">
        <v>2047</v>
      </c>
      <c r="D744" s="16">
        <v>4124.1000000000004</v>
      </c>
      <c r="E744" t="s">
        <v>25</v>
      </c>
      <c r="F744" t="s">
        <v>26</v>
      </c>
      <c r="G744" t="s">
        <v>2048</v>
      </c>
      <c r="H744" t="s">
        <v>28</v>
      </c>
      <c r="I744" t="s">
        <v>29</v>
      </c>
      <c r="J744" s="13">
        <v>46176</v>
      </c>
      <c r="K744" s="17" t="s">
        <v>49</v>
      </c>
      <c r="L744" s="13">
        <v>46221</v>
      </c>
      <c r="M744" t="s">
        <v>99</v>
      </c>
      <c r="N744" t="s">
        <v>32</v>
      </c>
      <c r="O744" s="13">
        <v>46181</v>
      </c>
      <c r="Q744">
        <f t="shared" ca="1" si="55"/>
        <v>13</v>
      </c>
      <c r="R744">
        <f t="shared" si="56"/>
        <v>5</v>
      </c>
      <c r="S744">
        <f t="shared" ca="1" si="57"/>
        <v>32</v>
      </c>
      <c r="T744" t="str">
        <f t="shared" ca="1" si="58"/>
        <v>On Track</v>
      </c>
      <c r="U744" t="str">
        <f t="shared" ca="1" si="59"/>
        <v>Normal</v>
      </c>
    </row>
    <row r="745" spans="1:22">
      <c r="A745" t="s">
        <v>2049</v>
      </c>
      <c r="B745" t="s">
        <v>94</v>
      </c>
      <c r="C745" t="s">
        <v>2050</v>
      </c>
      <c r="D745" s="16">
        <v>4555.28</v>
      </c>
      <c r="E745" t="s">
        <v>126</v>
      </c>
      <c r="F745" t="s">
        <v>26</v>
      </c>
      <c r="G745" t="s">
        <v>2051</v>
      </c>
      <c r="H745" t="s">
        <v>241</v>
      </c>
      <c r="I745" t="s">
        <v>29</v>
      </c>
      <c r="J745" s="13">
        <v>46162</v>
      </c>
      <c r="K745" s="17" t="s">
        <v>40</v>
      </c>
      <c r="L745" s="13">
        <v>46192</v>
      </c>
      <c r="M745" t="s">
        <v>31</v>
      </c>
      <c r="N745" t="s">
        <v>32</v>
      </c>
      <c r="O745" s="13">
        <v>46172</v>
      </c>
      <c r="P745" s="13">
        <v>46177</v>
      </c>
      <c r="Q745">
        <f t="shared" ca="1" si="55"/>
        <v>27</v>
      </c>
      <c r="R745">
        <f t="shared" si="56"/>
        <v>10</v>
      </c>
      <c r="S745">
        <f t="shared" ca="1" si="57"/>
        <v>3</v>
      </c>
      <c r="T745" t="str">
        <f t="shared" ca="1" si="58"/>
        <v>On Track</v>
      </c>
      <c r="U745" t="str">
        <f t="shared" ca="1" si="59"/>
        <v>Normal</v>
      </c>
      <c r="V745" t="s">
        <v>33</v>
      </c>
    </row>
    <row r="746" spans="1:22">
      <c r="A746" t="s">
        <v>2052</v>
      </c>
      <c r="B746" t="s">
        <v>187</v>
      </c>
      <c r="C746" t="s">
        <v>2053</v>
      </c>
      <c r="D746" s="16">
        <v>3380.08</v>
      </c>
      <c r="E746" t="s">
        <v>78</v>
      </c>
      <c r="F746" t="s">
        <v>38</v>
      </c>
      <c r="H746" t="s">
        <v>80</v>
      </c>
      <c r="I746" t="s">
        <v>29</v>
      </c>
      <c r="J746" s="13">
        <v>46146</v>
      </c>
      <c r="K746" s="17" t="s">
        <v>57</v>
      </c>
      <c r="L746" s="13">
        <v>46176</v>
      </c>
      <c r="M746" t="s">
        <v>31</v>
      </c>
      <c r="N746" t="s">
        <v>58</v>
      </c>
      <c r="O746" s="13">
        <v>46158</v>
      </c>
      <c r="P746" s="13">
        <v>46160</v>
      </c>
      <c r="Q746">
        <f t="shared" ca="1" si="55"/>
        <v>43</v>
      </c>
      <c r="R746">
        <f t="shared" si="56"/>
        <v>12</v>
      </c>
      <c r="S746">
        <f t="shared" ca="1" si="57"/>
        <v>-13</v>
      </c>
      <c r="T746" t="str">
        <f t="shared" ca="1" si="58"/>
        <v>On Track</v>
      </c>
      <c r="U746" t="str">
        <f t="shared" ca="1" si="59"/>
        <v>Normal</v>
      </c>
      <c r="V746" t="s">
        <v>59</v>
      </c>
    </row>
    <row r="747" spans="1:22">
      <c r="A747" t="s">
        <v>2054</v>
      </c>
      <c r="B747" t="s">
        <v>187</v>
      </c>
      <c r="C747" t="s">
        <v>2055</v>
      </c>
      <c r="D747" s="16">
        <v>1410.1</v>
      </c>
      <c r="E747" t="s">
        <v>55</v>
      </c>
      <c r="F747" t="s">
        <v>26</v>
      </c>
      <c r="G747" t="s">
        <v>2056</v>
      </c>
      <c r="H747" t="s">
        <v>56</v>
      </c>
      <c r="I747" t="s">
        <v>29</v>
      </c>
      <c r="J747" s="13">
        <v>46154</v>
      </c>
      <c r="K747" s="17" t="s">
        <v>40</v>
      </c>
      <c r="L747" s="13">
        <v>46184</v>
      </c>
      <c r="M747" t="s">
        <v>31</v>
      </c>
      <c r="N747" t="s">
        <v>32</v>
      </c>
      <c r="O747" s="13">
        <v>46159</v>
      </c>
      <c r="P747" s="13">
        <v>46165</v>
      </c>
      <c r="Q747">
        <f t="shared" ca="1" si="55"/>
        <v>35</v>
      </c>
      <c r="R747">
        <f t="shared" si="56"/>
        <v>5</v>
      </c>
      <c r="S747">
        <f t="shared" ca="1" si="57"/>
        <v>-5</v>
      </c>
      <c r="T747" t="str">
        <f t="shared" ca="1" si="58"/>
        <v>On Track</v>
      </c>
      <c r="U747" t="str">
        <f t="shared" ca="1" si="59"/>
        <v>Normal</v>
      </c>
      <c r="V747" t="s">
        <v>33</v>
      </c>
    </row>
    <row r="748" spans="1:22">
      <c r="A748" t="s">
        <v>2057</v>
      </c>
      <c r="B748" t="s">
        <v>67</v>
      </c>
      <c r="C748" t="s">
        <v>2058</v>
      </c>
      <c r="D748" s="16">
        <v>3583.67</v>
      </c>
      <c r="E748" t="s">
        <v>126</v>
      </c>
      <c r="F748" t="s">
        <v>38</v>
      </c>
      <c r="H748" t="s">
        <v>241</v>
      </c>
      <c r="I748" t="s">
        <v>29</v>
      </c>
      <c r="J748" s="13">
        <v>46188</v>
      </c>
      <c r="K748" s="17" t="s">
        <v>57</v>
      </c>
      <c r="L748" s="13">
        <v>46218</v>
      </c>
      <c r="M748" t="s">
        <v>145</v>
      </c>
      <c r="N748" t="s">
        <v>32</v>
      </c>
      <c r="O748" s="13">
        <v>46189</v>
      </c>
      <c r="Q748">
        <f t="shared" ca="1" si="55"/>
        <v>1</v>
      </c>
      <c r="R748">
        <f t="shared" si="56"/>
        <v>1</v>
      </c>
      <c r="S748">
        <f t="shared" ca="1" si="57"/>
        <v>29</v>
      </c>
      <c r="T748" t="str">
        <f t="shared" ca="1" si="58"/>
        <v>On Track</v>
      </c>
      <c r="U748" t="str">
        <f t="shared" ca="1" si="59"/>
        <v>Normal</v>
      </c>
    </row>
    <row r="749" spans="1:22">
      <c r="A749" t="s">
        <v>2059</v>
      </c>
      <c r="B749" t="s">
        <v>168</v>
      </c>
      <c r="C749" t="s">
        <v>2060</v>
      </c>
      <c r="D749" s="16">
        <v>2996.41</v>
      </c>
      <c r="E749" t="s">
        <v>55</v>
      </c>
      <c r="F749" t="s">
        <v>26</v>
      </c>
      <c r="G749" t="s">
        <v>2061</v>
      </c>
      <c r="H749" t="s">
        <v>56</v>
      </c>
      <c r="I749" t="s">
        <v>29</v>
      </c>
      <c r="J749" s="13">
        <v>46178</v>
      </c>
      <c r="K749" s="17" t="s">
        <v>30</v>
      </c>
      <c r="L749" s="13">
        <v>46193</v>
      </c>
      <c r="M749" t="s">
        <v>99</v>
      </c>
      <c r="N749" t="s">
        <v>32</v>
      </c>
      <c r="O749" s="13">
        <v>46185</v>
      </c>
      <c r="Q749">
        <f t="shared" ca="1" si="55"/>
        <v>11</v>
      </c>
      <c r="R749">
        <f t="shared" si="56"/>
        <v>7</v>
      </c>
      <c r="S749">
        <f t="shared" ca="1" si="57"/>
        <v>4</v>
      </c>
      <c r="T749" t="str">
        <f t="shared" ca="1" si="58"/>
        <v>On Track</v>
      </c>
      <c r="U749" t="str">
        <f t="shared" ca="1" si="59"/>
        <v>At Risk</v>
      </c>
    </row>
    <row r="750" spans="1:22">
      <c r="A750" t="s">
        <v>2062</v>
      </c>
      <c r="B750" t="s">
        <v>103</v>
      </c>
      <c r="C750" t="s">
        <v>2063</v>
      </c>
      <c r="D750" s="16">
        <v>7853.43</v>
      </c>
      <c r="E750" t="s">
        <v>142</v>
      </c>
      <c r="F750" t="s">
        <v>38</v>
      </c>
      <c r="H750" t="s">
        <v>144</v>
      </c>
      <c r="I750" t="s">
        <v>92</v>
      </c>
      <c r="J750" s="13">
        <v>46161</v>
      </c>
      <c r="K750" s="17" t="s">
        <v>30</v>
      </c>
      <c r="L750" s="13">
        <v>46176</v>
      </c>
      <c r="M750" t="s">
        <v>65</v>
      </c>
      <c r="N750" t="s">
        <v>32</v>
      </c>
      <c r="Q750">
        <f t="shared" ca="1" si="55"/>
        <v>28</v>
      </c>
      <c r="R750" t="str">
        <f t="shared" si="56"/>
        <v/>
      </c>
      <c r="S750">
        <f t="shared" ca="1" si="57"/>
        <v>-13</v>
      </c>
      <c r="T750" t="str">
        <f t="shared" ca="1" si="58"/>
        <v>On Track</v>
      </c>
      <c r="U750" t="str">
        <f t="shared" ca="1" si="59"/>
        <v>At Risk</v>
      </c>
    </row>
    <row r="751" spans="1:22">
      <c r="A751" t="s">
        <v>2064</v>
      </c>
      <c r="B751" t="s">
        <v>53</v>
      </c>
      <c r="C751" t="s">
        <v>2065</v>
      </c>
      <c r="D751" s="16">
        <v>4233.58</v>
      </c>
      <c r="E751" t="s">
        <v>46</v>
      </c>
      <c r="F751" t="s">
        <v>26</v>
      </c>
      <c r="G751" t="s">
        <v>2066</v>
      </c>
      <c r="H751" t="s">
        <v>48</v>
      </c>
      <c r="I751" t="s">
        <v>29</v>
      </c>
      <c r="J751" s="13">
        <v>46175</v>
      </c>
      <c r="K751" s="17" t="s">
        <v>30</v>
      </c>
      <c r="L751" s="13">
        <v>46190</v>
      </c>
      <c r="M751" t="s">
        <v>145</v>
      </c>
      <c r="N751" t="s">
        <v>32</v>
      </c>
      <c r="O751" s="13">
        <v>46180</v>
      </c>
      <c r="Q751">
        <f t="shared" ca="1" si="55"/>
        <v>14</v>
      </c>
      <c r="R751">
        <f t="shared" si="56"/>
        <v>5</v>
      </c>
      <c r="S751">
        <f t="shared" ca="1" si="57"/>
        <v>1</v>
      </c>
      <c r="T751" t="str">
        <f t="shared" ca="1" si="58"/>
        <v>On Track</v>
      </c>
      <c r="U751" t="str">
        <f t="shared" ca="1" si="59"/>
        <v>At Risk</v>
      </c>
    </row>
    <row r="752" spans="1:22">
      <c r="A752" t="s">
        <v>2067</v>
      </c>
      <c r="B752" t="s">
        <v>53</v>
      </c>
      <c r="C752" t="s">
        <v>2068</v>
      </c>
      <c r="D752" s="16">
        <v>4556.62</v>
      </c>
      <c r="E752" t="s">
        <v>302</v>
      </c>
      <c r="F752" t="s">
        <v>26</v>
      </c>
      <c r="G752" t="s">
        <v>2069</v>
      </c>
      <c r="H752" t="s">
        <v>304</v>
      </c>
      <c r="I752" t="s">
        <v>29</v>
      </c>
      <c r="J752" s="13">
        <v>46187</v>
      </c>
      <c r="K752" s="17" t="s">
        <v>40</v>
      </c>
      <c r="L752" s="13">
        <v>46217</v>
      </c>
      <c r="M752" t="s">
        <v>41</v>
      </c>
      <c r="N752" t="s">
        <v>32</v>
      </c>
      <c r="Q752">
        <f t="shared" ca="1" si="55"/>
        <v>2</v>
      </c>
      <c r="R752" t="str">
        <f t="shared" si="56"/>
        <v/>
      </c>
      <c r="S752">
        <f t="shared" ca="1" si="57"/>
        <v>28</v>
      </c>
      <c r="T752" t="str">
        <f t="shared" ca="1" si="58"/>
        <v>On Track</v>
      </c>
      <c r="U752" t="str">
        <f t="shared" ca="1" si="59"/>
        <v>Normal</v>
      </c>
      <c r="V752" t="s">
        <v>42</v>
      </c>
    </row>
    <row r="753" spans="1:22">
      <c r="A753" t="s">
        <v>2070</v>
      </c>
      <c r="B753" t="s">
        <v>35</v>
      </c>
      <c r="C753" t="s">
        <v>2071</v>
      </c>
      <c r="D753" s="16">
        <v>824.98</v>
      </c>
      <c r="E753" t="s">
        <v>69</v>
      </c>
      <c r="F753" t="s">
        <v>26</v>
      </c>
      <c r="G753" t="s">
        <v>2072</v>
      </c>
      <c r="H753" t="s">
        <v>71</v>
      </c>
      <c r="I753" t="s">
        <v>29</v>
      </c>
      <c r="J753" s="13">
        <v>46161</v>
      </c>
      <c r="K753" s="17" t="s">
        <v>30</v>
      </c>
      <c r="L753" s="13">
        <v>46176</v>
      </c>
      <c r="M753" t="s">
        <v>31</v>
      </c>
      <c r="N753" t="s">
        <v>213</v>
      </c>
      <c r="O753" s="13">
        <v>46175</v>
      </c>
      <c r="P753" s="13">
        <v>46181</v>
      </c>
      <c r="Q753">
        <f t="shared" ca="1" si="55"/>
        <v>28</v>
      </c>
      <c r="R753">
        <f t="shared" si="56"/>
        <v>14</v>
      </c>
      <c r="S753">
        <f t="shared" ca="1" si="57"/>
        <v>-13</v>
      </c>
      <c r="T753" t="str">
        <f t="shared" ca="1" si="58"/>
        <v>On Track</v>
      </c>
      <c r="U753" t="str">
        <f t="shared" ca="1" si="59"/>
        <v>Normal</v>
      </c>
      <c r="V753" t="s">
        <v>214</v>
      </c>
    </row>
    <row r="754" spans="1:22">
      <c r="A754" t="s">
        <v>2073</v>
      </c>
      <c r="B754" t="s">
        <v>168</v>
      </c>
      <c r="C754" t="s">
        <v>2074</v>
      </c>
      <c r="D754" s="16">
        <v>2247.27</v>
      </c>
      <c r="E754" t="s">
        <v>69</v>
      </c>
      <c r="F754" t="s">
        <v>26</v>
      </c>
      <c r="G754" t="s">
        <v>2075</v>
      </c>
      <c r="H754" t="s">
        <v>71</v>
      </c>
      <c r="I754" t="s">
        <v>29</v>
      </c>
      <c r="J754" s="13">
        <v>46176</v>
      </c>
      <c r="K754" s="17" t="s">
        <v>49</v>
      </c>
      <c r="L754" s="13">
        <v>46221</v>
      </c>
      <c r="M754" t="s">
        <v>145</v>
      </c>
      <c r="N754" t="s">
        <v>32</v>
      </c>
      <c r="O754" s="13">
        <v>46183</v>
      </c>
      <c r="Q754">
        <f t="shared" ca="1" si="55"/>
        <v>13</v>
      </c>
      <c r="R754">
        <f t="shared" si="56"/>
        <v>7</v>
      </c>
      <c r="S754">
        <f t="shared" ca="1" si="57"/>
        <v>32</v>
      </c>
      <c r="T754" t="str">
        <f t="shared" ca="1" si="58"/>
        <v>On Track</v>
      </c>
      <c r="U754" t="str">
        <f t="shared" ca="1" si="59"/>
        <v>Normal</v>
      </c>
    </row>
    <row r="755" spans="1:22">
      <c r="A755" t="s">
        <v>2076</v>
      </c>
      <c r="B755" t="s">
        <v>129</v>
      </c>
      <c r="C755" t="s">
        <v>2077</v>
      </c>
      <c r="D755" s="16">
        <v>645.59</v>
      </c>
      <c r="E755" t="s">
        <v>156</v>
      </c>
      <c r="F755" t="s">
        <v>26</v>
      </c>
      <c r="G755" t="s">
        <v>2078</v>
      </c>
      <c r="H755" t="s">
        <v>157</v>
      </c>
      <c r="I755" t="s">
        <v>29</v>
      </c>
      <c r="J755" s="13">
        <v>46164</v>
      </c>
      <c r="K755" s="17" t="s">
        <v>30</v>
      </c>
      <c r="L755" s="13">
        <v>46179</v>
      </c>
      <c r="M755" t="s">
        <v>31</v>
      </c>
      <c r="N755" t="s">
        <v>32</v>
      </c>
      <c r="O755" s="13">
        <v>46166</v>
      </c>
      <c r="P755" s="13">
        <v>46167</v>
      </c>
      <c r="Q755">
        <f t="shared" ca="1" si="55"/>
        <v>25</v>
      </c>
      <c r="R755">
        <f t="shared" si="56"/>
        <v>2</v>
      </c>
      <c r="S755">
        <f t="shared" ca="1" si="57"/>
        <v>-10</v>
      </c>
      <c r="T755" t="str">
        <f t="shared" ca="1" si="58"/>
        <v>On Track</v>
      </c>
      <c r="U755" t="str">
        <f t="shared" ca="1" si="59"/>
        <v>Normal</v>
      </c>
      <c r="V755" t="s">
        <v>33</v>
      </c>
    </row>
    <row r="756" spans="1:22">
      <c r="A756" t="s">
        <v>2079</v>
      </c>
      <c r="B756" t="s">
        <v>115</v>
      </c>
      <c r="C756" t="s">
        <v>2080</v>
      </c>
      <c r="D756" s="16">
        <v>1550.62</v>
      </c>
      <c r="E756" t="s">
        <v>302</v>
      </c>
      <c r="F756" t="s">
        <v>38</v>
      </c>
      <c r="H756" t="s">
        <v>304</v>
      </c>
      <c r="I756" t="s">
        <v>29</v>
      </c>
      <c r="J756" s="13">
        <v>46144</v>
      </c>
      <c r="K756" s="17" t="s">
        <v>40</v>
      </c>
      <c r="L756" s="13">
        <v>46174</v>
      </c>
      <c r="M756" t="s">
        <v>31</v>
      </c>
      <c r="N756" t="s">
        <v>32</v>
      </c>
      <c r="O756" s="13">
        <v>46152</v>
      </c>
      <c r="P756" s="13">
        <v>46158</v>
      </c>
      <c r="Q756">
        <f t="shared" ca="1" si="55"/>
        <v>45</v>
      </c>
      <c r="R756">
        <f t="shared" si="56"/>
        <v>8</v>
      </c>
      <c r="S756">
        <f t="shared" ca="1" si="57"/>
        <v>-15</v>
      </c>
      <c r="T756" t="str">
        <f t="shared" ca="1" si="58"/>
        <v>On Track</v>
      </c>
      <c r="U756" t="str">
        <f t="shared" ca="1" si="59"/>
        <v>Normal</v>
      </c>
      <c r="V756" t="s">
        <v>33</v>
      </c>
    </row>
    <row r="757" spans="1:22">
      <c r="A757" t="s">
        <v>2081</v>
      </c>
      <c r="B757" t="s">
        <v>67</v>
      </c>
      <c r="C757" t="s">
        <v>2082</v>
      </c>
      <c r="D757" s="16">
        <v>313.25</v>
      </c>
      <c r="E757" t="s">
        <v>69</v>
      </c>
      <c r="F757" t="s">
        <v>26</v>
      </c>
      <c r="G757" t="s">
        <v>2083</v>
      </c>
      <c r="H757" t="s">
        <v>71</v>
      </c>
      <c r="I757" t="s">
        <v>29</v>
      </c>
      <c r="J757" s="13">
        <v>46144</v>
      </c>
      <c r="K757" s="17" t="s">
        <v>40</v>
      </c>
      <c r="L757" s="13">
        <v>46174</v>
      </c>
      <c r="M757" t="s">
        <v>31</v>
      </c>
      <c r="N757" t="s">
        <v>32</v>
      </c>
      <c r="O757" s="13">
        <v>46150</v>
      </c>
      <c r="P757" s="13">
        <v>46156</v>
      </c>
      <c r="Q757">
        <f t="shared" ca="1" si="55"/>
        <v>45</v>
      </c>
      <c r="R757">
        <f t="shared" si="56"/>
        <v>6</v>
      </c>
      <c r="S757">
        <f t="shared" ca="1" si="57"/>
        <v>-15</v>
      </c>
      <c r="T757" t="str">
        <f t="shared" ca="1" si="58"/>
        <v>On Track</v>
      </c>
      <c r="U757" t="str">
        <f t="shared" ca="1" si="59"/>
        <v>Normal</v>
      </c>
      <c r="V757" t="s">
        <v>33</v>
      </c>
    </row>
    <row r="758" spans="1:22">
      <c r="A758" t="s">
        <v>2084</v>
      </c>
      <c r="B758" t="s">
        <v>35</v>
      </c>
      <c r="C758" t="s">
        <v>2085</v>
      </c>
      <c r="D758" s="16">
        <v>3013.55</v>
      </c>
      <c r="E758" t="s">
        <v>111</v>
      </c>
      <c r="F758" t="s">
        <v>38</v>
      </c>
      <c r="H758" t="s">
        <v>113</v>
      </c>
      <c r="I758" t="s">
        <v>29</v>
      </c>
      <c r="J758" s="13">
        <v>46187</v>
      </c>
      <c r="K758" s="17" t="s">
        <v>57</v>
      </c>
      <c r="L758" s="13">
        <v>46217</v>
      </c>
      <c r="M758" t="s">
        <v>99</v>
      </c>
      <c r="N758" t="s">
        <v>32</v>
      </c>
      <c r="O758" s="13">
        <v>46189</v>
      </c>
      <c r="Q758">
        <f t="shared" ca="1" si="55"/>
        <v>2</v>
      </c>
      <c r="R758">
        <f t="shared" si="56"/>
        <v>2</v>
      </c>
      <c r="S758">
        <f t="shared" ca="1" si="57"/>
        <v>28</v>
      </c>
      <c r="T758" t="str">
        <f t="shared" ca="1" si="58"/>
        <v>On Track</v>
      </c>
      <c r="U758" t="str">
        <f t="shared" ca="1" si="59"/>
        <v>Normal</v>
      </c>
    </row>
    <row r="759" spans="1:22">
      <c r="A759" t="s">
        <v>2086</v>
      </c>
      <c r="B759" t="s">
        <v>251</v>
      </c>
      <c r="C759" t="s">
        <v>2087</v>
      </c>
      <c r="D759" s="16">
        <v>4662.26</v>
      </c>
      <c r="E759" t="s">
        <v>55</v>
      </c>
      <c r="F759" t="s">
        <v>26</v>
      </c>
      <c r="G759" t="s">
        <v>2088</v>
      </c>
      <c r="H759" t="s">
        <v>56</v>
      </c>
      <c r="I759" t="s">
        <v>29</v>
      </c>
      <c r="J759" s="13">
        <v>46159</v>
      </c>
      <c r="K759" s="17" t="s">
        <v>30</v>
      </c>
      <c r="L759" s="13">
        <v>46174</v>
      </c>
      <c r="M759" t="s">
        <v>31</v>
      </c>
      <c r="N759" t="s">
        <v>32</v>
      </c>
      <c r="O759" s="13">
        <v>46167</v>
      </c>
      <c r="P759" s="13">
        <v>46169</v>
      </c>
      <c r="Q759">
        <f t="shared" ca="1" si="55"/>
        <v>30</v>
      </c>
      <c r="R759">
        <f t="shared" si="56"/>
        <v>8</v>
      </c>
      <c r="S759">
        <f t="shared" ca="1" si="57"/>
        <v>-15</v>
      </c>
      <c r="T759" t="str">
        <f t="shared" ca="1" si="58"/>
        <v>On Track</v>
      </c>
      <c r="U759" t="str">
        <f t="shared" ca="1" si="59"/>
        <v>Normal</v>
      </c>
      <c r="V759" t="s">
        <v>33</v>
      </c>
    </row>
    <row r="760" spans="1:22">
      <c r="A760" t="s">
        <v>2089</v>
      </c>
      <c r="B760" t="s">
        <v>76</v>
      </c>
      <c r="C760" t="s">
        <v>2090</v>
      </c>
      <c r="D760" s="16">
        <v>1239.46</v>
      </c>
      <c r="E760" t="s">
        <v>111</v>
      </c>
      <c r="F760" t="s">
        <v>26</v>
      </c>
      <c r="G760" t="s">
        <v>2091</v>
      </c>
      <c r="H760" t="s">
        <v>113</v>
      </c>
      <c r="I760" t="s">
        <v>29</v>
      </c>
      <c r="J760" s="13">
        <v>46176</v>
      </c>
      <c r="K760" s="17" t="s">
        <v>30</v>
      </c>
      <c r="L760" s="13">
        <v>46191</v>
      </c>
      <c r="M760" t="s">
        <v>99</v>
      </c>
      <c r="N760" t="s">
        <v>100</v>
      </c>
      <c r="O760" s="13">
        <v>46187</v>
      </c>
      <c r="Q760">
        <f t="shared" ca="1" si="55"/>
        <v>13</v>
      </c>
      <c r="R760">
        <f t="shared" si="56"/>
        <v>11</v>
      </c>
      <c r="S760">
        <f t="shared" ca="1" si="57"/>
        <v>2</v>
      </c>
      <c r="T760" t="str">
        <f t="shared" ca="1" si="58"/>
        <v>On Track</v>
      </c>
      <c r="U760" t="str">
        <f t="shared" ca="1" si="59"/>
        <v>At Risk</v>
      </c>
      <c r="V760" t="s">
        <v>101</v>
      </c>
    </row>
    <row r="761" spans="1:22">
      <c r="A761" t="s">
        <v>2092</v>
      </c>
      <c r="B761" t="s">
        <v>124</v>
      </c>
      <c r="C761" t="s">
        <v>2093</v>
      </c>
      <c r="D761" s="16">
        <v>737.6</v>
      </c>
      <c r="E761" t="s">
        <v>142</v>
      </c>
      <c r="F761" t="s">
        <v>26</v>
      </c>
      <c r="G761" t="s">
        <v>2094</v>
      </c>
      <c r="H761" t="s">
        <v>335</v>
      </c>
      <c r="I761" t="s">
        <v>29</v>
      </c>
      <c r="J761" s="13">
        <v>46155</v>
      </c>
      <c r="K761" s="17" t="s">
        <v>40</v>
      </c>
      <c r="L761" s="13">
        <v>46185</v>
      </c>
      <c r="M761" t="s">
        <v>31</v>
      </c>
      <c r="N761" t="s">
        <v>32</v>
      </c>
      <c r="O761" s="13">
        <v>46157</v>
      </c>
      <c r="P761" s="13">
        <v>46159</v>
      </c>
      <c r="Q761">
        <f t="shared" ca="1" si="55"/>
        <v>34</v>
      </c>
      <c r="R761">
        <f t="shared" si="56"/>
        <v>2</v>
      </c>
      <c r="S761">
        <f t="shared" ca="1" si="57"/>
        <v>-4</v>
      </c>
      <c r="T761" t="str">
        <f t="shared" ca="1" si="58"/>
        <v>On Track</v>
      </c>
      <c r="U761" t="str">
        <f t="shared" ca="1" si="59"/>
        <v>Normal</v>
      </c>
      <c r="V761" t="s">
        <v>33</v>
      </c>
    </row>
    <row r="762" spans="1:22">
      <c r="A762" t="s">
        <v>2095</v>
      </c>
      <c r="B762" t="s">
        <v>35</v>
      </c>
      <c r="C762" t="s">
        <v>2096</v>
      </c>
      <c r="D762" s="16">
        <v>13009.02</v>
      </c>
      <c r="E762" t="s">
        <v>78</v>
      </c>
      <c r="F762" t="s">
        <v>38</v>
      </c>
      <c r="H762" t="s">
        <v>91</v>
      </c>
      <c r="I762" t="s">
        <v>92</v>
      </c>
      <c r="J762" s="13">
        <v>46144</v>
      </c>
      <c r="K762" s="17" t="s">
        <v>57</v>
      </c>
      <c r="L762" s="13">
        <v>46174</v>
      </c>
      <c r="M762" t="s">
        <v>31</v>
      </c>
      <c r="N762" t="s">
        <v>58</v>
      </c>
      <c r="O762" s="13">
        <v>46157</v>
      </c>
      <c r="P762" s="13">
        <v>46160</v>
      </c>
      <c r="Q762">
        <f t="shared" ca="1" si="55"/>
        <v>45</v>
      </c>
      <c r="R762">
        <f t="shared" si="56"/>
        <v>13</v>
      </c>
      <c r="S762">
        <f t="shared" ca="1" si="57"/>
        <v>-15</v>
      </c>
      <c r="T762" t="str">
        <f t="shared" ca="1" si="58"/>
        <v>On Track</v>
      </c>
      <c r="U762" t="str">
        <f t="shared" ca="1" si="59"/>
        <v>Normal</v>
      </c>
      <c r="V762" t="s">
        <v>59</v>
      </c>
    </row>
    <row r="763" spans="1:22">
      <c r="A763" t="s">
        <v>2097</v>
      </c>
      <c r="B763" t="s">
        <v>168</v>
      </c>
      <c r="C763" t="s">
        <v>2098</v>
      </c>
      <c r="D763" s="16">
        <v>1476.14</v>
      </c>
      <c r="E763" t="s">
        <v>46</v>
      </c>
      <c r="F763" t="s">
        <v>38</v>
      </c>
      <c r="H763" t="s">
        <v>48</v>
      </c>
      <c r="I763" t="s">
        <v>29</v>
      </c>
      <c r="J763" s="13">
        <v>46186</v>
      </c>
      <c r="K763" s="17" t="s">
        <v>40</v>
      </c>
      <c r="L763" s="13">
        <v>46216</v>
      </c>
      <c r="M763" t="s">
        <v>41</v>
      </c>
      <c r="N763" t="s">
        <v>32</v>
      </c>
      <c r="Q763">
        <f t="shared" ca="1" si="55"/>
        <v>3</v>
      </c>
      <c r="R763" t="str">
        <f t="shared" si="56"/>
        <v/>
      </c>
      <c r="S763">
        <f t="shared" ca="1" si="57"/>
        <v>27</v>
      </c>
      <c r="T763" t="str">
        <f t="shared" ca="1" si="58"/>
        <v>On Track</v>
      </c>
      <c r="U763" t="str">
        <f t="shared" ca="1" si="59"/>
        <v>Normal</v>
      </c>
      <c r="V763" t="s">
        <v>42</v>
      </c>
    </row>
    <row r="764" spans="1:22">
      <c r="A764" t="s">
        <v>2099</v>
      </c>
      <c r="B764" t="s">
        <v>172</v>
      </c>
      <c r="C764" t="s">
        <v>2100</v>
      </c>
      <c r="D764" s="16">
        <v>433.17</v>
      </c>
      <c r="E764" t="s">
        <v>25</v>
      </c>
      <c r="F764" t="s">
        <v>26</v>
      </c>
      <c r="G764" t="s">
        <v>2101</v>
      </c>
      <c r="H764" t="s">
        <v>28</v>
      </c>
      <c r="I764" t="s">
        <v>29</v>
      </c>
      <c r="J764" s="13">
        <v>46165</v>
      </c>
      <c r="K764" s="17" t="s">
        <v>30</v>
      </c>
      <c r="L764" s="13">
        <v>46180</v>
      </c>
      <c r="M764" t="s">
        <v>65</v>
      </c>
      <c r="N764" t="s">
        <v>32</v>
      </c>
      <c r="Q764">
        <f t="shared" ca="1" si="55"/>
        <v>24</v>
      </c>
      <c r="R764" t="str">
        <f t="shared" si="56"/>
        <v/>
      </c>
      <c r="S764">
        <f t="shared" ca="1" si="57"/>
        <v>-9</v>
      </c>
      <c r="T764" t="str">
        <f t="shared" ca="1" si="58"/>
        <v>On Track</v>
      </c>
      <c r="U764" t="str">
        <f t="shared" ca="1" si="59"/>
        <v>At Risk</v>
      </c>
    </row>
    <row r="765" spans="1:22">
      <c r="A765" t="s">
        <v>2102</v>
      </c>
      <c r="B765" t="s">
        <v>44</v>
      </c>
      <c r="C765" t="s">
        <v>2103</v>
      </c>
      <c r="D765" s="16">
        <v>2753.06</v>
      </c>
      <c r="E765" t="s">
        <v>25</v>
      </c>
      <c r="F765" t="s">
        <v>38</v>
      </c>
      <c r="H765" t="s">
        <v>28</v>
      </c>
      <c r="I765" t="s">
        <v>29</v>
      </c>
      <c r="J765" s="13">
        <v>46189</v>
      </c>
      <c r="K765" s="17" t="s">
        <v>57</v>
      </c>
      <c r="L765" s="13">
        <v>46219</v>
      </c>
      <c r="M765" t="s">
        <v>41</v>
      </c>
      <c r="N765" t="s">
        <v>32</v>
      </c>
      <c r="Q765">
        <f t="shared" ca="1" si="55"/>
        <v>0</v>
      </c>
      <c r="R765" t="str">
        <f t="shared" si="56"/>
        <v/>
      </c>
      <c r="S765">
        <f t="shared" ca="1" si="57"/>
        <v>30</v>
      </c>
      <c r="T765" t="str">
        <f t="shared" ca="1" si="58"/>
        <v>On Track</v>
      </c>
      <c r="U765" t="str">
        <f t="shared" ca="1" si="59"/>
        <v>Normal</v>
      </c>
      <c r="V765" t="s">
        <v>42</v>
      </c>
    </row>
    <row r="766" spans="1:22">
      <c r="A766" t="s">
        <v>2104</v>
      </c>
      <c r="B766" t="s">
        <v>94</v>
      </c>
      <c r="C766" t="s">
        <v>2105</v>
      </c>
      <c r="D766" s="16">
        <v>2525</v>
      </c>
      <c r="E766" t="s">
        <v>46</v>
      </c>
      <c r="F766" t="s">
        <v>38</v>
      </c>
      <c r="H766" t="s">
        <v>48</v>
      </c>
      <c r="I766" t="s">
        <v>29</v>
      </c>
      <c r="J766" s="13">
        <v>46159</v>
      </c>
      <c r="K766" s="17" t="s">
        <v>30</v>
      </c>
      <c r="L766" s="13">
        <v>46174</v>
      </c>
      <c r="M766" t="s">
        <v>31</v>
      </c>
      <c r="N766" t="s">
        <v>32</v>
      </c>
      <c r="O766" s="13">
        <v>46164</v>
      </c>
      <c r="P766" s="13">
        <v>46167</v>
      </c>
      <c r="Q766">
        <f t="shared" ca="1" si="55"/>
        <v>30</v>
      </c>
      <c r="R766">
        <f t="shared" si="56"/>
        <v>5</v>
      </c>
      <c r="S766">
        <f t="shared" ca="1" si="57"/>
        <v>-15</v>
      </c>
      <c r="T766" t="str">
        <f t="shared" ca="1" si="58"/>
        <v>On Track</v>
      </c>
      <c r="U766" t="str">
        <f t="shared" ca="1" si="59"/>
        <v>Normal</v>
      </c>
      <c r="V766" t="s">
        <v>33</v>
      </c>
    </row>
    <row r="767" spans="1:22">
      <c r="A767" t="s">
        <v>2106</v>
      </c>
      <c r="B767" t="s">
        <v>137</v>
      </c>
      <c r="C767" t="s">
        <v>2107</v>
      </c>
      <c r="D767" s="16">
        <v>943.86</v>
      </c>
      <c r="E767" t="s">
        <v>55</v>
      </c>
      <c r="F767" t="s">
        <v>26</v>
      </c>
      <c r="G767" t="s">
        <v>2108</v>
      </c>
      <c r="H767" t="s">
        <v>56</v>
      </c>
      <c r="I767" t="s">
        <v>29</v>
      </c>
      <c r="J767" s="13">
        <v>46161</v>
      </c>
      <c r="K767" s="17" t="s">
        <v>30</v>
      </c>
      <c r="L767" s="13">
        <v>46176</v>
      </c>
      <c r="M767" t="s">
        <v>99</v>
      </c>
      <c r="N767" t="s">
        <v>50</v>
      </c>
      <c r="O767" s="13">
        <v>46173</v>
      </c>
      <c r="Q767">
        <f t="shared" ca="1" si="55"/>
        <v>28</v>
      </c>
      <c r="R767">
        <f t="shared" si="56"/>
        <v>12</v>
      </c>
      <c r="S767">
        <f t="shared" ca="1" si="57"/>
        <v>-13</v>
      </c>
      <c r="T767" t="str">
        <f t="shared" ca="1" si="58"/>
        <v>On Track</v>
      </c>
      <c r="U767" t="str">
        <f t="shared" ca="1" si="59"/>
        <v>At Risk</v>
      </c>
      <c r="V767" t="s">
        <v>51</v>
      </c>
    </row>
    <row r="768" spans="1:22">
      <c r="A768" t="s">
        <v>2109</v>
      </c>
      <c r="B768" t="s">
        <v>251</v>
      </c>
      <c r="C768" t="s">
        <v>2110</v>
      </c>
      <c r="D768" s="16">
        <v>7009.77</v>
      </c>
      <c r="E768" t="s">
        <v>69</v>
      </c>
      <c r="F768" t="s">
        <v>38</v>
      </c>
      <c r="H768" t="s">
        <v>178</v>
      </c>
      <c r="I768" t="s">
        <v>92</v>
      </c>
      <c r="J768" s="13">
        <v>46183</v>
      </c>
      <c r="K768" s="17" t="s">
        <v>57</v>
      </c>
      <c r="L768" s="13">
        <v>46213</v>
      </c>
      <c r="M768" t="s">
        <v>41</v>
      </c>
      <c r="N768" t="s">
        <v>32</v>
      </c>
      <c r="Q768">
        <f t="shared" ca="1" si="55"/>
        <v>6</v>
      </c>
      <c r="R768" t="str">
        <f t="shared" si="56"/>
        <v/>
      </c>
      <c r="S768">
        <f t="shared" ca="1" si="57"/>
        <v>24</v>
      </c>
      <c r="T768" t="str">
        <f t="shared" ca="1" si="58"/>
        <v>Overdue</v>
      </c>
      <c r="U768" t="str">
        <f t="shared" ca="1" si="59"/>
        <v>Normal</v>
      </c>
      <c r="V768" t="s">
        <v>42</v>
      </c>
    </row>
    <row r="769" spans="1:22">
      <c r="A769" t="s">
        <v>2111</v>
      </c>
      <c r="B769" t="s">
        <v>82</v>
      </c>
      <c r="C769" t="s">
        <v>2112</v>
      </c>
      <c r="D769" s="16">
        <v>90072.33</v>
      </c>
      <c r="E769" t="s">
        <v>156</v>
      </c>
      <c r="F769" t="s">
        <v>26</v>
      </c>
      <c r="G769" t="s">
        <v>2113</v>
      </c>
      <c r="H769" t="s">
        <v>121</v>
      </c>
      <c r="I769" t="s">
        <v>122</v>
      </c>
      <c r="J769" s="13">
        <v>46156</v>
      </c>
      <c r="K769" s="17" t="s">
        <v>30</v>
      </c>
      <c r="L769" s="13">
        <v>46171</v>
      </c>
      <c r="M769" t="s">
        <v>31</v>
      </c>
      <c r="N769" t="s">
        <v>50</v>
      </c>
      <c r="O769" s="13">
        <v>46175</v>
      </c>
      <c r="P769" s="13">
        <v>46181</v>
      </c>
      <c r="Q769">
        <f t="shared" ca="1" si="55"/>
        <v>33</v>
      </c>
      <c r="R769">
        <f t="shared" si="56"/>
        <v>19</v>
      </c>
      <c r="S769">
        <f t="shared" ca="1" si="57"/>
        <v>-18</v>
      </c>
      <c r="T769" t="str">
        <f t="shared" ca="1" si="58"/>
        <v>On Track</v>
      </c>
      <c r="U769" t="str">
        <f t="shared" ca="1" si="59"/>
        <v>Normal</v>
      </c>
      <c r="V769" t="s">
        <v>51</v>
      </c>
    </row>
    <row r="770" spans="1:22">
      <c r="A770" t="s">
        <v>2114</v>
      </c>
      <c r="B770" t="s">
        <v>129</v>
      </c>
      <c r="C770" t="s">
        <v>2115</v>
      </c>
      <c r="D770" s="16">
        <v>2430.34</v>
      </c>
      <c r="E770" t="s">
        <v>126</v>
      </c>
      <c r="F770" t="s">
        <v>26</v>
      </c>
      <c r="G770" t="s">
        <v>2116</v>
      </c>
      <c r="H770" t="s">
        <v>241</v>
      </c>
      <c r="I770" t="s">
        <v>29</v>
      </c>
      <c r="J770" s="13">
        <v>46147</v>
      </c>
      <c r="K770" s="17" t="s">
        <v>49</v>
      </c>
      <c r="L770" s="13">
        <v>46192</v>
      </c>
      <c r="M770" t="s">
        <v>31</v>
      </c>
      <c r="N770" t="s">
        <v>32</v>
      </c>
      <c r="O770" s="13">
        <v>46155</v>
      </c>
      <c r="P770" s="13">
        <v>46158</v>
      </c>
      <c r="Q770">
        <f t="shared" ref="Q770:Q833" ca="1" si="60">IF(J770="","",TODAY()-J770)</f>
        <v>42</v>
      </c>
      <c r="R770">
        <f t="shared" ref="R770:R833" si="61">IF(O770="","",O770-J770)</f>
        <v>8</v>
      </c>
      <c r="S770">
        <f t="shared" ref="S770:S833" ca="1" si="62">IF(L770="","",L770-TODAY())</f>
        <v>3</v>
      </c>
      <c r="T770" t="str">
        <f t="shared" ref="T770:T833" ca="1" si="63">IF(AND(M770="Pending Approval",Q770&gt;5),"Overdue","On Track")</f>
        <v>On Track</v>
      </c>
      <c r="U770" t="str">
        <f t="shared" ref="U770:U833" ca="1" si="64">IF(AND(M770&lt;&gt;"Paid",S770&lt;=5),"At Risk","Normal")</f>
        <v>Normal</v>
      </c>
      <c r="V770" t="s">
        <v>33</v>
      </c>
    </row>
    <row r="771" spans="1:22">
      <c r="A771" t="s">
        <v>2117</v>
      </c>
      <c r="B771" t="s">
        <v>168</v>
      </c>
      <c r="C771" t="s">
        <v>2118</v>
      </c>
      <c r="D771" s="16">
        <v>466.38</v>
      </c>
      <c r="E771" t="s">
        <v>126</v>
      </c>
      <c r="F771" t="s">
        <v>26</v>
      </c>
      <c r="G771" t="s">
        <v>2119</v>
      </c>
      <c r="H771" t="s">
        <v>241</v>
      </c>
      <c r="I771" t="s">
        <v>29</v>
      </c>
      <c r="J771" s="13">
        <v>46186</v>
      </c>
      <c r="K771" s="17" t="s">
        <v>49</v>
      </c>
      <c r="L771" s="13">
        <v>46231</v>
      </c>
      <c r="M771" t="s">
        <v>41</v>
      </c>
      <c r="N771" t="s">
        <v>32</v>
      </c>
      <c r="Q771">
        <f t="shared" ca="1" si="60"/>
        <v>3</v>
      </c>
      <c r="R771" t="str">
        <f t="shared" si="61"/>
        <v/>
      </c>
      <c r="S771">
        <f t="shared" ca="1" si="62"/>
        <v>42</v>
      </c>
      <c r="T771" t="str">
        <f t="shared" ca="1" si="63"/>
        <v>On Track</v>
      </c>
      <c r="U771" t="str">
        <f t="shared" ca="1" si="64"/>
        <v>Normal</v>
      </c>
      <c r="V771" t="s">
        <v>42</v>
      </c>
    </row>
    <row r="772" spans="1:22">
      <c r="A772" t="s">
        <v>2120</v>
      </c>
      <c r="B772" t="s">
        <v>53</v>
      </c>
      <c r="C772" t="s">
        <v>2121</v>
      </c>
      <c r="D772" s="16">
        <v>4564.8900000000003</v>
      </c>
      <c r="E772" t="s">
        <v>55</v>
      </c>
      <c r="F772" t="s">
        <v>26</v>
      </c>
      <c r="G772" t="s">
        <v>2122</v>
      </c>
      <c r="H772" t="s">
        <v>56</v>
      </c>
      <c r="I772" t="s">
        <v>29</v>
      </c>
      <c r="J772" s="13">
        <v>46151</v>
      </c>
      <c r="K772" s="17" t="s">
        <v>30</v>
      </c>
      <c r="L772" s="13">
        <v>46166</v>
      </c>
      <c r="M772" t="s">
        <v>31</v>
      </c>
      <c r="N772" t="s">
        <v>32</v>
      </c>
      <c r="O772" s="13">
        <v>46154</v>
      </c>
      <c r="P772" s="13">
        <v>46160</v>
      </c>
      <c r="Q772">
        <f t="shared" ca="1" si="60"/>
        <v>38</v>
      </c>
      <c r="R772">
        <f t="shared" si="61"/>
        <v>3</v>
      </c>
      <c r="S772">
        <f t="shared" ca="1" si="62"/>
        <v>-23</v>
      </c>
      <c r="T772" t="str">
        <f t="shared" ca="1" si="63"/>
        <v>On Track</v>
      </c>
      <c r="U772" t="str">
        <f t="shared" ca="1" si="64"/>
        <v>Normal</v>
      </c>
      <c r="V772" t="s">
        <v>33</v>
      </c>
    </row>
    <row r="773" spans="1:22">
      <c r="A773" t="s">
        <v>2123</v>
      </c>
      <c r="B773" t="s">
        <v>103</v>
      </c>
      <c r="C773" t="s">
        <v>2124</v>
      </c>
      <c r="D773" s="16">
        <v>15312.81</v>
      </c>
      <c r="E773" t="s">
        <v>69</v>
      </c>
      <c r="F773" t="s">
        <v>26</v>
      </c>
      <c r="G773" t="s">
        <v>2125</v>
      </c>
      <c r="H773" t="s">
        <v>178</v>
      </c>
      <c r="I773" t="s">
        <v>92</v>
      </c>
      <c r="J773" s="13">
        <v>46161</v>
      </c>
      <c r="K773" s="17" t="s">
        <v>57</v>
      </c>
      <c r="L773" s="13">
        <v>46191</v>
      </c>
      <c r="M773" t="s">
        <v>145</v>
      </c>
      <c r="N773" t="s">
        <v>32</v>
      </c>
      <c r="O773" s="13">
        <v>46163</v>
      </c>
      <c r="Q773">
        <f t="shared" ca="1" si="60"/>
        <v>28</v>
      </c>
      <c r="R773">
        <f t="shared" si="61"/>
        <v>2</v>
      </c>
      <c r="S773">
        <f t="shared" ca="1" si="62"/>
        <v>2</v>
      </c>
      <c r="T773" t="str">
        <f t="shared" ca="1" si="63"/>
        <v>On Track</v>
      </c>
      <c r="U773" t="str">
        <f t="shared" ca="1" si="64"/>
        <v>At Risk</v>
      </c>
    </row>
    <row r="774" spans="1:22">
      <c r="A774" t="s">
        <v>2126</v>
      </c>
      <c r="B774" t="s">
        <v>23</v>
      </c>
      <c r="C774" t="s">
        <v>2127</v>
      </c>
      <c r="D774" s="16">
        <v>436.73</v>
      </c>
      <c r="E774" t="s">
        <v>69</v>
      </c>
      <c r="F774" t="s">
        <v>38</v>
      </c>
      <c r="H774" t="s">
        <v>71</v>
      </c>
      <c r="I774" t="s">
        <v>29</v>
      </c>
      <c r="J774" s="13">
        <v>46185</v>
      </c>
      <c r="K774" s="17" t="s">
        <v>57</v>
      </c>
      <c r="L774" s="13">
        <v>46215</v>
      </c>
      <c r="M774" t="s">
        <v>99</v>
      </c>
      <c r="N774" t="s">
        <v>32</v>
      </c>
      <c r="O774" s="13">
        <v>46188</v>
      </c>
      <c r="Q774">
        <f t="shared" ca="1" si="60"/>
        <v>4</v>
      </c>
      <c r="R774">
        <f t="shared" si="61"/>
        <v>3</v>
      </c>
      <c r="S774">
        <f t="shared" ca="1" si="62"/>
        <v>26</v>
      </c>
      <c r="T774" t="str">
        <f t="shared" ca="1" si="63"/>
        <v>On Track</v>
      </c>
      <c r="U774" t="str">
        <f t="shared" ca="1" si="64"/>
        <v>Normal</v>
      </c>
    </row>
    <row r="775" spans="1:22">
      <c r="A775" t="s">
        <v>2128</v>
      </c>
      <c r="B775" t="s">
        <v>73</v>
      </c>
      <c r="C775" t="s">
        <v>2129</v>
      </c>
      <c r="D775" s="16">
        <v>24298.07</v>
      </c>
      <c r="E775" t="s">
        <v>156</v>
      </c>
      <c r="F775" t="s">
        <v>26</v>
      </c>
      <c r="G775" t="s">
        <v>2130</v>
      </c>
      <c r="H775" t="s">
        <v>394</v>
      </c>
      <c r="I775" t="s">
        <v>92</v>
      </c>
      <c r="J775" s="13">
        <v>46153</v>
      </c>
      <c r="K775" s="17" t="s">
        <v>30</v>
      </c>
      <c r="L775" s="13">
        <v>46168</v>
      </c>
      <c r="M775" t="s">
        <v>31</v>
      </c>
      <c r="N775" t="s">
        <v>32</v>
      </c>
      <c r="O775" s="13">
        <v>46160</v>
      </c>
      <c r="P775" s="13">
        <v>46163</v>
      </c>
      <c r="Q775">
        <f t="shared" ca="1" si="60"/>
        <v>36</v>
      </c>
      <c r="R775">
        <f t="shared" si="61"/>
        <v>7</v>
      </c>
      <c r="S775">
        <f t="shared" ca="1" si="62"/>
        <v>-21</v>
      </c>
      <c r="T775" t="str">
        <f t="shared" ca="1" si="63"/>
        <v>On Track</v>
      </c>
      <c r="U775" t="str">
        <f t="shared" ca="1" si="64"/>
        <v>Normal</v>
      </c>
      <c r="V775" t="s">
        <v>33</v>
      </c>
    </row>
    <row r="776" spans="1:22">
      <c r="A776" t="s">
        <v>2131</v>
      </c>
      <c r="B776" t="s">
        <v>67</v>
      </c>
      <c r="C776" t="s">
        <v>2132</v>
      </c>
      <c r="D776" s="16">
        <v>13745.4</v>
      </c>
      <c r="E776" t="s">
        <v>142</v>
      </c>
      <c r="F776" t="s">
        <v>38</v>
      </c>
      <c r="H776" t="s">
        <v>144</v>
      </c>
      <c r="I776" t="s">
        <v>92</v>
      </c>
      <c r="J776" s="13">
        <v>46171</v>
      </c>
      <c r="K776" s="17" t="s">
        <v>30</v>
      </c>
      <c r="L776" s="13">
        <v>46186</v>
      </c>
      <c r="M776" t="s">
        <v>41</v>
      </c>
      <c r="N776" t="s">
        <v>32</v>
      </c>
      <c r="Q776">
        <f t="shared" ca="1" si="60"/>
        <v>18</v>
      </c>
      <c r="R776" t="str">
        <f t="shared" si="61"/>
        <v/>
      </c>
      <c r="S776">
        <f t="shared" ca="1" si="62"/>
        <v>-3</v>
      </c>
      <c r="T776" t="str">
        <f t="shared" ca="1" si="63"/>
        <v>Overdue</v>
      </c>
      <c r="U776" t="str">
        <f t="shared" ca="1" si="64"/>
        <v>At Risk</v>
      </c>
      <c r="V776" t="s">
        <v>42</v>
      </c>
    </row>
    <row r="777" spans="1:22">
      <c r="A777" t="s">
        <v>2133</v>
      </c>
      <c r="B777" t="s">
        <v>222</v>
      </c>
      <c r="C777" t="s">
        <v>2134</v>
      </c>
      <c r="D777" s="16">
        <v>2826.1</v>
      </c>
      <c r="E777" t="s">
        <v>156</v>
      </c>
      <c r="F777" t="s">
        <v>38</v>
      </c>
      <c r="H777" t="s">
        <v>157</v>
      </c>
      <c r="I777" t="s">
        <v>29</v>
      </c>
      <c r="J777" s="13">
        <v>46188</v>
      </c>
      <c r="K777" s="17" t="s">
        <v>57</v>
      </c>
      <c r="L777" s="13">
        <v>46218</v>
      </c>
      <c r="M777" t="s">
        <v>41</v>
      </c>
      <c r="N777" t="s">
        <v>32</v>
      </c>
      <c r="Q777">
        <f t="shared" ca="1" si="60"/>
        <v>1</v>
      </c>
      <c r="R777" t="str">
        <f t="shared" si="61"/>
        <v/>
      </c>
      <c r="S777">
        <f t="shared" ca="1" si="62"/>
        <v>29</v>
      </c>
      <c r="T777" t="str">
        <f t="shared" ca="1" si="63"/>
        <v>On Track</v>
      </c>
      <c r="U777" t="str">
        <f t="shared" ca="1" si="64"/>
        <v>Normal</v>
      </c>
      <c r="V777" t="s">
        <v>42</v>
      </c>
    </row>
    <row r="778" spans="1:22">
      <c r="A778" t="s">
        <v>2135</v>
      </c>
      <c r="B778" t="s">
        <v>208</v>
      </c>
      <c r="C778" t="s">
        <v>2136</v>
      </c>
      <c r="D778" s="16">
        <v>12816.55</v>
      </c>
      <c r="E778" t="s">
        <v>78</v>
      </c>
      <c r="F778" t="s">
        <v>26</v>
      </c>
      <c r="G778" t="s">
        <v>2137</v>
      </c>
      <c r="H778" t="s">
        <v>91</v>
      </c>
      <c r="I778" t="s">
        <v>92</v>
      </c>
      <c r="J778" s="13">
        <v>46144</v>
      </c>
      <c r="K778" s="17" t="s">
        <v>57</v>
      </c>
      <c r="L778" s="13">
        <v>46174</v>
      </c>
      <c r="M778" t="s">
        <v>145</v>
      </c>
      <c r="N778" t="s">
        <v>32</v>
      </c>
      <c r="O778" s="13">
        <v>46145</v>
      </c>
      <c r="Q778">
        <f t="shared" ca="1" si="60"/>
        <v>45</v>
      </c>
      <c r="R778">
        <f t="shared" si="61"/>
        <v>1</v>
      </c>
      <c r="S778">
        <f t="shared" ca="1" si="62"/>
        <v>-15</v>
      </c>
      <c r="T778" t="str">
        <f t="shared" ca="1" si="63"/>
        <v>On Track</v>
      </c>
      <c r="U778" t="str">
        <f t="shared" ca="1" si="64"/>
        <v>At Risk</v>
      </c>
    </row>
    <row r="779" spans="1:22">
      <c r="A779" t="s">
        <v>2138</v>
      </c>
      <c r="B779" t="s">
        <v>35</v>
      </c>
      <c r="C779" t="s">
        <v>2139</v>
      </c>
      <c r="D779" s="16">
        <v>3528.64</v>
      </c>
      <c r="E779" t="s">
        <v>62</v>
      </c>
      <c r="F779" t="s">
        <v>26</v>
      </c>
      <c r="G779" t="s">
        <v>2140</v>
      </c>
      <c r="H779" t="s">
        <v>64</v>
      </c>
      <c r="I779" t="s">
        <v>29</v>
      </c>
      <c r="J779" s="13">
        <v>46158</v>
      </c>
      <c r="K779" s="17" t="s">
        <v>49</v>
      </c>
      <c r="L779" s="13">
        <v>46203</v>
      </c>
      <c r="M779" t="s">
        <v>31</v>
      </c>
      <c r="N779" t="s">
        <v>32</v>
      </c>
      <c r="O779" s="13">
        <v>46161</v>
      </c>
      <c r="P779" s="13">
        <v>46162</v>
      </c>
      <c r="Q779">
        <f t="shared" ca="1" si="60"/>
        <v>31</v>
      </c>
      <c r="R779">
        <f t="shared" si="61"/>
        <v>3</v>
      </c>
      <c r="S779">
        <f t="shared" ca="1" si="62"/>
        <v>14</v>
      </c>
      <c r="T779" t="str">
        <f t="shared" ca="1" si="63"/>
        <v>On Track</v>
      </c>
      <c r="U779" t="str">
        <f t="shared" ca="1" si="64"/>
        <v>Normal</v>
      </c>
      <c r="V779" t="s">
        <v>33</v>
      </c>
    </row>
    <row r="780" spans="1:22">
      <c r="A780" t="s">
        <v>2141</v>
      </c>
      <c r="B780" t="s">
        <v>129</v>
      </c>
      <c r="C780" t="s">
        <v>2142</v>
      </c>
      <c r="D780" s="16">
        <v>924.03</v>
      </c>
      <c r="E780" t="s">
        <v>156</v>
      </c>
      <c r="F780" t="s">
        <v>38</v>
      </c>
      <c r="H780" t="s">
        <v>157</v>
      </c>
      <c r="I780" t="s">
        <v>29</v>
      </c>
      <c r="J780" s="13">
        <v>46152</v>
      </c>
      <c r="K780" s="17" t="s">
        <v>49</v>
      </c>
      <c r="L780" s="13">
        <v>46197</v>
      </c>
      <c r="M780" t="s">
        <v>31</v>
      </c>
      <c r="N780" t="s">
        <v>179</v>
      </c>
      <c r="O780" s="13">
        <v>46164</v>
      </c>
      <c r="P780" s="13">
        <v>46165</v>
      </c>
      <c r="Q780">
        <f t="shared" ca="1" si="60"/>
        <v>37</v>
      </c>
      <c r="R780">
        <f t="shared" si="61"/>
        <v>12</v>
      </c>
      <c r="S780">
        <f t="shared" ca="1" si="62"/>
        <v>8</v>
      </c>
      <c r="T780" t="str">
        <f t="shared" ca="1" si="63"/>
        <v>On Track</v>
      </c>
      <c r="U780" t="str">
        <f t="shared" ca="1" si="64"/>
        <v>Normal</v>
      </c>
      <c r="V780" t="s">
        <v>180</v>
      </c>
    </row>
    <row r="781" spans="1:22">
      <c r="A781" t="s">
        <v>2143</v>
      </c>
      <c r="B781" t="s">
        <v>23</v>
      </c>
      <c r="C781" t="s">
        <v>2144</v>
      </c>
      <c r="D781" s="16">
        <v>4673.59</v>
      </c>
      <c r="E781" t="s">
        <v>142</v>
      </c>
      <c r="F781" t="s">
        <v>26</v>
      </c>
      <c r="G781" t="s">
        <v>2145</v>
      </c>
      <c r="H781" t="s">
        <v>335</v>
      </c>
      <c r="I781" t="s">
        <v>29</v>
      </c>
      <c r="J781" s="13">
        <v>46179</v>
      </c>
      <c r="K781" s="17" t="s">
        <v>49</v>
      </c>
      <c r="L781" s="13">
        <v>46224</v>
      </c>
      <c r="M781" t="s">
        <v>65</v>
      </c>
      <c r="N781" t="s">
        <v>32</v>
      </c>
      <c r="Q781">
        <f t="shared" ca="1" si="60"/>
        <v>10</v>
      </c>
      <c r="R781" t="str">
        <f t="shared" si="61"/>
        <v/>
      </c>
      <c r="S781">
        <f t="shared" ca="1" si="62"/>
        <v>35</v>
      </c>
      <c r="T781" t="str">
        <f t="shared" ca="1" si="63"/>
        <v>On Track</v>
      </c>
      <c r="U781" t="str">
        <f t="shared" ca="1" si="64"/>
        <v>Normal</v>
      </c>
    </row>
    <row r="782" spans="1:22">
      <c r="A782" t="s">
        <v>2146</v>
      </c>
      <c r="B782" t="s">
        <v>73</v>
      </c>
      <c r="C782" t="s">
        <v>2147</v>
      </c>
      <c r="D782" s="16">
        <v>297.36</v>
      </c>
      <c r="E782" t="s">
        <v>302</v>
      </c>
      <c r="F782" t="s">
        <v>26</v>
      </c>
      <c r="G782" t="s">
        <v>2148</v>
      </c>
      <c r="H782" t="s">
        <v>304</v>
      </c>
      <c r="I782" t="s">
        <v>29</v>
      </c>
      <c r="J782" s="13">
        <v>46161</v>
      </c>
      <c r="K782" s="17" t="s">
        <v>57</v>
      </c>
      <c r="L782" s="13">
        <v>46191</v>
      </c>
      <c r="M782" t="s">
        <v>31</v>
      </c>
      <c r="N782" t="s">
        <v>32</v>
      </c>
      <c r="O782" s="13">
        <v>46163</v>
      </c>
      <c r="P782" s="13">
        <v>46170</v>
      </c>
      <c r="Q782">
        <f t="shared" ca="1" si="60"/>
        <v>28</v>
      </c>
      <c r="R782">
        <f t="shared" si="61"/>
        <v>2</v>
      </c>
      <c r="S782">
        <f t="shared" ca="1" si="62"/>
        <v>2</v>
      </c>
      <c r="T782" t="str">
        <f t="shared" ca="1" si="63"/>
        <v>On Track</v>
      </c>
      <c r="U782" t="str">
        <f t="shared" ca="1" si="64"/>
        <v>Normal</v>
      </c>
      <c r="V782" t="s">
        <v>33</v>
      </c>
    </row>
    <row r="783" spans="1:22">
      <c r="A783" t="s">
        <v>2149</v>
      </c>
      <c r="B783" t="s">
        <v>115</v>
      </c>
      <c r="C783" t="s">
        <v>2150</v>
      </c>
      <c r="D783" s="16">
        <v>18418.25</v>
      </c>
      <c r="E783" t="s">
        <v>25</v>
      </c>
      <c r="F783" t="s">
        <v>38</v>
      </c>
      <c r="H783" t="s">
        <v>149</v>
      </c>
      <c r="I783" t="s">
        <v>92</v>
      </c>
      <c r="J783" s="13">
        <v>46160</v>
      </c>
      <c r="K783" s="17" t="s">
        <v>57</v>
      </c>
      <c r="L783" s="13">
        <v>46190</v>
      </c>
      <c r="M783" t="s">
        <v>99</v>
      </c>
      <c r="N783" t="s">
        <v>58</v>
      </c>
      <c r="O783" s="13">
        <v>46186</v>
      </c>
      <c r="Q783">
        <f t="shared" ca="1" si="60"/>
        <v>29</v>
      </c>
      <c r="R783">
        <f t="shared" si="61"/>
        <v>26</v>
      </c>
      <c r="S783">
        <f t="shared" ca="1" si="62"/>
        <v>1</v>
      </c>
      <c r="T783" t="str">
        <f t="shared" ca="1" si="63"/>
        <v>On Track</v>
      </c>
      <c r="U783" t="str">
        <f t="shared" ca="1" si="64"/>
        <v>At Risk</v>
      </c>
      <c r="V783" t="s">
        <v>59</v>
      </c>
    </row>
    <row r="784" spans="1:22">
      <c r="A784" t="s">
        <v>2151</v>
      </c>
      <c r="B784" t="s">
        <v>208</v>
      </c>
      <c r="C784" t="s">
        <v>2152</v>
      </c>
      <c r="D784" s="16">
        <v>3570.64</v>
      </c>
      <c r="E784" t="s">
        <v>46</v>
      </c>
      <c r="F784" t="s">
        <v>26</v>
      </c>
      <c r="G784" t="s">
        <v>2153</v>
      </c>
      <c r="H784" t="s">
        <v>48</v>
      </c>
      <c r="I784" t="s">
        <v>29</v>
      </c>
      <c r="J784" s="13">
        <v>46174</v>
      </c>
      <c r="K784" s="17" t="s">
        <v>30</v>
      </c>
      <c r="L784" s="13">
        <v>46189</v>
      </c>
      <c r="M784" t="s">
        <v>31</v>
      </c>
      <c r="N784" t="s">
        <v>32</v>
      </c>
      <c r="O784" s="13">
        <v>46182</v>
      </c>
      <c r="P784" s="13">
        <v>46189</v>
      </c>
      <c r="Q784">
        <f t="shared" ca="1" si="60"/>
        <v>15</v>
      </c>
      <c r="R784">
        <f t="shared" si="61"/>
        <v>8</v>
      </c>
      <c r="S784">
        <f t="shared" ca="1" si="62"/>
        <v>0</v>
      </c>
      <c r="T784" t="str">
        <f t="shared" ca="1" si="63"/>
        <v>On Track</v>
      </c>
      <c r="U784" t="str">
        <f t="shared" ca="1" si="64"/>
        <v>Normal</v>
      </c>
      <c r="V784" t="s">
        <v>33</v>
      </c>
    </row>
    <row r="785" spans="1:22">
      <c r="A785" t="s">
        <v>2154</v>
      </c>
      <c r="B785" t="s">
        <v>172</v>
      </c>
      <c r="C785" t="s">
        <v>2155</v>
      </c>
      <c r="D785" s="16">
        <v>3569.13</v>
      </c>
      <c r="E785" t="s">
        <v>37</v>
      </c>
      <c r="F785" t="s">
        <v>38</v>
      </c>
      <c r="H785" t="s">
        <v>39</v>
      </c>
      <c r="I785" t="s">
        <v>29</v>
      </c>
      <c r="J785" s="13">
        <v>46145</v>
      </c>
      <c r="K785" s="17" t="s">
        <v>49</v>
      </c>
      <c r="L785" s="13">
        <v>46190</v>
      </c>
      <c r="M785" t="s">
        <v>31</v>
      </c>
      <c r="N785" t="s">
        <v>50</v>
      </c>
      <c r="O785" s="13">
        <v>46154</v>
      </c>
      <c r="P785" s="13">
        <v>46156</v>
      </c>
      <c r="Q785">
        <f t="shared" ca="1" si="60"/>
        <v>44</v>
      </c>
      <c r="R785">
        <f t="shared" si="61"/>
        <v>9</v>
      </c>
      <c r="S785">
        <f t="shared" ca="1" si="62"/>
        <v>1</v>
      </c>
      <c r="T785" t="str">
        <f t="shared" ca="1" si="63"/>
        <v>On Track</v>
      </c>
      <c r="U785" t="str">
        <f t="shared" ca="1" si="64"/>
        <v>Normal</v>
      </c>
      <c r="V785" t="s">
        <v>51</v>
      </c>
    </row>
    <row r="786" spans="1:22">
      <c r="A786" t="s">
        <v>2156</v>
      </c>
      <c r="B786" t="s">
        <v>23</v>
      </c>
      <c r="C786" t="s">
        <v>2157</v>
      </c>
      <c r="D786" s="16">
        <v>2646.84</v>
      </c>
      <c r="E786" t="s">
        <v>55</v>
      </c>
      <c r="F786" t="s">
        <v>38</v>
      </c>
      <c r="H786" t="s">
        <v>56</v>
      </c>
      <c r="I786" t="s">
        <v>29</v>
      </c>
      <c r="J786" s="13">
        <v>46144</v>
      </c>
      <c r="K786" s="17" t="s">
        <v>30</v>
      </c>
      <c r="L786" s="13">
        <v>46159</v>
      </c>
      <c r="M786" t="s">
        <v>31</v>
      </c>
      <c r="N786" t="s">
        <v>58</v>
      </c>
      <c r="O786" s="13">
        <v>46151</v>
      </c>
      <c r="P786" s="13">
        <v>46154</v>
      </c>
      <c r="Q786">
        <f t="shared" ca="1" si="60"/>
        <v>45</v>
      </c>
      <c r="R786">
        <f t="shared" si="61"/>
        <v>7</v>
      </c>
      <c r="S786">
        <f t="shared" ca="1" si="62"/>
        <v>-30</v>
      </c>
      <c r="T786" t="str">
        <f t="shared" ca="1" si="63"/>
        <v>On Track</v>
      </c>
      <c r="U786" t="str">
        <f t="shared" ca="1" si="64"/>
        <v>Normal</v>
      </c>
      <c r="V786" t="s">
        <v>59</v>
      </c>
    </row>
    <row r="787" spans="1:22">
      <c r="A787" t="s">
        <v>2158</v>
      </c>
      <c r="B787" t="s">
        <v>23</v>
      </c>
      <c r="C787" t="s">
        <v>2159</v>
      </c>
      <c r="D787" s="16">
        <v>4646.9399999999996</v>
      </c>
      <c r="E787" t="s">
        <v>37</v>
      </c>
      <c r="F787" t="s">
        <v>38</v>
      </c>
      <c r="H787" t="s">
        <v>39</v>
      </c>
      <c r="I787" t="s">
        <v>29</v>
      </c>
      <c r="J787" s="13">
        <v>46150</v>
      </c>
      <c r="K787" s="17" t="s">
        <v>49</v>
      </c>
      <c r="L787" s="13">
        <v>46195</v>
      </c>
      <c r="M787" t="s">
        <v>31</v>
      </c>
      <c r="N787" t="s">
        <v>50</v>
      </c>
      <c r="O787" s="13">
        <v>46158</v>
      </c>
      <c r="P787" s="13">
        <v>46163</v>
      </c>
      <c r="Q787">
        <f t="shared" ca="1" si="60"/>
        <v>39</v>
      </c>
      <c r="R787">
        <f t="shared" si="61"/>
        <v>8</v>
      </c>
      <c r="S787">
        <f t="shared" ca="1" si="62"/>
        <v>6</v>
      </c>
      <c r="T787" t="str">
        <f t="shared" ca="1" si="63"/>
        <v>On Track</v>
      </c>
      <c r="U787" t="str">
        <f t="shared" ca="1" si="64"/>
        <v>Normal</v>
      </c>
      <c r="V787" t="s">
        <v>51</v>
      </c>
    </row>
    <row r="788" spans="1:22">
      <c r="A788" t="s">
        <v>2160</v>
      </c>
      <c r="B788" t="s">
        <v>271</v>
      </c>
      <c r="C788" t="s">
        <v>2161</v>
      </c>
      <c r="D788" s="16">
        <v>953.04</v>
      </c>
      <c r="E788" t="s">
        <v>156</v>
      </c>
      <c r="F788" t="s">
        <v>26</v>
      </c>
      <c r="G788" t="s">
        <v>2162</v>
      </c>
      <c r="H788" t="s">
        <v>157</v>
      </c>
      <c r="I788" t="s">
        <v>29</v>
      </c>
      <c r="J788" s="13">
        <v>46161</v>
      </c>
      <c r="K788" s="17" t="s">
        <v>30</v>
      </c>
      <c r="L788" s="13">
        <v>46176</v>
      </c>
      <c r="M788" t="s">
        <v>31</v>
      </c>
      <c r="N788" t="s">
        <v>32</v>
      </c>
      <c r="O788" s="13">
        <v>46162</v>
      </c>
      <c r="P788" s="13">
        <v>46165</v>
      </c>
      <c r="Q788">
        <f t="shared" ca="1" si="60"/>
        <v>28</v>
      </c>
      <c r="R788">
        <f t="shared" si="61"/>
        <v>1</v>
      </c>
      <c r="S788">
        <f t="shared" ca="1" si="62"/>
        <v>-13</v>
      </c>
      <c r="T788" t="str">
        <f t="shared" ca="1" si="63"/>
        <v>On Track</v>
      </c>
      <c r="U788" t="str">
        <f t="shared" ca="1" si="64"/>
        <v>Normal</v>
      </c>
      <c r="V788" t="s">
        <v>33</v>
      </c>
    </row>
    <row r="789" spans="1:22">
      <c r="A789" t="s">
        <v>2163</v>
      </c>
      <c r="B789" t="s">
        <v>35</v>
      </c>
      <c r="C789" t="s">
        <v>2164</v>
      </c>
      <c r="D789" s="16">
        <v>4400.3599999999997</v>
      </c>
      <c r="E789" t="s">
        <v>55</v>
      </c>
      <c r="F789" t="s">
        <v>26</v>
      </c>
      <c r="G789" t="s">
        <v>2165</v>
      </c>
      <c r="H789" t="s">
        <v>56</v>
      </c>
      <c r="I789" t="s">
        <v>29</v>
      </c>
      <c r="J789" s="13">
        <v>46168</v>
      </c>
      <c r="K789" s="17" t="s">
        <v>57</v>
      </c>
      <c r="L789" s="13">
        <v>46198</v>
      </c>
      <c r="M789" t="s">
        <v>31</v>
      </c>
      <c r="N789" t="s">
        <v>32</v>
      </c>
      <c r="O789" s="13">
        <v>46173</v>
      </c>
      <c r="P789" s="13">
        <v>46179</v>
      </c>
      <c r="Q789">
        <f t="shared" ca="1" si="60"/>
        <v>21</v>
      </c>
      <c r="R789">
        <f t="shared" si="61"/>
        <v>5</v>
      </c>
      <c r="S789">
        <f t="shared" ca="1" si="62"/>
        <v>9</v>
      </c>
      <c r="T789" t="str">
        <f t="shared" ca="1" si="63"/>
        <v>On Track</v>
      </c>
      <c r="U789" t="str">
        <f t="shared" ca="1" si="64"/>
        <v>Normal</v>
      </c>
      <c r="V789" t="s">
        <v>33</v>
      </c>
    </row>
    <row r="790" spans="1:22">
      <c r="A790" t="s">
        <v>2166</v>
      </c>
      <c r="B790" t="s">
        <v>118</v>
      </c>
      <c r="C790" t="s">
        <v>2167</v>
      </c>
      <c r="D790" s="16">
        <v>7191.97</v>
      </c>
      <c r="E790" t="s">
        <v>69</v>
      </c>
      <c r="F790" t="s">
        <v>26</v>
      </c>
      <c r="G790" t="s">
        <v>2168</v>
      </c>
      <c r="H790" t="s">
        <v>178</v>
      </c>
      <c r="I790" t="s">
        <v>92</v>
      </c>
      <c r="J790" s="13">
        <v>46158</v>
      </c>
      <c r="K790" s="17" t="s">
        <v>30</v>
      </c>
      <c r="L790" s="13">
        <v>46173</v>
      </c>
      <c r="M790" t="s">
        <v>31</v>
      </c>
      <c r="N790" t="s">
        <v>100</v>
      </c>
      <c r="O790" s="13">
        <v>46168</v>
      </c>
      <c r="P790" s="13">
        <v>46171</v>
      </c>
      <c r="Q790">
        <f t="shared" ca="1" si="60"/>
        <v>31</v>
      </c>
      <c r="R790">
        <f t="shared" si="61"/>
        <v>10</v>
      </c>
      <c r="S790">
        <f t="shared" ca="1" si="62"/>
        <v>-16</v>
      </c>
      <c r="T790" t="str">
        <f t="shared" ca="1" si="63"/>
        <v>On Track</v>
      </c>
      <c r="U790" t="str">
        <f t="shared" ca="1" si="64"/>
        <v>Normal</v>
      </c>
      <c r="V790" t="s">
        <v>101</v>
      </c>
    </row>
    <row r="791" spans="1:22">
      <c r="A791" t="s">
        <v>2169</v>
      </c>
      <c r="B791" t="s">
        <v>103</v>
      </c>
      <c r="C791" t="s">
        <v>2170</v>
      </c>
      <c r="D791" s="16">
        <v>16787.87</v>
      </c>
      <c r="E791" t="s">
        <v>25</v>
      </c>
      <c r="F791" t="s">
        <v>26</v>
      </c>
      <c r="G791" t="s">
        <v>2171</v>
      </c>
      <c r="H791" t="s">
        <v>149</v>
      </c>
      <c r="I791" t="s">
        <v>92</v>
      </c>
      <c r="J791" s="13">
        <v>46165</v>
      </c>
      <c r="K791" s="17" t="s">
        <v>57</v>
      </c>
      <c r="L791" s="13">
        <v>46195</v>
      </c>
      <c r="M791" t="s">
        <v>41</v>
      </c>
      <c r="N791" t="s">
        <v>32</v>
      </c>
      <c r="Q791">
        <f t="shared" ca="1" si="60"/>
        <v>24</v>
      </c>
      <c r="R791" t="str">
        <f t="shared" si="61"/>
        <v/>
      </c>
      <c r="S791">
        <f t="shared" ca="1" si="62"/>
        <v>6</v>
      </c>
      <c r="T791" t="str">
        <f t="shared" ca="1" si="63"/>
        <v>Overdue</v>
      </c>
      <c r="U791" t="str">
        <f t="shared" ca="1" si="64"/>
        <v>Normal</v>
      </c>
      <c r="V791" t="s">
        <v>42</v>
      </c>
    </row>
    <row r="792" spans="1:22">
      <c r="A792" t="s">
        <v>2172</v>
      </c>
      <c r="B792" t="s">
        <v>151</v>
      </c>
      <c r="C792" t="s">
        <v>2173</v>
      </c>
      <c r="D792" s="16">
        <v>11793.52</v>
      </c>
      <c r="E792" t="s">
        <v>37</v>
      </c>
      <c r="F792" t="s">
        <v>26</v>
      </c>
      <c r="G792" t="s">
        <v>2174</v>
      </c>
      <c r="H792" t="s">
        <v>815</v>
      </c>
      <c r="I792" t="s">
        <v>92</v>
      </c>
      <c r="J792" s="13">
        <v>46186</v>
      </c>
      <c r="K792" s="17" t="s">
        <v>49</v>
      </c>
      <c r="L792" s="13">
        <v>46231</v>
      </c>
      <c r="M792" t="s">
        <v>41</v>
      </c>
      <c r="N792" t="s">
        <v>100</v>
      </c>
      <c r="Q792">
        <f t="shared" ca="1" si="60"/>
        <v>3</v>
      </c>
      <c r="R792" t="str">
        <f t="shared" si="61"/>
        <v/>
      </c>
      <c r="S792">
        <f t="shared" ca="1" si="62"/>
        <v>42</v>
      </c>
      <c r="T792" t="str">
        <f t="shared" ca="1" si="63"/>
        <v>On Track</v>
      </c>
      <c r="U792" t="str">
        <f t="shared" ca="1" si="64"/>
        <v>Normal</v>
      </c>
      <c r="V792" t="s">
        <v>101</v>
      </c>
    </row>
    <row r="793" spans="1:22">
      <c r="A793" t="s">
        <v>2175</v>
      </c>
      <c r="B793" t="s">
        <v>23</v>
      </c>
      <c r="C793" t="s">
        <v>2176</v>
      </c>
      <c r="D793" s="16">
        <v>2027.23</v>
      </c>
      <c r="E793" t="s">
        <v>46</v>
      </c>
      <c r="F793" t="s">
        <v>38</v>
      </c>
      <c r="H793" t="s">
        <v>48</v>
      </c>
      <c r="I793" t="s">
        <v>29</v>
      </c>
      <c r="J793" s="13">
        <v>46174</v>
      </c>
      <c r="K793" s="17" t="s">
        <v>30</v>
      </c>
      <c r="L793" s="13">
        <v>46189</v>
      </c>
      <c r="M793" t="s">
        <v>31</v>
      </c>
      <c r="N793" t="s">
        <v>32</v>
      </c>
      <c r="O793" s="13">
        <v>46181</v>
      </c>
      <c r="P793" s="13">
        <v>46183</v>
      </c>
      <c r="Q793">
        <f t="shared" ca="1" si="60"/>
        <v>15</v>
      </c>
      <c r="R793">
        <f t="shared" si="61"/>
        <v>7</v>
      </c>
      <c r="S793">
        <f t="shared" ca="1" si="62"/>
        <v>0</v>
      </c>
      <c r="T793" t="str">
        <f t="shared" ca="1" si="63"/>
        <v>On Track</v>
      </c>
      <c r="U793" t="str">
        <f t="shared" ca="1" si="64"/>
        <v>Normal</v>
      </c>
      <c r="V793" t="s">
        <v>33</v>
      </c>
    </row>
    <row r="794" spans="1:22">
      <c r="A794" t="s">
        <v>2177</v>
      </c>
      <c r="B794" t="s">
        <v>208</v>
      </c>
      <c r="C794" t="s">
        <v>2178</v>
      </c>
      <c r="D794" s="16">
        <v>2178.44</v>
      </c>
      <c r="E794" t="s">
        <v>142</v>
      </c>
      <c r="F794" t="s">
        <v>38</v>
      </c>
      <c r="H794" t="s">
        <v>335</v>
      </c>
      <c r="I794" t="s">
        <v>29</v>
      </c>
      <c r="J794" s="13">
        <v>46170</v>
      </c>
      <c r="K794" s="17" t="s">
        <v>49</v>
      </c>
      <c r="L794" s="13">
        <v>46215</v>
      </c>
      <c r="M794" t="s">
        <v>99</v>
      </c>
      <c r="N794" t="s">
        <v>32</v>
      </c>
      <c r="O794" s="13">
        <v>46178</v>
      </c>
      <c r="Q794">
        <f t="shared" ca="1" si="60"/>
        <v>19</v>
      </c>
      <c r="R794">
        <f t="shared" si="61"/>
        <v>8</v>
      </c>
      <c r="S794">
        <f t="shared" ca="1" si="62"/>
        <v>26</v>
      </c>
      <c r="T794" t="str">
        <f t="shared" ca="1" si="63"/>
        <v>On Track</v>
      </c>
      <c r="U794" t="str">
        <f t="shared" ca="1" si="64"/>
        <v>Normal</v>
      </c>
    </row>
    <row r="795" spans="1:22">
      <c r="A795" t="s">
        <v>2179</v>
      </c>
      <c r="B795" t="s">
        <v>67</v>
      </c>
      <c r="C795" t="s">
        <v>2180</v>
      </c>
      <c r="D795" s="16">
        <v>2689.77</v>
      </c>
      <c r="E795" t="s">
        <v>78</v>
      </c>
      <c r="F795" t="s">
        <v>26</v>
      </c>
      <c r="G795" t="s">
        <v>2181</v>
      </c>
      <c r="H795" t="s">
        <v>80</v>
      </c>
      <c r="I795" t="s">
        <v>29</v>
      </c>
      <c r="J795" s="13">
        <v>46181</v>
      </c>
      <c r="K795" s="17" t="s">
        <v>40</v>
      </c>
      <c r="L795" s="13">
        <v>46211</v>
      </c>
      <c r="M795" t="s">
        <v>41</v>
      </c>
      <c r="N795" t="s">
        <v>32</v>
      </c>
      <c r="Q795">
        <f t="shared" ca="1" si="60"/>
        <v>8</v>
      </c>
      <c r="R795" t="str">
        <f t="shared" si="61"/>
        <v/>
      </c>
      <c r="S795">
        <f t="shared" ca="1" si="62"/>
        <v>22</v>
      </c>
      <c r="T795" t="str">
        <f t="shared" ca="1" si="63"/>
        <v>Overdue</v>
      </c>
      <c r="U795" t="str">
        <f t="shared" ca="1" si="64"/>
        <v>Normal</v>
      </c>
      <c r="V795" t="s">
        <v>42</v>
      </c>
    </row>
    <row r="796" spans="1:22">
      <c r="A796" t="s">
        <v>2182</v>
      </c>
      <c r="B796" t="s">
        <v>103</v>
      </c>
      <c r="C796" t="s">
        <v>2183</v>
      </c>
      <c r="D796" s="16">
        <v>4120.21</v>
      </c>
      <c r="E796" t="s">
        <v>302</v>
      </c>
      <c r="F796" t="s">
        <v>26</v>
      </c>
      <c r="G796" t="s">
        <v>2184</v>
      </c>
      <c r="H796" t="s">
        <v>304</v>
      </c>
      <c r="I796" t="s">
        <v>29</v>
      </c>
      <c r="J796" s="13">
        <v>46152</v>
      </c>
      <c r="K796" s="17" t="s">
        <v>30</v>
      </c>
      <c r="L796" s="13">
        <v>46167</v>
      </c>
      <c r="M796" t="s">
        <v>31</v>
      </c>
      <c r="N796" t="s">
        <v>32</v>
      </c>
      <c r="O796" s="13">
        <v>46159</v>
      </c>
      <c r="P796" s="13">
        <v>46166</v>
      </c>
      <c r="Q796">
        <f t="shared" ca="1" si="60"/>
        <v>37</v>
      </c>
      <c r="R796">
        <f t="shared" si="61"/>
        <v>7</v>
      </c>
      <c r="S796">
        <f t="shared" ca="1" si="62"/>
        <v>-22</v>
      </c>
      <c r="T796" t="str">
        <f t="shared" ca="1" si="63"/>
        <v>On Track</v>
      </c>
      <c r="U796" t="str">
        <f t="shared" ca="1" si="64"/>
        <v>Normal</v>
      </c>
      <c r="V796" t="s">
        <v>33</v>
      </c>
    </row>
    <row r="797" spans="1:22">
      <c r="A797" t="s">
        <v>2185</v>
      </c>
      <c r="B797" t="s">
        <v>222</v>
      </c>
      <c r="C797" t="s">
        <v>2186</v>
      </c>
      <c r="D797" s="16">
        <v>4050.4</v>
      </c>
      <c r="E797" t="s">
        <v>156</v>
      </c>
      <c r="F797" t="s">
        <v>26</v>
      </c>
      <c r="G797" t="s">
        <v>2187</v>
      </c>
      <c r="H797" t="s">
        <v>157</v>
      </c>
      <c r="I797" t="s">
        <v>29</v>
      </c>
      <c r="J797" s="13">
        <v>46170</v>
      </c>
      <c r="K797" s="17" t="s">
        <v>57</v>
      </c>
      <c r="L797" s="13">
        <v>46200</v>
      </c>
      <c r="M797" t="s">
        <v>31</v>
      </c>
      <c r="N797" t="s">
        <v>32</v>
      </c>
      <c r="O797" s="13">
        <v>46174</v>
      </c>
      <c r="P797" s="13">
        <v>46176</v>
      </c>
      <c r="Q797">
        <f t="shared" ca="1" si="60"/>
        <v>19</v>
      </c>
      <c r="R797">
        <f t="shared" si="61"/>
        <v>4</v>
      </c>
      <c r="S797">
        <f t="shared" ca="1" si="62"/>
        <v>11</v>
      </c>
      <c r="T797" t="str">
        <f t="shared" ca="1" si="63"/>
        <v>On Track</v>
      </c>
      <c r="U797" t="str">
        <f t="shared" ca="1" si="64"/>
        <v>Normal</v>
      </c>
      <c r="V797" t="s">
        <v>33</v>
      </c>
    </row>
    <row r="798" spans="1:22">
      <c r="A798" t="s">
        <v>2188</v>
      </c>
      <c r="B798" t="s">
        <v>109</v>
      </c>
      <c r="C798" t="s">
        <v>2189</v>
      </c>
      <c r="D798" s="16">
        <v>3585.52</v>
      </c>
      <c r="E798" t="s">
        <v>69</v>
      </c>
      <c r="F798" t="s">
        <v>38</v>
      </c>
      <c r="H798" t="s">
        <v>71</v>
      </c>
      <c r="I798" t="s">
        <v>29</v>
      </c>
      <c r="J798" s="13">
        <v>46171</v>
      </c>
      <c r="K798" s="17" t="s">
        <v>49</v>
      </c>
      <c r="L798" s="13">
        <v>46216</v>
      </c>
      <c r="M798" t="s">
        <v>41</v>
      </c>
      <c r="N798" t="s">
        <v>100</v>
      </c>
      <c r="Q798">
        <f t="shared" ca="1" si="60"/>
        <v>18</v>
      </c>
      <c r="R798" t="str">
        <f t="shared" si="61"/>
        <v/>
      </c>
      <c r="S798">
        <f t="shared" ca="1" si="62"/>
        <v>27</v>
      </c>
      <c r="T798" t="str">
        <f t="shared" ca="1" si="63"/>
        <v>Overdue</v>
      </c>
      <c r="U798" t="str">
        <f t="shared" ca="1" si="64"/>
        <v>Normal</v>
      </c>
      <c r="V798" t="s">
        <v>101</v>
      </c>
    </row>
    <row r="799" spans="1:22">
      <c r="A799" t="s">
        <v>2190</v>
      </c>
      <c r="B799" t="s">
        <v>94</v>
      </c>
      <c r="C799" t="s">
        <v>2191</v>
      </c>
      <c r="D799" s="16">
        <v>609.41999999999996</v>
      </c>
      <c r="E799" t="s">
        <v>46</v>
      </c>
      <c r="F799" t="s">
        <v>26</v>
      </c>
      <c r="G799" t="s">
        <v>2192</v>
      </c>
      <c r="H799" t="s">
        <v>48</v>
      </c>
      <c r="I799" t="s">
        <v>29</v>
      </c>
      <c r="J799" s="13">
        <v>46170</v>
      </c>
      <c r="K799" s="17" t="s">
        <v>57</v>
      </c>
      <c r="L799" s="13">
        <v>46200</v>
      </c>
      <c r="M799" t="s">
        <v>41</v>
      </c>
      <c r="N799" t="s">
        <v>32</v>
      </c>
      <c r="Q799">
        <f t="shared" ca="1" si="60"/>
        <v>19</v>
      </c>
      <c r="R799" t="str">
        <f t="shared" si="61"/>
        <v/>
      </c>
      <c r="S799">
        <f t="shared" ca="1" si="62"/>
        <v>11</v>
      </c>
      <c r="T799" t="str">
        <f t="shared" ca="1" si="63"/>
        <v>Overdue</v>
      </c>
      <c r="U799" t="str">
        <f t="shared" ca="1" si="64"/>
        <v>Normal</v>
      </c>
      <c r="V799" t="s">
        <v>42</v>
      </c>
    </row>
    <row r="800" spans="1:22">
      <c r="A800" t="s">
        <v>2193</v>
      </c>
      <c r="B800" t="s">
        <v>151</v>
      </c>
      <c r="C800" t="s">
        <v>2194</v>
      </c>
      <c r="D800" s="16">
        <v>1784.88</v>
      </c>
      <c r="E800" t="s">
        <v>62</v>
      </c>
      <c r="F800" t="s">
        <v>38</v>
      </c>
      <c r="H800" t="s">
        <v>64</v>
      </c>
      <c r="I800" t="s">
        <v>29</v>
      </c>
      <c r="J800" s="13">
        <v>46188</v>
      </c>
      <c r="K800" s="17" t="s">
        <v>30</v>
      </c>
      <c r="L800" s="13">
        <v>46203</v>
      </c>
      <c r="M800" t="s">
        <v>41</v>
      </c>
      <c r="N800" t="s">
        <v>100</v>
      </c>
      <c r="Q800">
        <f t="shared" ca="1" si="60"/>
        <v>1</v>
      </c>
      <c r="R800" t="str">
        <f t="shared" si="61"/>
        <v/>
      </c>
      <c r="S800">
        <f t="shared" ca="1" si="62"/>
        <v>14</v>
      </c>
      <c r="T800" t="str">
        <f t="shared" ca="1" si="63"/>
        <v>On Track</v>
      </c>
      <c r="U800" t="str">
        <f t="shared" ca="1" si="64"/>
        <v>Normal</v>
      </c>
      <c r="V800" t="s">
        <v>101</v>
      </c>
    </row>
    <row r="801" spans="1:22">
      <c r="A801" t="s">
        <v>2195</v>
      </c>
      <c r="B801" t="s">
        <v>168</v>
      </c>
      <c r="C801" t="s">
        <v>2196</v>
      </c>
      <c r="D801" s="16">
        <v>57073.61</v>
      </c>
      <c r="E801" t="s">
        <v>111</v>
      </c>
      <c r="F801" t="s">
        <v>38</v>
      </c>
      <c r="H801" t="s">
        <v>121</v>
      </c>
      <c r="I801" t="s">
        <v>122</v>
      </c>
      <c r="J801" s="13">
        <v>46160</v>
      </c>
      <c r="K801" s="17" t="s">
        <v>49</v>
      </c>
      <c r="L801" s="13">
        <v>46205</v>
      </c>
      <c r="M801" t="s">
        <v>65</v>
      </c>
      <c r="N801" t="s">
        <v>32</v>
      </c>
      <c r="Q801">
        <f t="shared" ca="1" si="60"/>
        <v>29</v>
      </c>
      <c r="R801" t="str">
        <f t="shared" si="61"/>
        <v/>
      </c>
      <c r="S801">
        <f t="shared" ca="1" si="62"/>
        <v>16</v>
      </c>
      <c r="T801" t="str">
        <f t="shared" ca="1" si="63"/>
        <v>On Track</v>
      </c>
      <c r="U801" t="str">
        <f t="shared" ca="1" si="64"/>
        <v>Normal</v>
      </c>
    </row>
    <row r="802" spans="1:22">
      <c r="A802" t="s">
        <v>2197</v>
      </c>
      <c r="B802" t="s">
        <v>208</v>
      </c>
      <c r="C802" t="s">
        <v>2198</v>
      </c>
      <c r="D802" s="16">
        <v>12807.85</v>
      </c>
      <c r="E802" t="s">
        <v>46</v>
      </c>
      <c r="F802" t="s">
        <v>26</v>
      </c>
      <c r="G802" t="s">
        <v>2199</v>
      </c>
      <c r="H802" t="s">
        <v>161</v>
      </c>
      <c r="I802" t="s">
        <v>92</v>
      </c>
      <c r="J802" s="13">
        <v>46155</v>
      </c>
      <c r="K802" s="17" t="s">
        <v>30</v>
      </c>
      <c r="L802" s="13">
        <v>46170</v>
      </c>
      <c r="M802" t="s">
        <v>31</v>
      </c>
      <c r="N802" t="s">
        <v>32</v>
      </c>
      <c r="O802" s="13">
        <v>46161</v>
      </c>
      <c r="P802" s="13">
        <v>46165</v>
      </c>
      <c r="Q802">
        <f t="shared" ca="1" si="60"/>
        <v>34</v>
      </c>
      <c r="R802">
        <f t="shared" si="61"/>
        <v>6</v>
      </c>
      <c r="S802">
        <f t="shared" ca="1" si="62"/>
        <v>-19</v>
      </c>
      <c r="T802" t="str">
        <f t="shared" ca="1" si="63"/>
        <v>On Track</v>
      </c>
      <c r="U802" t="str">
        <f t="shared" ca="1" si="64"/>
        <v>Normal</v>
      </c>
      <c r="V802" t="s">
        <v>33</v>
      </c>
    </row>
    <row r="803" spans="1:22">
      <c r="A803" t="s">
        <v>2200</v>
      </c>
      <c r="B803" t="s">
        <v>208</v>
      </c>
      <c r="C803" t="s">
        <v>2201</v>
      </c>
      <c r="D803" s="16">
        <v>1940.23</v>
      </c>
      <c r="E803" t="s">
        <v>46</v>
      </c>
      <c r="F803" t="s">
        <v>26</v>
      </c>
      <c r="G803" t="s">
        <v>2202</v>
      </c>
      <c r="H803" t="s">
        <v>48</v>
      </c>
      <c r="I803" t="s">
        <v>29</v>
      </c>
      <c r="J803" s="13">
        <v>46150</v>
      </c>
      <c r="K803" s="17" t="s">
        <v>30</v>
      </c>
      <c r="L803" s="13">
        <v>46165</v>
      </c>
      <c r="M803" t="s">
        <v>31</v>
      </c>
      <c r="N803" t="s">
        <v>32</v>
      </c>
      <c r="O803" s="13">
        <v>46156</v>
      </c>
      <c r="P803" s="13">
        <v>46159</v>
      </c>
      <c r="Q803">
        <f t="shared" ca="1" si="60"/>
        <v>39</v>
      </c>
      <c r="R803">
        <f t="shared" si="61"/>
        <v>6</v>
      </c>
      <c r="S803">
        <f t="shared" ca="1" si="62"/>
        <v>-24</v>
      </c>
      <c r="T803" t="str">
        <f t="shared" ca="1" si="63"/>
        <v>On Track</v>
      </c>
      <c r="U803" t="str">
        <f t="shared" ca="1" si="64"/>
        <v>Normal</v>
      </c>
      <c r="V803" t="s">
        <v>33</v>
      </c>
    </row>
    <row r="804" spans="1:22">
      <c r="A804" t="s">
        <v>2203</v>
      </c>
      <c r="B804" t="s">
        <v>67</v>
      </c>
      <c r="C804" t="s">
        <v>2204</v>
      </c>
      <c r="D804" s="16">
        <v>2966.85</v>
      </c>
      <c r="E804" t="s">
        <v>25</v>
      </c>
      <c r="F804" t="s">
        <v>38</v>
      </c>
      <c r="H804" t="s">
        <v>28</v>
      </c>
      <c r="I804" t="s">
        <v>29</v>
      </c>
      <c r="J804" s="13">
        <v>46163</v>
      </c>
      <c r="K804" s="17" t="s">
        <v>57</v>
      </c>
      <c r="L804" s="13">
        <v>46193</v>
      </c>
      <c r="M804" t="s">
        <v>31</v>
      </c>
      <c r="N804" t="s">
        <v>32</v>
      </c>
      <c r="O804" s="13">
        <v>46168</v>
      </c>
      <c r="P804" s="13">
        <v>46173</v>
      </c>
      <c r="Q804">
        <f t="shared" ca="1" si="60"/>
        <v>26</v>
      </c>
      <c r="R804">
        <f t="shared" si="61"/>
        <v>5</v>
      </c>
      <c r="S804">
        <f t="shared" ca="1" si="62"/>
        <v>4</v>
      </c>
      <c r="T804" t="str">
        <f t="shared" ca="1" si="63"/>
        <v>On Track</v>
      </c>
      <c r="U804" t="str">
        <f t="shared" ca="1" si="64"/>
        <v>Normal</v>
      </c>
      <c r="V804" t="s">
        <v>33</v>
      </c>
    </row>
    <row r="805" spans="1:22">
      <c r="A805" t="s">
        <v>2205</v>
      </c>
      <c r="B805" t="s">
        <v>82</v>
      </c>
      <c r="C805" t="s">
        <v>2206</v>
      </c>
      <c r="D805" s="16">
        <v>59124.59</v>
      </c>
      <c r="E805" t="s">
        <v>37</v>
      </c>
      <c r="F805" t="s">
        <v>26</v>
      </c>
      <c r="G805" t="s">
        <v>2207</v>
      </c>
      <c r="H805" t="s">
        <v>121</v>
      </c>
      <c r="I805" t="s">
        <v>122</v>
      </c>
      <c r="J805" s="13">
        <v>46163</v>
      </c>
      <c r="K805" s="17" t="s">
        <v>30</v>
      </c>
      <c r="L805" s="13">
        <v>46178</v>
      </c>
      <c r="M805" t="s">
        <v>31</v>
      </c>
      <c r="N805" t="s">
        <v>100</v>
      </c>
      <c r="O805" s="13">
        <v>46179</v>
      </c>
      <c r="P805" s="13">
        <v>46182</v>
      </c>
      <c r="Q805">
        <f t="shared" ca="1" si="60"/>
        <v>26</v>
      </c>
      <c r="R805">
        <f t="shared" si="61"/>
        <v>16</v>
      </c>
      <c r="S805">
        <f t="shared" ca="1" si="62"/>
        <v>-11</v>
      </c>
      <c r="T805" t="str">
        <f t="shared" ca="1" si="63"/>
        <v>On Track</v>
      </c>
      <c r="U805" t="str">
        <f t="shared" ca="1" si="64"/>
        <v>Normal</v>
      </c>
      <c r="V805" t="s">
        <v>101</v>
      </c>
    </row>
    <row r="806" spans="1:22">
      <c r="A806" t="s">
        <v>2208</v>
      </c>
      <c r="B806" t="s">
        <v>208</v>
      </c>
      <c r="C806" t="s">
        <v>2209</v>
      </c>
      <c r="D806" s="16">
        <v>839.3</v>
      </c>
      <c r="E806" t="s">
        <v>69</v>
      </c>
      <c r="F806" t="s">
        <v>38</v>
      </c>
      <c r="H806" t="s">
        <v>71</v>
      </c>
      <c r="I806" t="s">
        <v>29</v>
      </c>
      <c r="J806" s="13">
        <v>46165</v>
      </c>
      <c r="K806" s="17" t="s">
        <v>40</v>
      </c>
      <c r="L806" s="13">
        <v>46195</v>
      </c>
      <c r="M806" t="s">
        <v>31</v>
      </c>
      <c r="N806" t="s">
        <v>179</v>
      </c>
      <c r="O806" s="13">
        <v>46172</v>
      </c>
      <c r="P806" s="13">
        <v>46176</v>
      </c>
      <c r="Q806">
        <f t="shared" ca="1" si="60"/>
        <v>24</v>
      </c>
      <c r="R806">
        <f t="shared" si="61"/>
        <v>7</v>
      </c>
      <c r="S806">
        <f t="shared" ca="1" si="62"/>
        <v>6</v>
      </c>
      <c r="T806" t="str">
        <f t="shared" ca="1" si="63"/>
        <v>On Track</v>
      </c>
      <c r="U806" t="str">
        <f t="shared" ca="1" si="64"/>
        <v>Normal</v>
      </c>
      <c r="V806" t="s">
        <v>180</v>
      </c>
    </row>
    <row r="807" spans="1:22">
      <c r="A807" t="s">
        <v>2210</v>
      </c>
      <c r="B807" t="s">
        <v>115</v>
      </c>
      <c r="C807" t="s">
        <v>2211</v>
      </c>
      <c r="D807" s="16">
        <v>939.5</v>
      </c>
      <c r="E807" t="s">
        <v>302</v>
      </c>
      <c r="F807" t="s">
        <v>26</v>
      </c>
      <c r="G807" t="s">
        <v>2212</v>
      </c>
      <c r="H807" t="s">
        <v>304</v>
      </c>
      <c r="I807" t="s">
        <v>29</v>
      </c>
      <c r="J807" s="13">
        <v>46184</v>
      </c>
      <c r="K807" s="17" t="s">
        <v>30</v>
      </c>
      <c r="L807" s="13">
        <v>46199</v>
      </c>
      <c r="M807" t="s">
        <v>145</v>
      </c>
      <c r="N807" t="s">
        <v>100</v>
      </c>
      <c r="O807" s="13">
        <v>46189</v>
      </c>
      <c r="Q807">
        <f t="shared" ca="1" si="60"/>
        <v>5</v>
      </c>
      <c r="R807">
        <f t="shared" si="61"/>
        <v>5</v>
      </c>
      <c r="S807">
        <f t="shared" ca="1" si="62"/>
        <v>10</v>
      </c>
      <c r="T807" t="str">
        <f t="shared" ca="1" si="63"/>
        <v>On Track</v>
      </c>
      <c r="U807" t="str">
        <f t="shared" ca="1" si="64"/>
        <v>Normal</v>
      </c>
      <c r="V807" t="s">
        <v>101</v>
      </c>
    </row>
    <row r="808" spans="1:22">
      <c r="A808" t="s">
        <v>2213</v>
      </c>
      <c r="B808" t="s">
        <v>222</v>
      </c>
      <c r="C808" t="s">
        <v>2214</v>
      </c>
      <c r="D808" s="16">
        <v>4634.6899999999996</v>
      </c>
      <c r="E808" t="s">
        <v>69</v>
      </c>
      <c r="F808" t="s">
        <v>26</v>
      </c>
      <c r="G808" t="s">
        <v>2215</v>
      </c>
      <c r="H808" t="s">
        <v>71</v>
      </c>
      <c r="I808" t="s">
        <v>29</v>
      </c>
      <c r="J808" s="13">
        <v>46182</v>
      </c>
      <c r="K808" s="17" t="s">
        <v>49</v>
      </c>
      <c r="L808" s="13">
        <v>46227</v>
      </c>
      <c r="M808" t="s">
        <v>31</v>
      </c>
      <c r="N808" t="s">
        <v>32</v>
      </c>
      <c r="O808" s="13">
        <v>46185</v>
      </c>
      <c r="P808" s="13">
        <v>46188</v>
      </c>
      <c r="Q808">
        <f t="shared" ca="1" si="60"/>
        <v>7</v>
      </c>
      <c r="R808">
        <f t="shared" si="61"/>
        <v>3</v>
      </c>
      <c r="S808">
        <f t="shared" ca="1" si="62"/>
        <v>38</v>
      </c>
      <c r="T808" t="str">
        <f t="shared" ca="1" si="63"/>
        <v>On Track</v>
      </c>
      <c r="U808" t="str">
        <f t="shared" ca="1" si="64"/>
        <v>Normal</v>
      </c>
      <c r="V808" t="s">
        <v>33</v>
      </c>
    </row>
    <row r="809" spans="1:22">
      <c r="A809" t="s">
        <v>2216</v>
      </c>
      <c r="B809" t="s">
        <v>168</v>
      </c>
      <c r="C809" t="s">
        <v>2217</v>
      </c>
      <c r="D809" s="16">
        <v>20096.41</v>
      </c>
      <c r="E809" t="s">
        <v>302</v>
      </c>
      <c r="F809" t="s">
        <v>26</v>
      </c>
      <c r="G809" t="s">
        <v>2218</v>
      </c>
      <c r="H809" t="s">
        <v>429</v>
      </c>
      <c r="I809" t="s">
        <v>92</v>
      </c>
      <c r="J809" s="13">
        <v>46183</v>
      </c>
      <c r="K809" s="17" t="s">
        <v>30</v>
      </c>
      <c r="L809" s="13">
        <v>46198</v>
      </c>
      <c r="M809" t="s">
        <v>145</v>
      </c>
      <c r="N809" t="s">
        <v>100</v>
      </c>
      <c r="O809" s="13">
        <v>46189</v>
      </c>
      <c r="Q809">
        <f t="shared" ca="1" si="60"/>
        <v>6</v>
      </c>
      <c r="R809">
        <f t="shared" si="61"/>
        <v>6</v>
      </c>
      <c r="S809">
        <f t="shared" ca="1" si="62"/>
        <v>9</v>
      </c>
      <c r="T809" t="str">
        <f t="shared" ca="1" si="63"/>
        <v>On Track</v>
      </c>
      <c r="U809" t="str">
        <f t="shared" ca="1" si="64"/>
        <v>Normal</v>
      </c>
      <c r="V809" t="s">
        <v>101</v>
      </c>
    </row>
    <row r="810" spans="1:22">
      <c r="A810" t="s">
        <v>2219</v>
      </c>
      <c r="B810" t="s">
        <v>151</v>
      </c>
      <c r="C810" t="s">
        <v>2220</v>
      </c>
      <c r="D810" s="16">
        <v>20548.97</v>
      </c>
      <c r="E810" t="s">
        <v>78</v>
      </c>
      <c r="F810" t="s">
        <v>38</v>
      </c>
      <c r="H810" t="s">
        <v>91</v>
      </c>
      <c r="I810" t="s">
        <v>92</v>
      </c>
      <c r="J810" s="13">
        <v>46175</v>
      </c>
      <c r="K810" s="17" t="s">
        <v>30</v>
      </c>
      <c r="L810" s="13">
        <v>46190</v>
      </c>
      <c r="M810" t="s">
        <v>41</v>
      </c>
      <c r="N810" t="s">
        <v>50</v>
      </c>
      <c r="Q810">
        <f t="shared" ca="1" si="60"/>
        <v>14</v>
      </c>
      <c r="R810" t="str">
        <f t="shared" si="61"/>
        <v/>
      </c>
      <c r="S810">
        <f t="shared" ca="1" si="62"/>
        <v>1</v>
      </c>
      <c r="T810" t="str">
        <f t="shared" ca="1" si="63"/>
        <v>Overdue</v>
      </c>
      <c r="U810" t="str">
        <f t="shared" ca="1" si="64"/>
        <v>At Risk</v>
      </c>
      <c r="V810" t="s">
        <v>51</v>
      </c>
    </row>
    <row r="811" spans="1:22">
      <c r="A811" t="s">
        <v>2221</v>
      </c>
      <c r="B811" t="s">
        <v>137</v>
      </c>
      <c r="C811" t="s">
        <v>2222</v>
      </c>
      <c r="D811" s="16">
        <v>3762.33</v>
      </c>
      <c r="E811" t="s">
        <v>25</v>
      </c>
      <c r="F811" t="s">
        <v>26</v>
      </c>
      <c r="G811" t="s">
        <v>2223</v>
      </c>
      <c r="H811" t="s">
        <v>28</v>
      </c>
      <c r="I811" t="s">
        <v>29</v>
      </c>
      <c r="J811" s="13">
        <v>46160</v>
      </c>
      <c r="K811" s="17" t="s">
        <v>40</v>
      </c>
      <c r="L811" s="13">
        <v>46190</v>
      </c>
      <c r="M811" t="s">
        <v>41</v>
      </c>
      <c r="N811" t="s">
        <v>32</v>
      </c>
      <c r="Q811">
        <f t="shared" ca="1" si="60"/>
        <v>29</v>
      </c>
      <c r="R811" t="str">
        <f t="shared" si="61"/>
        <v/>
      </c>
      <c r="S811">
        <f t="shared" ca="1" si="62"/>
        <v>1</v>
      </c>
      <c r="T811" t="str">
        <f t="shared" ca="1" si="63"/>
        <v>Overdue</v>
      </c>
      <c r="U811" t="str">
        <f t="shared" ca="1" si="64"/>
        <v>At Risk</v>
      </c>
      <c r="V811" t="s">
        <v>42</v>
      </c>
    </row>
    <row r="812" spans="1:22">
      <c r="A812" t="s">
        <v>2224</v>
      </c>
      <c r="B812" t="s">
        <v>251</v>
      </c>
      <c r="C812" t="s">
        <v>2225</v>
      </c>
      <c r="D812" s="16">
        <v>1554.14</v>
      </c>
      <c r="E812" t="s">
        <v>302</v>
      </c>
      <c r="F812" t="s">
        <v>26</v>
      </c>
      <c r="G812" t="s">
        <v>2226</v>
      </c>
      <c r="H812" t="s">
        <v>304</v>
      </c>
      <c r="I812" t="s">
        <v>29</v>
      </c>
      <c r="J812" s="13">
        <v>46187</v>
      </c>
      <c r="K812" s="17" t="s">
        <v>57</v>
      </c>
      <c r="L812" s="13">
        <v>46217</v>
      </c>
      <c r="M812" t="s">
        <v>41</v>
      </c>
      <c r="N812" t="s">
        <v>32</v>
      </c>
      <c r="Q812">
        <f t="shared" ca="1" si="60"/>
        <v>2</v>
      </c>
      <c r="R812" t="str">
        <f t="shared" si="61"/>
        <v/>
      </c>
      <c r="S812">
        <f t="shared" ca="1" si="62"/>
        <v>28</v>
      </c>
      <c r="T812" t="str">
        <f t="shared" ca="1" si="63"/>
        <v>On Track</v>
      </c>
      <c r="U812" t="str">
        <f t="shared" ca="1" si="64"/>
        <v>Normal</v>
      </c>
      <c r="V812" t="s">
        <v>42</v>
      </c>
    </row>
    <row r="813" spans="1:22">
      <c r="A813" t="s">
        <v>2227</v>
      </c>
      <c r="B813" t="s">
        <v>168</v>
      </c>
      <c r="C813" t="s">
        <v>2228</v>
      </c>
      <c r="D813" s="16">
        <v>4242.21</v>
      </c>
      <c r="E813" t="s">
        <v>78</v>
      </c>
      <c r="F813" t="s">
        <v>38</v>
      </c>
      <c r="H813" t="s">
        <v>80</v>
      </c>
      <c r="I813" t="s">
        <v>29</v>
      </c>
      <c r="J813" s="13">
        <v>46146</v>
      </c>
      <c r="K813" s="17" t="s">
        <v>30</v>
      </c>
      <c r="L813" s="13">
        <v>46161</v>
      </c>
      <c r="M813" t="s">
        <v>145</v>
      </c>
      <c r="N813" t="s">
        <v>32</v>
      </c>
      <c r="O813" s="13">
        <v>46149</v>
      </c>
      <c r="Q813">
        <f t="shared" ca="1" si="60"/>
        <v>43</v>
      </c>
      <c r="R813">
        <f t="shared" si="61"/>
        <v>3</v>
      </c>
      <c r="S813">
        <f t="shared" ca="1" si="62"/>
        <v>-28</v>
      </c>
      <c r="T813" t="str">
        <f t="shared" ca="1" si="63"/>
        <v>On Track</v>
      </c>
      <c r="U813" t="str">
        <f t="shared" ca="1" si="64"/>
        <v>At Risk</v>
      </c>
    </row>
    <row r="814" spans="1:22">
      <c r="A814" t="s">
        <v>2229</v>
      </c>
      <c r="B814" t="s">
        <v>208</v>
      </c>
      <c r="C814" t="s">
        <v>2230</v>
      </c>
      <c r="D814" s="16">
        <v>4134.92</v>
      </c>
      <c r="E814" t="s">
        <v>46</v>
      </c>
      <c r="F814" t="s">
        <v>26</v>
      </c>
      <c r="G814" t="s">
        <v>2231</v>
      </c>
      <c r="H814" t="s">
        <v>48</v>
      </c>
      <c r="I814" t="s">
        <v>29</v>
      </c>
      <c r="J814" s="13">
        <v>46173</v>
      </c>
      <c r="K814" s="17" t="s">
        <v>30</v>
      </c>
      <c r="L814" s="13">
        <v>46188</v>
      </c>
      <c r="M814" t="s">
        <v>41</v>
      </c>
      <c r="N814" t="s">
        <v>32</v>
      </c>
      <c r="Q814">
        <f t="shared" ca="1" si="60"/>
        <v>16</v>
      </c>
      <c r="R814" t="str">
        <f t="shared" si="61"/>
        <v/>
      </c>
      <c r="S814">
        <f t="shared" ca="1" si="62"/>
        <v>-1</v>
      </c>
      <c r="T814" t="str">
        <f t="shared" ca="1" si="63"/>
        <v>Overdue</v>
      </c>
      <c r="U814" t="str">
        <f t="shared" ca="1" si="64"/>
        <v>At Risk</v>
      </c>
      <c r="V814" t="s">
        <v>42</v>
      </c>
    </row>
    <row r="815" spans="1:22">
      <c r="A815" t="s">
        <v>2232</v>
      </c>
      <c r="B815" t="s">
        <v>124</v>
      </c>
      <c r="C815" t="s">
        <v>2233</v>
      </c>
      <c r="D815" s="16">
        <v>3579.59</v>
      </c>
      <c r="E815" t="s">
        <v>25</v>
      </c>
      <c r="F815" t="s">
        <v>38</v>
      </c>
      <c r="H815" t="s">
        <v>28</v>
      </c>
      <c r="I815" t="s">
        <v>29</v>
      </c>
      <c r="J815" s="13">
        <v>46169</v>
      </c>
      <c r="K815" s="17" t="s">
        <v>40</v>
      </c>
      <c r="L815" s="13">
        <v>46199</v>
      </c>
      <c r="M815" t="s">
        <v>84</v>
      </c>
      <c r="N815" t="s">
        <v>32</v>
      </c>
      <c r="O815" s="13">
        <v>46178</v>
      </c>
      <c r="Q815">
        <f t="shared" ca="1" si="60"/>
        <v>20</v>
      </c>
      <c r="R815">
        <f t="shared" si="61"/>
        <v>9</v>
      </c>
      <c r="S815">
        <f t="shared" ca="1" si="62"/>
        <v>10</v>
      </c>
      <c r="T815" t="str">
        <f t="shared" ca="1" si="63"/>
        <v>On Track</v>
      </c>
      <c r="U815" t="str">
        <f t="shared" ca="1" si="64"/>
        <v>Normal</v>
      </c>
    </row>
    <row r="816" spans="1:22">
      <c r="A816" t="s">
        <v>2234</v>
      </c>
      <c r="B816" t="s">
        <v>109</v>
      </c>
      <c r="C816" t="s">
        <v>2235</v>
      </c>
      <c r="D816" s="16">
        <v>1516.61</v>
      </c>
      <c r="E816" t="s">
        <v>69</v>
      </c>
      <c r="F816" t="s">
        <v>26</v>
      </c>
      <c r="G816" t="s">
        <v>2236</v>
      </c>
      <c r="H816" t="s">
        <v>71</v>
      </c>
      <c r="I816" t="s">
        <v>29</v>
      </c>
      <c r="J816" s="13">
        <v>46174</v>
      </c>
      <c r="K816" s="17" t="s">
        <v>57</v>
      </c>
      <c r="L816" s="13">
        <v>46204</v>
      </c>
      <c r="M816" t="s">
        <v>145</v>
      </c>
      <c r="N816" t="s">
        <v>32</v>
      </c>
      <c r="O816" s="13">
        <v>46180</v>
      </c>
      <c r="Q816">
        <f t="shared" ca="1" si="60"/>
        <v>15</v>
      </c>
      <c r="R816">
        <f t="shared" si="61"/>
        <v>6</v>
      </c>
      <c r="S816">
        <f t="shared" ca="1" si="62"/>
        <v>15</v>
      </c>
      <c r="T816" t="str">
        <f t="shared" ca="1" si="63"/>
        <v>On Track</v>
      </c>
      <c r="U816" t="str">
        <f t="shared" ca="1" si="64"/>
        <v>Normal</v>
      </c>
    </row>
    <row r="817" spans="1:22">
      <c r="A817" t="s">
        <v>2237</v>
      </c>
      <c r="B817" t="s">
        <v>208</v>
      </c>
      <c r="C817" t="s">
        <v>2238</v>
      </c>
      <c r="D817" s="16">
        <v>12049.11</v>
      </c>
      <c r="E817" t="s">
        <v>302</v>
      </c>
      <c r="F817" t="s">
        <v>26</v>
      </c>
      <c r="G817" t="s">
        <v>2239</v>
      </c>
      <c r="H817" t="s">
        <v>429</v>
      </c>
      <c r="I817" t="s">
        <v>92</v>
      </c>
      <c r="J817" s="13">
        <v>46157</v>
      </c>
      <c r="K817" s="17" t="s">
        <v>30</v>
      </c>
      <c r="L817" s="13">
        <v>46172</v>
      </c>
      <c r="M817" t="s">
        <v>65</v>
      </c>
      <c r="N817" t="s">
        <v>32</v>
      </c>
      <c r="Q817">
        <f t="shared" ca="1" si="60"/>
        <v>32</v>
      </c>
      <c r="R817" t="str">
        <f t="shared" si="61"/>
        <v/>
      </c>
      <c r="S817">
        <f t="shared" ca="1" si="62"/>
        <v>-17</v>
      </c>
      <c r="T817" t="str">
        <f t="shared" ca="1" si="63"/>
        <v>On Track</v>
      </c>
      <c r="U817" t="str">
        <f t="shared" ca="1" si="64"/>
        <v>At Risk</v>
      </c>
    </row>
    <row r="818" spans="1:22">
      <c r="A818" t="s">
        <v>2240</v>
      </c>
      <c r="B818" t="s">
        <v>168</v>
      </c>
      <c r="C818" t="s">
        <v>2241</v>
      </c>
      <c r="D818" s="16">
        <v>1051.28</v>
      </c>
      <c r="E818" t="s">
        <v>156</v>
      </c>
      <c r="F818" t="s">
        <v>26</v>
      </c>
      <c r="G818" t="s">
        <v>2242</v>
      </c>
      <c r="H818" t="s">
        <v>157</v>
      </c>
      <c r="I818" t="s">
        <v>29</v>
      </c>
      <c r="J818" s="13">
        <v>46169</v>
      </c>
      <c r="K818" s="17" t="s">
        <v>30</v>
      </c>
      <c r="L818" s="13">
        <v>46184</v>
      </c>
      <c r="M818" t="s">
        <v>145</v>
      </c>
      <c r="N818" t="s">
        <v>32</v>
      </c>
      <c r="O818" s="13">
        <v>46177</v>
      </c>
      <c r="Q818">
        <f t="shared" ca="1" si="60"/>
        <v>20</v>
      </c>
      <c r="R818">
        <f t="shared" si="61"/>
        <v>8</v>
      </c>
      <c r="S818">
        <f t="shared" ca="1" si="62"/>
        <v>-5</v>
      </c>
      <c r="T818" t="str">
        <f t="shared" ca="1" si="63"/>
        <v>On Track</v>
      </c>
      <c r="U818" t="str">
        <f t="shared" ca="1" si="64"/>
        <v>At Risk</v>
      </c>
    </row>
    <row r="819" spans="1:22">
      <c r="A819" t="s">
        <v>2243</v>
      </c>
      <c r="B819" t="s">
        <v>172</v>
      </c>
      <c r="C819" t="s">
        <v>2244</v>
      </c>
      <c r="D819" s="16">
        <v>8589.5300000000007</v>
      </c>
      <c r="E819" t="s">
        <v>111</v>
      </c>
      <c r="F819" t="s">
        <v>26</v>
      </c>
      <c r="G819" t="s">
        <v>2245</v>
      </c>
      <c r="H819" t="s">
        <v>122</v>
      </c>
      <c r="I819" t="s">
        <v>92</v>
      </c>
      <c r="J819" s="13">
        <v>46171</v>
      </c>
      <c r="K819" s="17" t="s">
        <v>49</v>
      </c>
      <c r="L819" s="13">
        <v>46216</v>
      </c>
      <c r="M819" t="s">
        <v>31</v>
      </c>
      <c r="N819" t="s">
        <v>100</v>
      </c>
      <c r="O819" s="13">
        <v>46180</v>
      </c>
      <c r="P819" s="13">
        <v>46184</v>
      </c>
      <c r="Q819">
        <f t="shared" ca="1" si="60"/>
        <v>18</v>
      </c>
      <c r="R819">
        <f t="shared" si="61"/>
        <v>9</v>
      </c>
      <c r="S819">
        <f t="shared" ca="1" si="62"/>
        <v>27</v>
      </c>
      <c r="T819" t="str">
        <f t="shared" ca="1" si="63"/>
        <v>On Track</v>
      </c>
      <c r="U819" t="str">
        <f t="shared" ca="1" si="64"/>
        <v>Normal</v>
      </c>
      <c r="V819" t="s">
        <v>101</v>
      </c>
    </row>
    <row r="820" spans="1:22">
      <c r="A820" t="s">
        <v>2246</v>
      </c>
      <c r="B820" t="s">
        <v>251</v>
      </c>
      <c r="C820" t="s">
        <v>2247</v>
      </c>
      <c r="D820" s="16">
        <v>981.14</v>
      </c>
      <c r="E820" t="s">
        <v>78</v>
      </c>
      <c r="F820" t="s">
        <v>38</v>
      </c>
      <c r="H820" t="s">
        <v>80</v>
      </c>
      <c r="I820" t="s">
        <v>29</v>
      </c>
      <c r="J820" s="13">
        <v>46166</v>
      </c>
      <c r="K820" s="17" t="s">
        <v>40</v>
      </c>
      <c r="L820" s="13">
        <v>46196</v>
      </c>
      <c r="M820" t="s">
        <v>31</v>
      </c>
      <c r="N820" t="s">
        <v>50</v>
      </c>
      <c r="O820" s="13">
        <v>46179</v>
      </c>
      <c r="P820" s="13">
        <v>46184</v>
      </c>
      <c r="Q820">
        <f t="shared" ca="1" si="60"/>
        <v>23</v>
      </c>
      <c r="R820">
        <f t="shared" si="61"/>
        <v>13</v>
      </c>
      <c r="S820">
        <f t="shared" ca="1" si="62"/>
        <v>7</v>
      </c>
      <c r="T820" t="str">
        <f t="shared" ca="1" si="63"/>
        <v>On Track</v>
      </c>
      <c r="U820" t="str">
        <f t="shared" ca="1" si="64"/>
        <v>Normal</v>
      </c>
      <c r="V820" t="s">
        <v>51</v>
      </c>
    </row>
    <row r="821" spans="1:22">
      <c r="A821" t="s">
        <v>2248</v>
      </c>
      <c r="B821" t="s">
        <v>73</v>
      </c>
      <c r="C821" t="s">
        <v>2249</v>
      </c>
      <c r="D821" s="16">
        <v>90758.35</v>
      </c>
      <c r="E821" t="s">
        <v>111</v>
      </c>
      <c r="F821" t="s">
        <v>38</v>
      </c>
      <c r="H821" t="s">
        <v>121</v>
      </c>
      <c r="I821" t="s">
        <v>122</v>
      </c>
      <c r="J821" s="13">
        <v>46164</v>
      </c>
      <c r="K821" s="17" t="s">
        <v>30</v>
      </c>
      <c r="L821" s="13">
        <v>46179</v>
      </c>
      <c r="M821" t="s">
        <v>145</v>
      </c>
      <c r="N821" t="s">
        <v>32</v>
      </c>
      <c r="O821" s="13">
        <v>46174</v>
      </c>
      <c r="Q821">
        <f t="shared" ca="1" si="60"/>
        <v>25</v>
      </c>
      <c r="R821">
        <f t="shared" si="61"/>
        <v>10</v>
      </c>
      <c r="S821">
        <f t="shared" ca="1" si="62"/>
        <v>-10</v>
      </c>
      <c r="T821" t="str">
        <f t="shared" ca="1" si="63"/>
        <v>On Track</v>
      </c>
      <c r="U821" t="str">
        <f t="shared" ca="1" si="64"/>
        <v>At Risk</v>
      </c>
    </row>
    <row r="822" spans="1:22">
      <c r="A822" t="s">
        <v>2250</v>
      </c>
      <c r="B822" t="s">
        <v>118</v>
      </c>
      <c r="C822" t="s">
        <v>2251</v>
      </c>
      <c r="D822" s="16">
        <v>3536.4</v>
      </c>
      <c r="E822" t="s">
        <v>55</v>
      </c>
      <c r="F822" t="s">
        <v>38</v>
      </c>
      <c r="H822" t="s">
        <v>56</v>
      </c>
      <c r="I822" t="s">
        <v>29</v>
      </c>
      <c r="J822" s="13">
        <v>46152</v>
      </c>
      <c r="K822" s="17" t="s">
        <v>40</v>
      </c>
      <c r="L822" s="13">
        <v>46182</v>
      </c>
      <c r="M822" t="s">
        <v>31</v>
      </c>
      <c r="N822" t="s">
        <v>32</v>
      </c>
      <c r="O822" s="13">
        <v>46155</v>
      </c>
      <c r="P822" s="13">
        <v>46157</v>
      </c>
      <c r="Q822">
        <f t="shared" ca="1" si="60"/>
        <v>37</v>
      </c>
      <c r="R822">
        <f t="shared" si="61"/>
        <v>3</v>
      </c>
      <c r="S822">
        <f t="shared" ca="1" si="62"/>
        <v>-7</v>
      </c>
      <c r="T822" t="str">
        <f t="shared" ca="1" si="63"/>
        <v>On Track</v>
      </c>
      <c r="U822" t="str">
        <f t="shared" ca="1" si="64"/>
        <v>Normal</v>
      </c>
      <c r="V822" t="s">
        <v>33</v>
      </c>
    </row>
    <row r="823" spans="1:22">
      <c r="A823" t="s">
        <v>2252</v>
      </c>
      <c r="B823" t="s">
        <v>109</v>
      </c>
      <c r="C823" t="s">
        <v>2253</v>
      </c>
      <c r="D823" s="16">
        <v>16718.400000000001</v>
      </c>
      <c r="E823" t="s">
        <v>78</v>
      </c>
      <c r="F823" t="s">
        <v>26</v>
      </c>
      <c r="G823" t="s">
        <v>2254</v>
      </c>
      <c r="H823" t="s">
        <v>91</v>
      </c>
      <c r="I823" t="s">
        <v>92</v>
      </c>
      <c r="J823" s="13">
        <v>46156</v>
      </c>
      <c r="K823" s="17" t="s">
        <v>30</v>
      </c>
      <c r="L823" s="13">
        <v>46171</v>
      </c>
      <c r="M823" t="s">
        <v>31</v>
      </c>
      <c r="N823" t="s">
        <v>32</v>
      </c>
      <c r="O823" s="13">
        <v>46162</v>
      </c>
      <c r="P823" s="13">
        <v>46165</v>
      </c>
      <c r="Q823">
        <f t="shared" ca="1" si="60"/>
        <v>33</v>
      </c>
      <c r="R823">
        <f t="shared" si="61"/>
        <v>6</v>
      </c>
      <c r="S823">
        <f t="shared" ca="1" si="62"/>
        <v>-18</v>
      </c>
      <c r="T823" t="str">
        <f t="shared" ca="1" si="63"/>
        <v>On Track</v>
      </c>
      <c r="U823" t="str">
        <f t="shared" ca="1" si="64"/>
        <v>Normal</v>
      </c>
      <c r="V823" t="s">
        <v>33</v>
      </c>
    </row>
    <row r="824" spans="1:22">
      <c r="A824" t="s">
        <v>2255</v>
      </c>
      <c r="B824" t="s">
        <v>53</v>
      </c>
      <c r="C824" t="s">
        <v>2256</v>
      </c>
      <c r="D824" s="16">
        <v>4795.67</v>
      </c>
      <c r="E824" t="s">
        <v>69</v>
      </c>
      <c r="F824" t="s">
        <v>26</v>
      </c>
      <c r="G824" t="s">
        <v>2257</v>
      </c>
      <c r="H824" t="s">
        <v>71</v>
      </c>
      <c r="I824" t="s">
        <v>29</v>
      </c>
      <c r="J824" s="13">
        <v>46166</v>
      </c>
      <c r="K824" s="17" t="s">
        <v>40</v>
      </c>
      <c r="L824" s="13">
        <v>46196</v>
      </c>
      <c r="M824" t="s">
        <v>31</v>
      </c>
      <c r="N824" t="s">
        <v>32</v>
      </c>
      <c r="O824" s="13">
        <v>46172</v>
      </c>
      <c r="P824" s="13">
        <v>46174</v>
      </c>
      <c r="Q824">
        <f t="shared" ca="1" si="60"/>
        <v>23</v>
      </c>
      <c r="R824">
        <f t="shared" si="61"/>
        <v>6</v>
      </c>
      <c r="S824">
        <f t="shared" ca="1" si="62"/>
        <v>7</v>
      </c>
      <c r="T824" t="str">
        <f t="shared" ca="1" si="63"/>
        <v>On Track</v>
      </c>
      <c r="U824" t="str">
        <f t="shared" ca="1" si="64"/>
        <v>Normal</v>
      </c>
      <c r="V824" t="s">
        <v>33</v>
      </c>
    </row>
    <row r="825" spans="1:22">
      <c r="A825" t="s">
        <v>2258</v>
      </c>
      <c r="B825" t="s">
        <v>168</v>
      </c>
      <c r="C825" t="s">
        <v>2259</v>
      </c>
      <c r="D825" s="16">
        <v>2956.76</v>
      </c>
      <c r="E825" t="s">
        <v>142</v>
      </c>
      <c r="F825" t="s">
        <v>26</v>
      </c>
      <c r="G825" t="s">
        <v>2260</v>
      </c>
      <c r="H825" t="s">
        <v>335</v>
      </c>
      <c r="I825" t="s">
        <v>29</v>
      </c>
      <c r="J825" s="13">
        <v>46162</v>
      </c>
      <c r="K825" s="17" t="s">
        <v>40</v>
      </c>
      <c r="L825" s="13">
        <v>46192</v>
      </c>
      <c r="M825" t="s">
        <v>84</v>
      </c>
      <c r="N825" t="s">
        <v>32</v>
      </c>
      <c r="O825" s="13">
        <v>46165</v>
      </c>
      <c r="Q825">
        <f t="shared" ca="1" si="60"/>
        <v>27</v>
      </c>
      <c r="R825">
        <f t="shared" si="61"/>
        <v>3</v>
      </c>
      <c r="S825">
        <f t="shared" ca="1" si="62"/>
        <v>3</v>
      </c>
      <c r="T825" t="str">
        <f t="shared" ca="1" si="63"/>
        <v>On Track</v>
      </c>
      <c r="U825" t="str">
        <f t="shared" ca="1" si="64"/>
        <v>At Risk</v>
      </c>
    </row>
    <row r="826" spans="1:22">
      <c r="A826" t="s">
        <v>2261</v>
      </c>
      <c r="B826" t="s">
        <v>23</v>
      </c>
      <c r="C826" t="s">
        <v>2262</v>
      </c>
      <c r="D826" s="16">
        <v>2121.3200000000002</v>
      </c>
      <c r="E826" t="s">
        <v>302</v>
      </c>
      <c r="F826" t="s">
        <v>26</v>
      </c>
      <c r="G826" t="s">
        <v>2263</v>
      </c>
      <c r="H826" t="s">
        <v>304</v>
      </c>
      <c r="I826" t="s">
        <v>29</v>
      </c>
      <c r="J826" s="13">
        <v>46183</v>
      </c>
      <c r="K826" s="17" t="s">
        <v>30</v>
      </c>
      <c r="L826" s="13">
        <v>46198</v>
      </c>
      <c r="M826" t="s">
        <v>65</v>
      </c>
      <c r="N826" t="s">
        <v>32</v>
      </c>
      <c r="Q826">
        <f t="shared" ca="1" si="60"/>
        <v>6</v>
      </c>
      <c r="R826" t="str">
        <f t="shared" si="61"/>
        <v/>
      </c>
      <c r="S826">
        <f t="shared" ca="1" si="62"/>
        <v>9</v>
      </c>
      <c r="T826" t="str">
        <f t="shared" ca="1" si="63"/>
        <v>On Track</v>
      </c>
      <c r="U826" t="str">
        <f t="shared" ca="1" si="64"/>
        <v>Normal</v>
      </c>
    </row>
    <row r="827" spans="1:22">
      <c r="A827" t="s">
        <v>2264</v>
      </c>
      <c r="B827" t="s">
        <v>168</v>
      </c>
      <c r="C827" t="s">
        <v>2265</v>
      </c>
      <c r="D827" s="16">
        <v>2318.5700000000002</v>
      </c>
      <c r="E827" t="s">
        <v>126</v>
      </c>
      <c r="F827" t="s">
        <v>26</v>
      </c>
      <c r="G827" t="s">
        <v>2266</v>
      </c>
      <c r="H827" t="s">
        <v>241</v>
      </c>
      <c r="I827" t="s">
        <v>29</v>
      </c>
      <c r="J827" s="13">
        <v>46174</v>
      </c>
      <c r="K827" s="17" t="s">
        <v>30</v>
      </c>
      <c r="L827" s="13">
        <v>46189</v>
      </c>
      <c r="M827" t="s">
        <v>99</v>
      </c>
      <c r="N827" t="s">
        <v>32</v>
      </c>
      <c r="O827" s="13">
        <v>46184</v>
      </c>
      <c r="Q827">
        <f t="shared" ca="1" si="60"/>
        <v>15</v>
      </c>
      <c r="R827">
        <f t="shared" si="61"/>
        <v>10</v>
      </c>
      <c r="S827">
        <f t="shared" ca="1" si="62"/>
        <v>0</v>
      </c>
      <c r="T827" t="str">
        <f t="shared" ca="1" si="63"/>
        <v>On Track</v>
      </c>
      <c r="U827" t="str">
        <f t="shared" ca="1" si="64"/>
        <v>At Risk</v>
      </c>
    </row>
    <row r="828" spans="1:22">
      <c r="A828" t="s">
        <v>2267</v>
      </c>
      <c r="B828" t="s">
        <v>23</v>
      </c>
      <c r="C828" t="s">
        <v>2268</v>
      </c>
      <c r="D828" s="16">
        <v>12718.27</v>
      </c>
      <c r="E828" t="s">
        <v>69</v>
      </c>
      <c r="F828" t="s">
        <v>38</v>
      </c>
      <c r="H828" t="s">
        <v>178</v>
      </c>
      <c r="I828" t="s">
        <v>92</v>
      </c>
      <c r="J828" s="13">
        <v>46158</v>
      </c>
      <c r="K828" s="17" t="s">
        <v>49</v>
      </c>
      <c r="L828" s="13">
        <v>46203</v>
      </c>
      <c r="M828" t="s">
        <v>31</v>
      </c>
      <c r="N828" t="s">
        <v>32</v>
      </c>
      <c r="O828" s="13">
        <v>46167</v>
      </c>
      <c r="P828" s="13">
        <v>46168</v>
      </c>
      <c r="Q828">
        <f t="shared" ca="1" si="60"/>
        <v>31</v>
      </c>
      <c r="R828">
        <f t="shared" si="61"/>
        <v>9</v>
      </c>
      <c r="S828">
        <f t="shared" ca="1" si="62"/>
        <v>14</v>
      </c>
      <c r="T828" t="str">
        <f t="shared" ca="1" si="63"/>
        <v>On Track</v>
      </c>
      <c r="U828" t="str">
        <f t="shared" ca="1" si="64"/>
        <v>Normal</v>
      </c>
      <c r="V828" t="s">
        <v>33</v>
      </c>
    </row>
    <row r="829" spans="1:22">
      <c r="A829" t="s">
        <v>2269</v>
      </c>
      <c r="B829" t="s">
        <v>82</v>
      </c>
      <c r="C829" t="s">
        <v>2270</v>
      </c>
      <c r="D829" s="16">
        <v>3846.82</v>
      </c>
      <c r="E829" t="s">
        <v>302</v>
      </c>
      <c r="F829" t="s">
        <v>38</v>
      </c>
      <c r="H829" t="s">
        <v>304</v>
      </c>
      <c r="I829" t="s">
        <v>29</v>
      </c>
      <c r="J829" s="13">
        <v>46177</v>
      </c>
      <c r="K829" s="17" t="s">
        <v>49</v>
      </c>
      <c r="L829" s="13">
        <v>46222</v>
      </c>
      <c r="M829" t="s">
        <v>145</v>
      </c>
      <c r="N829" t="s">
        <v>32</v>
      </c>
      <c r="O829" s="13">
        <v>46187</v>
      </c>
      <c r="Q829">
        <f t="shared" ca="1" si="60"/>
        <v>12</v>
      </c>
      <c r="R829">
        <f t="shared" si="61"/>
        <v>10</v>
      </c>
      <c r="S829">
        <f t="shared" ca="1" si="62"/>
        <v>33</v>
      </c>
      <c r="T829" t="str">
        <f t="shared" ca="1" si="63"/>
        <v>On Track</v>
      </c>
      <c r="U829" t="str">
        <f t="shared" ca="1" si="64"/>
        <v>Normal</v>
      </c>
    </row>
    <row r="830" spans="1:22">
      <c r="A830" t="s">
        <v>2271</v>
      </c>
      <c r="B830" t="s">
        <v>172</v>
      </c>
      <c r="C830" t="s">
        <v>2272</v>
      </c>
      <c r="D830" s="16">
        <v>4019.9</v>
      </c>
      <c r="E830" t="s">
        <v>37</v>
      </c>
      <c r="F830" t="s">
        <v>38</v>
      </c>
      <c r="H830" t="s">
        <v>39</v>
      </c>
      <c r="I830" t="s">
        <v>29</v>
      </c>
      <c r="J830" s="13">
        <v>46180</v>
      </c>
      <c r="K830" s="17" t="s">
        <v>40</v>
      </c>
      <c r="L830" s="13">
        <v>46210</v>
      </c>
      <c r="M830" t="s">
        <v>65</v>
      </c>
      <c r="N830" t="s">
        <v>32</v>
      </c>
      <c r="Q830">
        <f t="shared" ca="1" si="60"/>
        <v>9</v>
      </c>
      <c r="R830" t="str">
        <f t="shared" si="61"/>
        <v/>
      </c>
      <c r="S830">
        <f t="shared" ca="1" si="62"/>
        <v>21</v>
      </c>
      <c r="T830" t="str">
        <f t="shared" ca="1" si="63"/>
        <v>On Track</v>
      </c>
      <c r="U830" t="str">
        <f t="shared" ca="1" si="64"/>
        <v>Normal</v>
      </c>
    </row>
    <row r="831" spans="1:22">
      <c r="A831" t="s">
        <v>2273</v>
      </c>
      <c r="B831" t="s">
        <v>271</v>
      </c>
      <c r="C831" t="s">
        <v>2274</v>
      </c>
      <c r="D831" s="16">
        <v>3480.61</v>
      </c>
      <c r="E831" t="s">
        <v>55</v>
      </c>
      <c r="F831" t="s">
        <v>26</v>
      </c>
      <c r="G831" t="s">
        <v>2275</v>
      </c>
      <c r="H831" t="s">
        <v>56</v>
      </c>
      <c r="I831" t="s">
        <v>29</v>
      </c>
      <c r="J831" s="13">
        <v>46184</v>
      </c>
      <c r="K831" s="17" t="s">
        <v>40</v>
      </c>
      <c r="L831" s="13">
        <v>46214</v>
      </c>
      <c r="M831" t="s">
        <v>65</v>
      </c>
      <c r="N831" t="s">
        <v>50</v>
      </c>
      <c r="Q831">
        <f t="shared" ca="1" si="60"/>
        <v>5</v>
      </c>
      <c r="R831" t="str">
        <f t="shared" si="61"/>
        <v/>
      </c>
      <c r="S831">
        <f t="shared" ca="1" si="62"/>
        <v>25</v>
      </c>
      <c r="T831" t="str">
        <f t="shared" ca="1" si="63"/>
        <v>On Track</v>
      </c>
      <c r="U831" t="str">
        <f t="shared" ca="1" si="64"/>
        <v>Normal</v>
      </c>
      <c r="V831" t="s">
        <v>51</v>
      </c>
    </row>
    <row r="832" spans="1:22">
      <c r="A832" t="s">
        <v>2276</v>
      </c>
      <c r="B832" t="s">
        <v>172</v>
      </c>
      <c r="C832" t="s">
        <v>2277</v>
      </c>
      <c r="D832" s="16">
        <v>2240.27</v>
      </c>
      <c r="E832" t="s">
        <v>25</v>
      </c>
      <c r="F832" t="s">
        <v>38</v>
      </c>
      <c r="H832" t="s">
        <v>28</v>
      </c>
      <c r="I832" t="s">
        <v>29</v>
      </c>
      <c r="J832" s="13">
        <v>46181</v>
      </c>
      <c r="K832" s="17" t="s">
        <v>57</v>
      </c>
      <c r="L832" s="13">
        <v>46211</v>
      </c>
      <c r="M832" t="s">
        <v>99</v>
      </c>
      <c r="N832" t="s">
        <v>32</v>
      </c>
      <c r="O832" s="13">
        <v>46189</v>
      </c>
      <c r="Q832">
        <f t="shared" ca="1" si="60"/>
        <v>8</v>
      </c>
      <c r="R832">
        <f t="shared" si="61"/>
        <v>8</v>
      </c>
      <c r="S832">
        <f t="shared" ca="1" si="62"/>
        <v>22</v>
      </c>
      <c r="T832" t="str">
        <f t="shared" ca="1" si="63"/>
        <v>On Track</v>
      </c>
      <c r="U832" t="str">
        <f t="shared" ca="1" si="64"/>
        <v>Normal</v>
      </c>
    </row>
    <row r="833" spans="1:22">
      <c r="A833" t="s">
        <v>2278</v>
      </c>
      <c r="B833" t="s">
        <v>124</v>
      </c>
      <c r="C833" t="s">
        <v>2279</v>
      </c>
      <c r="D833" s="16">
        <v>1879.45</v>
      </c>
      <c r="E833" t="s">
        <v>111</v>
      </c>
      <c r="F833" t="s">
        <v>26</v>
      </c>
      <c r="G833" t="s">
        <v>2280</v>
      </c>
      <c r="H833" t="s">
        <v>113</v>
      </c>
      <c r="I833" t="s">
        <v>29</v>
      </c>
      <c r="J833" s="13">
        <v>46158</v>
      </c>
      <c r="K833" s="17" t="s">
        <v>49</v>
      </c>
      <c r="L833" s="13">
        <v>46203</v>
      </c>
      <c r="M833" t="s">
        <v>31</v>
      </c>
      <c r="N833" t="s">
        <v>32</v>
      </c>
      <c r="O833" s="13">
        <v>46162</v>
      </c>
      <c r="P833" s="13">
        <v>46169</v>
      </c>
      <c r="Q833">
        <f t="shared" ca="1" si="60"/>
        <v>31</v>
      </c>
      <c r="R833">
        <f t="shared" si="61"/>
        <v>4</v>
      </c>
      <c r="S833">
        <f t="shared" ca="1" si="62"/>
        <v>14</v>
      </c>
      <c r="T833" t="str">
        <f t="shared" ca="1" si="63"/>
        <v>On Track</v>
      </c>
      <c r="U833" t="str">
        <f t="shared" ca="1" si="64"/>
        <v>Normal</v>
      </c>
      <c r="V833" t="s">
        <v>33</v>
      </c>
    </row>
    <row r="834" spans="1:22">
      <c r="A834" t="s">
        <v>2281</v>
      </c>
      <c r="B834" t="s">
        <v>208</v>
      </c>
      <c r="C834" t="s">
        <v>2282</v>
      </c>
      <c r="D834" s="16">
        <v>1501.09</v>
      </c>
      <c r="E834" t="s">
        <v>156</v>
      </c>
      <c r="F834" t="s">
        <v>38</v>
      </c>
      <c r="H834" t="s">
        <v>157</v>
      </c>
      <c r="I834" t="s">
        <v>29</v>
      </c>
      <c r="J834" s="13">
        <v>46184</v>
      </c>
      <c r="K834" s="17" t="s">
        <v>30</v>
      </c>
      <c r="L834" s="13">
        <v>46199</v>
      </c>
      <c r="M834" t="s">
        <v>41</v>
      </c>
      <c r="N834" t="s">
        <v>32</v>
      </c>
      <c r="Q834">
        <f t="shared" ref="Q834:Q897" ca="1" si="65">IF(J834="","",TODAY()-J834)</f>
        <v>5</v>
      </c>
      <c r="R834" t="str">
        <f t="shared" ref="R834:R897" si="66">IF(O834="","",O834-J834)</f>
        <v/>
      </c>
      <c r="S834">
        <f t="shared" ref="S834:S897" ca="1" si="67">IF(L834="","",L834-TODAY())</f>
        <v>10</v>
      </c>
      <c r="T834" t="str">
        <f t="shared" ref="T834:T897" ca="1" si="68">IF(AND(M834="Pending Approval",Q834&gt;5),"Overdue","On Track")</f>
        <v>On Track</v>
      </c>
      <c r="U834" t="str">
        <f t="shared" ref="U834:U897" ca="1" si="69">IF(AND(M834&lt;&gt;"Paid",S834&lt;=5),"At Risk","Normal")</f>
        <v>Normal</v>
      </c>
      <c r="V834" t="s">
        <v>42</v>
      </c>
    </row>
    <row r="835" spans="1:22">
      <c r="A835" t="s">
        <v>2283</v>
      </c>
      <c r="B835" t="s">
        <v>53</v>
      </c>
      <c r="C835" t="s">
        <v>2284</v>
      </c>
      <c r="D835" s="16">
        <v>1442.08</v>
      </c>
      <c r="E835" t="s">
        <v>25</v>
      </c>
      <c r="F835" t="s">
        <v>26</v>
      </c>
      <c r="G835" t="s">
        <v>2285</v>
      </c>
      <c r="H835" t="s">
        <v>28</v>
      </c>
      <c r="I835" t="s">
        <v>29</v>
      </c>
      <c r="J835" s="13">
        <v>46175</v>
      </c>
      <c r="K835" s="17" t="s">
        <v>49</v>
      </c>
      <c r="L835" s="13">
        <v>46220</v>
      </c>
      <c r="M835" t="s">
        <v>99</v>
      </c>
      <c r="N835" t="s">
        <v>213</v>
      </c>
      <c r="O835" s="13">
        <v>46189</v>
      </c>
      <c r="Q835">
        <f t="shared" ca="1" si="65"/>
        <v>14</v>
      </c>
      <c r="R835">
        <f t="shared" si="66"/>
        <v>14</v>
      </c>
      <c r="S835">
        <f t="shared" ca="1" si="67"/>
        <v>31</v>
      </c>
      <c r="T835" t="str">
        <f t="shared" ca="1" si="68"/>
        <v>On Track</v>
      </c>
      <c r="U835" t="str">
        <f t="shared" ca="1" si="69"/>
        <v>Normal</v>
      </c>
      <c r="V835" t="s">
        <v>214</v>
      </c>
    </row>
    <row r="836" spans="1:22">
      <c r="A836" t="s">
        <v>2286</v>
      </c>
      <c r="B836" t="s">
        <v>168</v>
      </c>
      <c r="C836" t="s">
        <v>2287</v>
      </c>
      <c r="D836" s="16">
        <v>3096.86</v>
      </c>
      <c r="E836" t="s">
        <v>25</v>
      </c>
      <c r="F836" t="s">
        <v>26</v>
      </c>
      <c r="G836" t="s">
        <v>2288</v>
      </c>
      <c r="H836" t="s">
        <v>28</v>
      </c>
      <c r="I836" t="s">
        <v>29</v>
      </c>
      <c r="J836" s="13">
        <v>46168</v>
      </c>
      <c r="K836" s="17" t="s">
        <v>49</v>
      </c>
      <c r="L836" s="13">
        <v>46213</v>
      </c>
      <c r="M836" t="s">
        <v>99</v>
      </c>
      <c r="N836" t="s">
        <v>32</v>
      </c>
      <c r="O836" s="13">
        <v>46179</v>
      </c>
      <c r="Q836">
        <f t="shared" ca="1" si="65"/>
        <v>21</v>
      </c>
      <c r="R836">
        <f t="shared" si="66"/>
        <v>11</v>
      </c>
      <c r="S836">
        <f t="shared" ca="1" si="67"/>
        <v>24</v>
      </c>
      <c r="T836" t="str">
        <f t="shared" ca="1" si="68"/>
        <v>On Track</v>
      </c>
      <c r="U836" t="str">
        <f t="shared" ca="1" si="69"/>
        <v>Normal</v>
      </c>
    </row>
    <row r="837" spans="1:22">
      <c r="A837" t="s">
        <v>2289</v>
      </c>
      <c r="B837" t="s">
        <v>151</v>
      </c>
      <c r="C837" t="s">
        <v>2290</v>
      </c>
      <c r="D837" s="16">
        <v>17863.490000000002</v>
      </c>
      <c r="E837" t="s">
        <v>302</v>
      </c>
      <c r="F837" t="s">
        <v>38</v>
      </c>
      <c r="H837" t="s">
        <v>429</v>
      </c>
      <c r="I837" t="s">
        <v>92</v>
      </c>
      <c r="J837" s="13">
        <v>46146</v>
      </c>
      <c r="K837" s="17" t="s">
        <v>30</v>
      </c>
      <c r="L837" s="13">
        <v>46161</v>
      </c>
      <c r="M837" t="s">
        <v>31</v>
      </c>
      <c r="N837" t="s">
        <v>100</v>
      </c>
      <c r="O837" s="13">
        <v>46170</v>
      </c>
      <c r="P837" s="13">
        <v>46171</v>
      </c>
      <c r="Q837">
        <f t="shared" ca="1" si="65"/>
        <v>43</v>
      </c>
      <c r="R837">
        <f t="shared" si="66"/>
        <v>24</v>
      </c>
      <c r="S837">
        <f t="shared" ca="1" si="67"/>
        <v>-28</v>
      </c>
      <c r="T837" t="str">
        <f t="shared" ca="1" si="68"/>
        <v>On Track</v>
      </c>
      <c r="U837" t="str">
        <f t="shared" ca="1" si="69"/>
        <v>Normal</v>
      </c>
      <c r="V837" t="s">
        <v>101</v>
      </c>
    </row>
    <row r="838" spans="1:22">
      <c r="A838" t="s">
        <v>2291</v>
      </c>
      <c r="B838" t="s">
        <v>35</v>
      </c>
      <c r="C838" t="s">
        <v>2292</v>
      </c>
      <c r="D838" s="16">
        <v>803.25</v>
      </c>
      <c r="E838" t="s">
        <v>69</v>
      </c>
      <c r="F838" t="s">
        <v>38</v>
      </c>
      <c r="H838" t="s">
        <v>71</v>
      </c>
      <c r="I838" t="s">
        <v>29</v>
      </c>
      <c r="J838" s="13">
        <v>46178</v>
      </c>
      <c r="K838" s="17" t="s">
        <v>30</v>
      </c>
      <c r="L838" s="13">
        <v>46193</v>
      </c>
      <c r="M838" t="s">
        <v>31</v>
      </c>
      <c r="N838" t="s">
        <v>32</v>
      </c>
      <c r="O838" s="13">
        <v>46185</v>
      </c>
      <c r="P838" s="13">
        <v>46194</v>
      </c>
      <c r="Q838">
        <f t="shared" ca="1" si="65"/>
        <v>11</v>
      </c>
      <c r="R838">
        <f t="shared" si="66"/>
        <v>7</v>
      </c>
      <c r="S838">
        <f t="shared" ca="1" si="67"/>
        <v>4</v>
      </c>
      <c r="T838" t="str">
        <f t="shared" ca="1" si="68"/>
        <v>On Track</v>
      </c>
      <c r="U838" t="str">
        <f t="shared" ca="1" si="69"/>
        <v>Normal</v>
      </c>
      <c r="V838" t="s">
        <v>107</v>
      </c>
    </row>
    <row r="839" spans="1:22">
      <c r="A839" t="s">
        <v>2293</v>
      </c>
      <c r="B839" t="s">
        <v>73</v>
      </c>
      <c r="C839" t="s">
        <v>2294</v>
      </c>
      <c r="D839" s="16">
        <v>3561.23</v>
      </c>
      <c r="E839" t="s">
        <v>46</v>
      </c>
      <c r="F839" t="s">
        <v>38</v>
      </c>
      <c r="H839" t="s">
        <v>48</v>
      </c>
      <c r="I839" t="s">
        <v>29</v>
      </c>
      <c r="J839" s="13">
        <v>46161</v>
      </c>
      <c r="K839" s="17" t="s">
        <v>49</v>
      </c>
      <c r="L839" s="13">
        <v>46206</v>
      </c>
      <c r="M839" t="s">
        <v>31</v>
      </c>
      <c r="N839" t="s">
        <v>32</v>
      </c>
      <c r="O839" s="13">
        <v>46170</v>
      </c>
      <c r="P839" s="13">
        <v>46177</v>
      </c>
      <c r="Q839">
        <f t="shared" ca="1" si="65"/>
        <v>28</v>
      </c>
      <c r="R839">
        <f t="shared" si="66"/>
        <v>9</v>
      </c>
      <c r="S839">
        <f t="shared" ca="1" si="67"/>
        <v>17</v>
      </c>
      <c r="T839" t="str">
        <f t="shared" ca="1" si="68"/>
        <v>On Track</v>
      </c>
      <c r="U839" t="str">
        <f t="shared" ca="1" si="69"/>
        <v>Normal</v>
      </c>
      <c r="V839" t="s">
        <v>33</v>
      </c>
    </row>
    <row r="840" spans="1:22">
      <c r="A840" t="s">
        <v>2295</v>
      </c>
      <c r="B840" t="s">
        <v>168</v>
      </c>
      <c r="C840" t="s">
        <v>2296</v>
      </c>
      <c r="D840" s="16">
        <v>89603.19</v>
      </c>
      <c r="E840" t="s">
        <v>78</v>
      </c>
      <c r="F840" t="s">
        <v>26</v>
      </c>
      <c r="G840" t="s">
        <v>2297</v>
      </c>
      <c r="H840" t="s">
        <v>121</v>
      </c>
      <c r="I840" t="s">
        <v>122</v>
      </c>
      <c r="J840" s="13">
        <v>46187</v>
      </c>
      <c r="K840" s="17" t="s">
        <v>49</v>
      </c>
      <c r="L840" s="13">
        <v>46232</v>
      </c>
      <c r="M840" t="s">
        <v>145</v>
      </c>
      <c r="N840" t="s">
        <v>100</v>
      </c>
      <c r="O840" s="13">
        <v>46189</v>
      </c>
      <c r="Q840">
        <f t="shared" ca="1" si="65"/>
        <v>2</v>
      </c>
      <c r="R840">
        <f t="shared" si="66"/>
        <v>2</v>
      </c>
      <c r="S840">
        <f t="shared" ca="1" si="67"/>
        <v>43</v>
      </c>
      <c r="T840" t="str">
        <f t="shared" ca="1" si="68"/>
        <v>On Track</v>
      </c>
      <c r="U840" t="str">
        <f t="shared" ca="1" si="69"/>
        <v>Normal</v>
      </c>
      <c r="V840" t="s">
        <v>101</v>
      </c>
    </row>
    <row r="841" spans="1:22">
      <c r="A841" t="s">
        <v>2298</v>
      </c>
      <c r="B841" t="s">
        <v>151</v>
      </c>
      <c r="C841" t="s">
        <v>2299</v>
      </c>
      <c r="D841" s="16">
        <v>23598.36</v>
      </c>
      <c r="E841" t="s">
        <v>46</v>
      </c>
      <c r="F841" t="s">
        <v>26</v>
      </c>
      <c r="G841" t="s">
        <v>2300</v>
      </c>
      <c r="H841" t="s">
        <v>161</v>
      </c>
      <c r="I841" t="s">
        <v>92</v>
      </c>
      <c r="J841" s="13">
        <v>46172</v>
      </c>
      <c r="K841" s="17" t="s">
        <v>40</v>
      </c>
      <c r="L841" s="13">
        <v>46202</v>
      </c>
      <c r="M841" t="s">
        <v>41</v>
      </c>
      <c r="N841" t="s">
        <v>32</v>
      </c>
      <c r="Q841">
        <f t="shared" ca="1" si="65"/>
        <v>17</v>
      </c>
      <c r="R841" t="str">
        <f t="shared" si="66"/>
        <v/>
      </c>
      <c r="S841">
        <f t="shared" ca="1" si="67"/>
        <v>13</v>
      </c>
      <c r="T841" t="str">
        <f t="shared" ca="1" si="68"/>
        <v>Overdue</v>
      </c>
      <c r="U841" t="str">
        <f t="shared" ca="1" si="69"/>
        <v>Normal</v>
      </c>
      <c r="V841" t="s">
        <v>42</v>
      </c>
    </row>
    <row r="842" spans="1:22">
      <c r="A842" t="s">
        <v>2301</v>
      </c>
      <c r="B842" t="s">
        <v>53</v>
      </c>
      <c r="C842" t="s">
        <v>2302</v>
      </c>
      <c r="D842" s="16">
        <v>1158.73</v>
      </c>
      <c r="E842" t="s">
        <v>37</v>
      </c>
      <c r="F842" t="s">
        <v>26</v>
      </c>
      <c r="G842" t="s">
        <v>2303</v>
      </c>
      <c r="H842" t="s">
        <v>39</v>
      </c>
      <c r="I842" t="s">
        <v>29</v>
      </c>
      <c r="J842" s="13">
        <v>46184</v>
      </c>
      <c r="K842" s="17" t="s">
        <v>30</v>
      </c>
      <c r="L842" s="13">
        <v>46199</v>
      </c>
      <c r="M842" t="s">
        <v>99</v>
      </c>
      <c r="N842" t="s">
        <v>32</v>
      </c>
      <c r="O842" s="13">
        <v>46185</v>
      </c>
      <c r="Q842">
        <f t="shared" ca="1" si="65"/>
        <v>5</v>
      </c>
      <c r="R842">
        <f t="shared" si="66"/>
        <v>1</v>
      </c>
      <c r="S842">
        <f t="shared" ca="1" si="67"/>
        <v>10</v>
      </c>
      <c r="T842" t="str">
        <f t="shared" ca="1" si="68"/>
        <v>On Track</v>
      </c>
      <c r="U842" t="str">
        <f t="shared" ca="1" si="69"/>
        <v>Normal</v>
      </c>
    </row>
    <row r="843" spans="1:22">
      <c r="A843" t="s">
        <v>2304</v>
      </c>
      <c r="B843" t="s">
        <v>115</v>
      </c>
      <c r="C843" t="s">
        <v>2305</v>
      </c>
      <c r="D843" s="16">
        <v>4011.42</v>
      </c>
      <c r="E843" t="s">
        <v>55</v>
      </c>
      <c r="F843" t="s">
        <v>38</v>
      </c>
      <c r="H843" t="s">
        <v>56</v>
      </c>
      <c r="I843" t="s">
        <v>29</v>
      </c>
      <c r="J843" s="13">
        <v>46177</v>
      </c>
      <c r="K843" s="17" t="s">
        <v>49</v>
      </c>
      <c r="L843" s="13">
        <v>46222</v>
      </c>
      <c r="M843" t="s">
        <v>99</v>
      </c>
      <c r="N843" t="s">
        <v>50</v>
      </c>
      <c r="O843" s="13">
        <v>46189</v>
      </c>
      <c r="Q843">
        <f t="shared" ca="1" si="65"/>
        <v>12</v>
      </c>
      <c r="R843">
        <f t="shared" si="66"/>
        <v>12</v>
      </c>
      <c r="S843">
        <f t="shared" ca="1" si="67"/>
        <v>33</v>
      </c>
      <c r="T843" t="str">
        <f t="shared" ca="1" si="68"/>
        <v>On Track</v>
      </c>
      <c r="U843" t="str">
        <f t="shared" ca="1" si="69"/>
        <v>Normal</v>
      </c>
      <c r="V843" t="s">
        <v>51</v>
      </c>
    </row>
    <row r="844" spans="1:22">
      <c r="A844" t="s">
        <v>2306</v>
      </c>
      <c r="B844" t="s">
        <v>103</v>
      </c>
      <c r="C844" t="s">
        <v>2307</v>
      </c>
      <c r="D844" s="16">
        <v>1680.76</v>
      </c>
      <c r="E844" t="s">
        <v>142</v>
      </c>
      <c r="F844" t="s">
        <v>26</v>
      </c>
      <c r="G844" t="s">
        <v>2308</v>
      </c>
      <c r="H844" t="s">
        <v>335</v>
      </c>
      <c r="I844" t="s">
        <v>29</v>
      </c>
      <c r="J844" s="13">
        <v>46144</v>
      </c>
      <c r="K844" s="17" t="s">
        <v>49</v>
      </c>
      <c r="L844" s="13">
        <v>46189</v>
      </c>
      <c r="M844" t="s">
        <v>41</v>
      </c>
      <c r="N844" t="s">
        <v>32</v>
      </c>
      <c r="Q844">
        <f t="shared" ca="1" si="65"/>
        <v>45</v>
      </c>
      <c r="R844" t="str">
        <f t="shared" si="66"/>
        <v/>
      </c>
      <c r="S844">
        <f t="shared" ca="1" si="67"/>
        <v>0</v>
      </c>
      <c r="T844" t="str">
        <f t="shared" ca="1" si="68"/>
        <v>Overdue</v>
      </c>
      <c r="U844" t="str">
        <f t="shared" ca="1" si="69"/>
        <v>At Risk</v>
      </c>
      <c r="V844" t="s">
        <v>42</v>
      </c>
    </row>
    <row r="845" spans="1:22">
      <c r="A845" t="s">
        <v>2309</v>
      </c>
      <c r="B845" t="s">
        <v>137</v>
      </c>
      <c r="C845" t="s">
        <v>2310</v>
      </c>
      <c r="D845" s="16">
        <v>1215.4000000000001</v>
      </c>
      <c r="E845" t="s">
        <v>55</v>
      </c>
      <c r="F845" t="s">
        <v>26</v>
      </c>
      <c r="G845" t="s">
        <v>2311</v>
      </c>
      <c r="H845" t="s">
        <v>56</v>
      </c>
      <c r="I845" t="s">
        <v>29</v>
      </c>
      <c r="J845" s="13">
        <v>46161</v>
      </c>
      <c r="K845" s="17" t="s">
        <v>30</v>
      </c>
      <c r="L845" s="13">
        <v>46176</v>
      </c>
      <c r="M845" t="s">
        <v>31</v>
      </c>
      <c r="N845" t="s">
        <v>32</v>
      </c>
      <c r="O845" s="13">
        <v>46168</v>
      </c>
      <c r="P845" s="13">
        <v>46179</v>
      </c>
      <c r="Q845">
        <f t="shared" ca="1" si="65"/>
        <v>28</v>
      </c>
      <c r="R845">
        <f t="shared" si="66"/>
        <v>7</v>
      </c>
      <c r="S845">
        <f t="shared" ca="1" si="67"/>
        <v>-13</v>
      </c>
      <c r="T845" t="str">
        <f t="shared" ca="1" si="68"/>
        <v>On Track</v>
      </c>
      <c r="U845" t="str">
        <f t="shared" ca="1" si="69"/>
        <v>Normal</v>
      </c>
      <c r="V845" t="s">
        <v>107</v>
      </c>
    </row>
    <row r="846" spans="1:22">
      <c r="A846" t="s">
        <v>2312</v>
      </c>
      <c r="B846" t="s">
        <v>73</v>
      </c>
      <c r="C846" t="s">
        <v>2313</v>
      </c>
      <c r="D846" s="16">
        <v>3902.4</v>
      </c>
      <c r="E846" t="s">
        <v>126</v>
      </c>
      <c r="F846" t="s">
        <v>26</v>
      </c>
      <c r="G846" t="s">
        <v>2314</v>
      </c>
      <c r="H846" t="s">
        <v>241</v>
      </c>
      <c r="I846" t="s">
        <v>29</v>
      </c>
      <c r="J846" s="13">
        <v>46170</v>
      </c>
      <c r="K846" s="17" t="s">
        <v>30</v>
      </c>
      <c r="L846" s="13">
        <v>46185</v>
      </c>
      <c r="M846" t="s">
        <v>41</v>
      </c>
      <c r="N846" t="s">
        <v>32</v>
      </c>
      <c r="Q846">
        <f t="shared" ca="1" si="65"/>
        <v>19</v>
      </c>
      <c r="R846" t="str">
        <f t="shared" si="66"/>
        <v/>
      </c>
      <c r="S846">
        <f t="shared" ca="1" si="67"/>
        <v>-4</v>
      </c>
      <c r="T846" t="str">
        <f t="shared" ca="1" si="68"/>
        <v>Overdue</v>
      </c>
      <c r="U846" t="str">
        <f t="shared" ca="1" si="69"/>
        <v>At Risk</v>
      </c>
      <c r="V846" t="s">
        <v>42</v>
      </c>
    </row>
    <row r="847" spans="1:22">
      <c r="A847" t="s">
        <v>2315</v>
      </c>
      <c r="B847" t="s">
        <v>208</v>
      </c>
      <c r="C847" t="s">
        <v>2316</v>
      </c>
      <c r="D847" s="16">
        <v>1546.92</v>
      </c>
      <c r="E847" t="s">
        <v>126</v>
      </c>
      <c r="F847" t="s">
        <v>38</v>
      </c>
      <c r="H847" t="s">
        <v>241</v>
      </c>
      <c r="I847" t="s">
        <v>29</v>
      </c>
      <c r="J847" s="13">
        <v>46180</v>
      </c>
      <c r="K847" s="17" t="s">
        <v>30</v>
      </c>
      <c r="L847" s="13">
        <v>46195</v>
      </c>
      <c r="M847" t="s">
        <v>65</v>
      </c>
      <c r="N847" t="s">
        <v>213</v>
      </c>
      <c r="Q847">
        <f t="shared" ca="1" si="65"/>
        <v>9</v>
      </c>
      <c r="R847" t="str">
        <f t="shared" si="66"/>
        <v/>
      </c>
      <c r="S847">
        <f t="shared" ca="1" si="67"/>
        <v>6</v>
      </c>
      <c r="T847" t="str">
        <f t="shared" ca="1" si="68"/>
        <v>On Track</v>
      </c>
      <c r="U847" t="str">
        <f t="shared" ca="1" si="69"/>
        <v>Normal</v>
      </c>
      <c r="V847" t="s">
        <v>214</v>
      </c>
    </row>
    <row r="848" spans="1:22">
      <c r="A848" t="s">
        <v>2317</v>
      </c>
      <c r="B848" t="s">
        <v>67</v>
      </c>
      <c r="C848" t="s">
        <v>2318</v>
      </c>
      <c r="D848" s="16">
        <v>3183.73</v>
      </c>
      <c r="E848" t="s">
        <v>78</v>
      </c>
      <c r="F848" t="s">
        <v>26</v>
      </c>
      <c r="G848" t="s">
        <v>2319</v>
      </c>
      <c r="H848" t="s">
        <v>80</v>
      </c>
      <c r="I848" t="s">
        <v>29</v>
      </c>
      <c r="J848" s="13">
        <v>46170</v>
      </c>
      <c r="K848" s="17" t="s">
        <v>49</v>
      </c>
      <c r="L848" s="13">
        <v>46215</v>
      </c>
      <c r="M848" t="s">
        <v>99</v>
      </c>
      <c r="N848" t="s">
        <v>32</v>
      </c>
      <c r="O848" s="13">
        <v>46176</v>
      </c>
      <c r="Q848">
        <f t="shared" ca="1" si="65"/>
        <v>19</v>
      </c>
      <c r="R848">
        <f t="shared" si="66"/>
        <v>6</v>
      </c>
      <c r="S848">
        <f t="shared" ca="1" si="67"/>
        <v>26</v>
      </c>
      <c r="T848" t="str">
        <f t="shared" ca="1" si="68"/>
        <v>On Track</v>
      </c>
      <c r="U848" t="str">
        <f t="shared" ca="1" si="69"/>
        <v>Normal</v>
      </c>
    </row>
    <row r="849" spans="1:22">
      <c r="A849" t="s">
        <v>2320</v>
      </c>
      <c r="B849" t="s">
        <v>73</v>
      </c>
      <c r="C849" t="s">
        <v>2321</v>
      </c>
      <c r="D849" s="16">
        <v>2039.64</v>
      </c>
      <c r="E849" t="s">
        <v>62</v>
      </c>
      <c r="F849" t="s">
        <v>38</v>
      </c>
      <c r="H849" t="s">
        <v>64</v>
      </c>
      <c r="I849" t="s">
        <v>29</v>
      </c>
      <c r="J849" s="13">
        <v>46173</v>
      </c>
      <c r="K849" s="17" t="s">
        <v>40</v>
      </c>
      <c r="L849" s="13">
        <v>46203</v>
      </c>
      <c r="M849" t="s">
        <v>31</v>
      </c>
      <c r="N849" t="s">
        <v>50</v>
      </c>
      <c r="O849" s="13">
        <v>46187</v>
      </c>
      <c r="P849" s="13">
        <v>46189</v>
      </c>
      <c r="Q849">
        <f t="shared" ca="1" si="65"/>
        <v>16</v>
      </c>
      <c r="R849">
        <f t="shared" si="66"/>
        <v>14</v>
      </c>
      <c r="S849">
        <f t="shared" ca="1" si="67"/>
        <v>14</v>
      </c>
      <c r="T849" t="str">
        <f t="shared" ca="1" si="68"/>
        <v>On Track</v>
      </c>
      <c r="U849" t="str">
        <f t="shared" ca="1" si="69"/>
        <v>Normal</v>
      </c>
      <c r="V849" t="s">
        <v>51</v>
      </c>
    </row>
    <row r="850" spans="1:22">
      <c r="A850" t="s">
        <v>2322</v>
      </c>
      <c r="B850" t="s">
        <v>94</v>
      </c>
      <c r="C850" t="s">
        <v>2323</v>
      </c>
      <c r="D850" s="16">
        <v>1719.01</v>
      </c>
      <c r="E850" t="s">
        <v>46</v>
      </c>
      <c r="F850" t="s">
        <v>38</v>
      </c>
      <c r="H850" t="s">
        <v>48</v>
      </c>
      <c r="I850" t="s">
        <v>29</v>
      </c>
      <c r="J850" s="13">
        <v>46171</v>
      </c>
      <c r="K850" s="17" t="s">
        <v>57</v>
      </c>
      <c r="L850" s="13">
        <v>46201</v>
      </c>
      <c r="M850" t="s">
        <v>65</v>
      </c>
      <c r="N850" t="s">
        <v>32</v>
      </c>
      <c r="Q850">
        <f t="shared" ca="1" si="65"/>
        <v>18</v>
      </c>
      <c r="R850" t="str">
        <f t="shared" si="66"/>
        <v/>
      </c>
      <c r="S850">
        <f t="shared" ca="1" si="67"/>
        <v>12</v>
      </c>
      <c r="T850" t="str">
        <f t="shared" ca="1" si="68"/>
        <v>On Track</v>
      </c>
      <c r="U850" t="str">
        <f t="shared" ca="1" si="69"/>
        <v>Normal</v>
      </c>
    </row>
    <row r="851" spans="1:22">
      <c r="A851" t="s">
        <v>2324</v>
      </c>
      <c r="B851" t="s">
        <v>44</v>
      </c>
      <c r="C851" t="s">
        <v>2325</v>
      </c>
      <c r="D851" s="16">
        <v>4559.51</v>
      </c>
      <c r="E851" t="s">
        <v>302</v>
      </c>
      <c r="F851" t="s">
        <v>26</v>
      </c>
      <c r="G851" t="s">
        <v>2326</v>
      </c>
      <c r="H851" t="s">
        <v>304</v>
      </c>
      <c r="I851" t="s">
        <v>29</v>
      </c>
      <c r="J851" s="13">
        <v>46188</v>
      </c>
      <c r="K851" s="17" t="s">
        <v>40</v>
      </c>
      <c r="L851" s="13">
        <v>46218</v>
      </c>
      <c r="M851" t="s">
        <v>99</v>
      </c>
      <c r="N851" t="s">
        <v>32</v>
      </c>
      <c r="O851" s="13">
        <v>46189</v>
      </c>
      <c r="Q851">
        <f t="shared" ca="1" si="65"/>
        <v>1</v>
      </c>
      <c r="R851">
        <f t="shared" si="66"/>
        <v>1</v>
      </c>
      <c r="S851">
        <f t="shared" ca="1" si="67"/>
        <v>29</v>
      </c>
      <c r="T851" t="str">
        <f t="shared" ca="1" si="68"/>
        <v>On Track</v>
      </c>
      <c r="U851" t="str">
        <f t="shared" ca="1" si="69"/>
        <v>Normal</v>
      </c>
    </row>
    <row r="852" spans="1:22">
      <c r="A852" t="s">
        <v>2327</v>
      </c>
      <c r="B852" t="s">
        <v>124</v>
      </c>
      <c r="C852" t="s">
        <v>2328</v>
      </c>
      <c r="D852" s="16">
        <v>4171.62</v>
      </c>
      <c r="E852" t="s">
        <v>25</v>
      </c>
      <c r="F852" t="s">
        <v>38</v>
      </c>
      <c r="H852" t="s">
        <v>28</v>
      </c>
      <c r="I852" t="s">
        <v>29</v>
      </c>
      <c r="J852" s="13">
        <v>46170</v>
      </c>
      <c r="K852" s="17" t="s">
        <v>40</v>
      </c>
      <c r="L852" s="13">
        <v>46200</v>
      </c>
      <c r="M852" t="s">
        <v>41</v>
      </c>
      <c r="N852" t="s">
        <v>32</v>
      </c>
      <c r="Q852">
        <f t="shared" ca="1" si="65"/>
        <v>19</v>
      </c>
      <c r="R852" t="str">
        <f t="shared" si="66"/>
        <v/>
      </c>
      <c r="S852">
        <f t="shared" ca="1" si="67"/>
        <v>11</v>
      </c>
      <c r="T852" t="str">
        <f t="shared" ca="1" si="68"/>
        <v>Overdue</v>
      </c>
      <c r="U852" t="str">
        <f t="shared" ca="1" si="69"/>
        <v>Normal</v>
      </c>
      <c r="V852" t="s">
        <v>42</v>
      </c>
    </row>
    <row r="853" spans="1:22">
      <c r="A853" t="s">
        <v>2329</v>
      </c>
      <c r="B853" t="s">
        <v>73</v>
      </c>
      <c r="C853" t="s">
        <v>2330</v>
      </c>
      <c r="D853" s="16">
        <v>667.69</v>
      </c>
      <c r="E853" t="s">
        <v>69</v>
      </c>
      <c r="F853" t="s">
        <v>38</v>
      </c>
      <c r="H853" t="s">
        <v>71</v>
      </c>
      <c r="I853" t="s">
        <v>29</v>
      </c>
      <c r="J853" s="13">
        <v>46189</v>
      </c>
      <c r="K853" s="17" t="s">
        <v>30</v>
      </c>
      <c r="L853" s="13">
        <v>46204</v>
      </c>
      <c r="M853" t="s">
        <v>65</v>
      </c>
      <c r="N853" t="s">
        <v>32</v>
      </c>
      <c r="Q853">
        <f t="shared" ca="1" si="65"/>
        <v>0</v>
      </c>
      <c r="R853" t="str">
        <f t="shared" si="66"/>
        <v/>
      </c>
      <c r="S853">
        <f t="shared" ca="1" si="67"/>
        <v>15</v>
      </c>
      <c r="T853" t="str">
        <f t="shared" ca="1" si="68"/>
        <v>On Track</v>
      </c>
      <c r="U853" t="str">
        <f t="shared" ca="1" si="69"/>
        <v>Normal</v>
      </c>
    </row>
    <row r="854" spans="1:22">
      <c r="A854" t="s">
        <v>2331</v>
      </c>
      <c r="B854" t="s">
        <v>251</v>
      </c>
      <c r="C854" t="s">
        <v>2332</v>
      </c>
      <c r="D854" s="16">
        <v>3300.77</v>
      </c>
      <c r="E854" t="s">
        <v>302</v>
      </c>
      <c r="F854" t="s">
        <v>26</v>
      </c>
      <c r="G854" t="s">
        <v>2333</v>
      </c>
      <c r="H854" t="s">
        <v>304</v>
      </c>
      <c r="I854" t="s">
        <v>29</v>
      </c>
      <c r="J854" s="13">
        <v>46156</v>
      </c>
      <c r="K854" s="17" t="s">
        <v>40</v>
      </c>
      <c r="L854" s="13">
        <v>46186</v>
      </c>
      <c r="M854" t="s">
        <v>99</v>
      </c>
      <c r="N854" t="s">
        <v>32</v>
      </c>
      <c r="O854" s="13">
        <v>46161</v>
      </c>
      <c r="Q854">
        <f t="shared" ca="1" si="65"/>
        <v>33</v>
      </c>
      <c r="R854">
        <f t="shared" si="66"/>
        <v>5</v>
      </c>
      <c r="S854">
        <f t="shared" ca="1" si="67"/>
        <v>-3</v>
      </c>
      <c r="T854" t="str">
        <f t="shared" ca="1" si="68"/>
        <v>On Track</v>
      </c>
      <c r="U854" t="str">
        <f t="shared" ca="1" si="69"/>
        <v>At Risk</v>
      </c>
    </row>
    <row r="855" spans="1:22">
      <c r="A855" t="s">
        <v>2334</v>
      </c>
      <c r="B855" t="s">
        <v>35</v>
      </c>
      <c r="C855" t="s">
        <v>2335</v>
      </c>
      <c r="D855" s="16">
        <v>19829.52</v>
      </c>
      <c r="E855" t="s">
        <v>78</v>
      </c>
      <c r="F855" t="s">
        <v>26</v>
      </c>
      <c r="G855" t="s">
        <v>2336</v>
      </c>
      <c r="H855" t="s">
        <v>91</v>
      </c>
      <c r="I855" t="s">
        <v>92</v>
      </c>
      <c r="J855" s="13">
        <v>46185</v>
      </c>
      <c r="K855" s="17" t="s">
        <v>57</v>
      </c>
      <c r="L855" s="13">
        <v>46215</v>
      </c>
      <c r="M855" t="s">
        <v>41</v>
      </c>
      <c r="N855" t="s">
        <v>50</v>
      </c>
      <c r="Q855">
        <f t="shared" ca="1" si="65"/>
        <v>4</v>
      </c>
      <c r="R855" t="str">
        <f t="shared" si="66"/>
        <v/>
      </c>
      <c r="S855">
        <f t="shared" ca="1" si="67"/>
        <v>26</v>
      </c>
      <c r="T855" t="str">
        <f t="shared" ca="1" si="68"/>
        <v>On Track</v>
      </c>
      <c r="U855" t="str">
        <f t="shared" ca="1" si="69"/>
        <v>Normal</v>
      </c>
      <c r="V855" t="s">
        <v>51</v>
      </c>
    </row>
    <row r="856" spans="1:22">
      <c r="A856" t="s">
        <v>2337</v>
      </c>
      <c r="B856" t="s">
        <v>208</v>
      </c>
      <c r="C856" t="s">
        <v>2338</v>
      </c>
      <c r="D856" s="16">
        <v>15012.55</v>
      </c>
      <c r="E856" t="s">
        <v>62</v>
      </c>
      <c r="F856" t="s">
        <v>38</v>
      </c>
      <c r="H856" t="s">
        <v>106</v>
      </c>
      <c r="I856" t="s">
        <v>92</v>
      </c>
      <c r="J856" s="13">
        <v>46156</v>
      </c>
      <c r="K856" s="17" t="s">
        <v>30</v>
      </c>
      <c r="L856" s="13">
        <v>46171</v>
      </c>
      <c r="M856" t="s">
        <v>145</v>
      </c>
      <c r="N856" t="s">
        <v>50</v>
      </c>
      <c r="O856" s="13">
        <v>46172</v>
      </c>
      <c r="Q856">
        <f t="shared" ca="1" si="65"/>
        <v>33</v>
      </c>
      <c r="R856">
        <f t="shared" si="66"/>
        <v>16</v>
      </c>
      <c r="S856">
        <f t="shared" ca="1" si="67"/>
        <v>-18</v>
      </c>
      <c r="T856" t="str">
        <f t="shared" ca="1" si="68"/>
        <v>On Track</v>
      </c>
      <c r="U856" t="str">
        <f t="shared" ca="1" si="69"/>
        <v>At Risk</v>
      </c>
      <c r="V856" t="s">
        <v>51</v>
      </c>
    </row>
    <row r="857" spans="1:22">
      <c r="A857" t="s">
        <v>2339</v>
      </c>
      <c r="B857" t="s">
        <v>53</v>
      </c>
      <c r="C857" t="s">
        <v>2340</v>
      </c>
      <c r="D857" s="16">
        <v>2346.85</v>
      </c>
      <c r="E857" t="s">
        <v>126</v>
      </c>
      <c r="F857" t="s">
        <v>26</v>
      </c>
      <c r="G857" t="s">
        <v>2341</v>
      </c>
      <c r="H857" t="s">
        <v>241</v>
      </c>
      <c r="I857" t="s">
        <v>29</v>
      </c>
      <c r="J857" s="13">
        <v>46186</v>
      </c>
      <c r="K857" s="17" t="s">
        <v>40</v>
      </c>
      <c r="L857" s="13">
        <v>46216</v>
      </c>
      <c r="M857" t="s">
        <v>99</v>
      </c>
      <c r="N857" t="s">
        <v>32</v>
      </c>
      <c r="O857" s="13">
        <v>46189</v>
      </c>
      <c r="Q857">
        <f t="shared" ca="1" si="65"/>
        <v>3</v>
      </c>
      <c r="R857">
        <f t="shared" si="66"/>
        <v>3</v>
      </c>
      <c r="S857">
        <f t="shared" ca="1" si="67"/>
        <v>27</v>
      </c>
      <c r="T857" t="str">
        <f t="shared" ca="1" si="68"/>
        <v>On Track</v>
      </c>
      <c r="U857" t="str">
        <f t="shared" ca="1" si="69"/>
        <v>Normal</v>
      </c>
    </row>
    <row r="858" spans="1:22">
      <c r="A858" t="s">
        <v>2342</v>
      </c>
      <c r="B858" t="s">
        <v>103</v>
      </c>
      <c r="C858" t="s">
        <v>2343</v>
      </c>
      <c r="D858" s="16">
        <v>2056.02</v>
      </c>
      <c r="E858" t="s">
        <v>55</v>
      </c>
      <c r="F858" t="s">
        <v>26</v>
      </c>
      <c r="G858" t="s">
        <v>2344</v>
      </c>
      <c r="H858" t="s">
        <v>56</v>
      </c>
      <c r="I858" t="s">
        <v>29</v>
      </c>
      <c r="J858" s="13">
        <v>46147</v>
      </c>
      <c r="K858" s="17" t="s">
        <v>40</v>
      </c>
      <c r="L858" s="13">
        <v>46177</v>
      </c>
      <c r="M858" t="s">
        <v>31</v>
      </c>
      <c r="N858" t="s">
        <v>32</v>
      </c>
      <c r="O858" s="13">
        <v>46149</v>
      </c>
      <c r="P858" s="13">
        <v>46153</v>
      </c>
      <c r="Q858">
        <f t="shared" ca="1" si="65"/>
        <v>42</v>
      </c>
      <c r="R858">
        <f t="shared" si="66"/>
        <v>2</v>
      </c>
      <c r="S858">
        <f t="shared" ca="1" si="67"/>
        <v>-12</v>
      </c>
      <c r="T858" t="str">
        <f t="shared" ca="1" si="68"/>
        <v>On Track</v>
      </c>
      <c r="U858" t="str">
        <f t="shared" ca="1" si="69"/>
        <v>Normal</v>
      </c>
      <c r="V858" t="s">
        <v>33</v>
      </c>
    </row>
    <row r="859" spans="1:22">
      <c r="A859" t="s">
        <v>2345</v>
      </c>
      <c r="B859" t="s">
        <v>168</v>
      </c>
      <c r="C859" t="s">
        <v>2346</v>
      </c>
      <c r="D859" s="16">
        <v>2082.25</v>
      </c>
      <c r="E859" t="s">
        <v>126</v>
      </c>
      <c r="F859" t="s">
        <v>26</v>
      </c>
      <c r="G859" t="s">
        <v>2347</v>
      </c>
      <c r="H859" t="s">
        <v>241</v>
      </c>
      <c r="I859" t="s">
        <v>29</v>
      </c>
      <c r="J859" s="13">
        <v>46182</v>
      </c>
      <c r="K859" s="17" t="s">
        <v>40</v>
      </c>
      <c r="L859" s="13">
        <v>46212</v>
      </c>
      <c r="M859" t="s">
        <v>41</v>
      </c>
      <c r="N859" t="s">
        <v>32</v>
      </c>
      <c r="Q859">
        <f t="shared" ca="1" si="65"/>
        <v>7</v>
      </c>
      <c r="R859" t="str">
        <f t="shared" si="66"/>
        <v/>
      </c>
      <c r="S859">
        <f t="shared" ca="1" si="67"/>
        <v>23</v>
      </c>
      <c r="T859" t="str">
        <f t="shared" ca="1" si="68"/>
        <v>Overdue</v>
      </c>
      <c r="U859" t="str">
        <f t="shared" ca="1" si="69"/>
        <v>Normal</v>
      </c>
      <c r="V859" t="s">
        <v>42</v>
      </c>
    </row>
    <row r="860" spans="1:22">
      <c r="A860" t="s">
        <v>2348</v>
      </c>
      <c r="B860" t="s">
        <v>129</v>
      </c>
      <c r="C860" t="s">
        <v>2349</v>
      </c>
      <c r="D860" s="16">
        <v>491.78</v>
      </c>
      <c r="E860" t="s">
        <v>25</v>
      </c>
      <c r="F860" t="s">
        <v>26</v>
      </c>
      <c r="G860" t="s">
        <v>2350</v>
      </c>
      <c r="H860" t="s">
        <v>28</v>
      </c>
      <c r="I860" t="s">
        <v>29</v>
      </c>
      <c r="J860" s="13">
        <v>46159</v>
      </c>
      <c r="K860" s="17" t="s">
        <v>30</v>
      </c>
      <c r="L860" s="13">
        <v>46174</v>
      </c>
      <c r="M860" t="s">
        <v>31</v>
      </c>
      <c r="N860" t="s">
        <v>32</v>
      </c>
      <c r="O860" s="13">
        <v>46166</v>
      </c>
      <c r="P860" s="13">
        <v>46171</v>
      </c>
      <c r="Q860">
        <f t="shared" ca="1" si="65"/>
        <v>30</v>
      </c>
      <c r="R860">
        <f t="shared" si="66"/>
        <v>7</v>
      </c>
      <c r="S860">
        <f t="shared" ca="1" si="67"/>
        <v>-15</v>
      </c>
      <c r="T860" t="str">
        <f t="shared" ca="1" si="68"/>
        <v>On Track</v>
      </c>
      <c r="U860" t="str">
        <f t="shared" ca="1" si="69"/>
        <v>Normal</v>
      </c>
      <c r="V860" t="s">
        <v>33</v>
      </c>
    </row>
    <row r="861" spans="1:22">
      <c r="A861" t="s">
        <v>2351</v>
      </c>
      <c r="B861" t="s">
        <v>109</v>
      </c>
      <c r="C861" t="s">
        <v>2352</v>
      </c>
      <c r="D861" s="16">
        <v>710.93</v>
      </c>
      <c r="E861" t="s">
        <v>55</v>
      </c>
      <c r="F861" t="s">
        <v>38</v>
      </c>
      <c r="H861" t="s">
        <v>56</v>
      </c>
      <c r="I861" t="s">
        <v>29</v>
      </c>
      <c r="J861" s="13">
        <v>46188</v>
      </c>
      <c r="K861" s="17" t="s">
        <v>49</v>
      </c>
      <c r="L861" s="13">
        <v>46233</v>
      </c>
      <c r="M861" t="s">
        <v>65</v>
      </c>
      <c r="N861" t="s">
        <v>58</v>
      </c>
      <c r="Q861">
        <f t="shared" ca="1" si="65"/>
        <v>1</v>
      </c>
      <c r="R861" t="str">
        <f t="shared" si="66"/>
        <v/>
      </c>
      <c r="S861">
        <f t="shared" ca="1" si="67"/>
        <v>44</v>
      </c>
      <c r="T861" t="str">
        <f t="shared" ca="1" si="68"/>
        <v>On Track</v>
      </c>
      <c r="U861" t="str">
        <f t="shared" ca="1" si="69"/>
        <v>Normal</v>
      </c>
      <c r="V861" t="s">
        <v>59</v>
      </c>
    </row>
    <row r="862" spans="1:22">
      <c r="A862" t="s">
        <v>2353</v>
      </c>
      <c r="B862" t="s">
        <v>94</v>
      </c>
      <c r="C862" t="s">
        <v>2354</v>
      </c>
      <c r="D862" s="16">
        <v>4380.41</v>
      </c>
      <c r="E862" t="s">
        <v>25</v>
      </c>
      <c r="F862" t="s">
        <v>38</v>
      </c>
      <c r="H862" t="s">
        <v>28</v>
      </c>
      <c r="I862" t="s">
        <v>29</v>
      </c>
      <c r="J862" s="13">
        <v>46163</v>
      </c>
      <c r="K862" s="17" t="s">
        <v>57</v>
      </c>
      <c r="L862" s="13">
        <v>46193</v>
      </c>
      <c r="M862" t="s">
        <v>31</v>
      </c>
      <c r="N862" t="s">
        <v>32</v>
      </c>
      <c r="O862" s="13">
        <v>46170</v>
      </c>
      <c r="P862" s="13">
        <v>46174</v>
      </c>
      <c r="Q862">
        <f t="shared" ca="1" si="65"/>
        <v>26</v>
      </c>
      <c r="R862">
        <f t="shared" si="66"/>
        <v>7</v>
      </c>
      <c r="S862">
        <f t="shared" ca="1" si="67"/>
        <v>4</v>
      </c>
      <c r="T862" t="str">
        <f t="shared" ca="1" si="68"/>
        <v>On Track</v>
      </c>
      <c r="U862" t="str">
        <f t="shared" ca="1" si="69"/>
        <v>Normal</v>
      </c>
      <c r="V862" t="s">
        <v>33</v>
      </c>
    </row>
    <row r="863" spans="1:22">
      <c r="A863" t="s">
        <v>2355</v>
      </c>
      <c r="B863" t="s">
        <v>94</v>
      </c>
      <c r="C863" t="s">
        <v>2356</v>
      </c>
      <c r="D863" s="16">
        <v>1769.95</v>
      </c>
      <c r="E863" t="s">
        <v>111</v>
      </c>
      <c r="F863" t="s">
        <v>26</v>
      </c>
      <c r="G863" t="s">
        <v>2357</v>
      </c>
      <c r="H863" t="s">
        <v>113</v>
      </c>
      <c r="I863" t="s">
        <v>29</v>
      </c>
      <c r="J863" s="13">
        <v>46148</v>
      </c>
      <c r="K863" s="17" t="s">
        <v>57</v>
      </c>
      <c r="L863" s="13">
        <v>46178</v>
      </c>
      <c r="M863" t="s">
        <v>31</v>
      </c>
      <c r="N863" t="s">
        <v>32</v>
      </c>
      <c r="O863" s="13">
        <v>46149</v>
      </c>
      <c r="P863" s="13">
        <v>46153</v>
      </c>
      <c r="Q863">
        <f t="shared" ca="1" si="65"/>
        <v>41</v>
      </c>
      <c r="R863">
        <f t="shared" si="66"/>
        <v>1</v>
      </c>
      <c r="S863">
        <f t="shared" ca="1" si="67"/>
        <v>-11</v>
      </c>
      <c r="T863" t="str">
        <f t="shared" ca="1" si="68"/>
        <v>On Track</v>
      </c>
      <c r="U863" t="str">
        <f t="shared" ca="1" si="69"/>
        <v>Normal</v>
      </c>
      <c r="V863" t="s">
        <v>33</v>
      </c>
    </row>
    <row r="864" spans="1:22">
      <c r="A864" t="s">
        <v>2358</v>
      </c>
      <c r="B864" t="s">
        <v>94</v>
      </c>
      <c r="C864" t="s">
        <v>2359</v>
      </c>
      <c r="D864" s="16">
        <v>14215.08</v>
      </c>
      <c r="E864" t="s">
        <v>62</v>
      </c>
      <c r="F864" t="s">
        <v>26</v>
      </c>
      <c r="G864" t="s">
        <v>2360</v>
      </c>
      <c r="H864" t="s">
        <v>106</v>
      </c>
      <c r="I864" t="s">
        <v>92</v>
      </c>
      <c r="J864" s="13">
        <v>46180</v>
      </c>
      <c r="K864" s="17" t="s">
        <v>49</v>
      </c>
      <c r="L864" s="13">
        <v>46225</v>
      </c>
      <c r="M864" t="s">
        <v>99</v>
      </c>
      <c r="N864" t="s">
        <v>50</v>
      </c>
      <c r="O864" s="13">
        <v>46189</v>
      </c>
      <c r="Q864">
        <f t="shared" ca="1" si="65"/>
        <v>9</v>
      </c>
      <c r="R864">
        <f t="shared" si="66"/>
        <v>9</v>
      </c>
      <c r="S864">
        <f t="shared" ca="1" si="67"/>
        <v>36</v>
      </c>
      <c r="T864" t="str">
        <f t="shared" ca="1" si="68"/>
        <v>On Track</v>
      </c>
      <c r="U864" t="str">
        <f t="shared" ca="1" si="69"/>
        <v>Normal</v>
      </c>
      <c r="V864" t="s">
        <v>51</v>
      </c>
    </row>
    <row r="865" spans="1:22">
      <c r="A865" t="s">
        <v>2361</v>
      </c>
      <c r="B865" t="s">
        <v>151</v>
      </c>
      <c r="C865" t="s">
        <v>2362</v>
      </c>
      <c r="D865" s="16">
        <v>2482.5100000000002</v>
      </c>
      <c r="E865" t="s">
        <v>69</v>
      </c>
      <c r="F865" t="s">
        <v>26</v>
      </c>
      <c r="G865" t="s">
        <v>2363</v>
      </c>
      <c r="H865" t="s">
        <v>71</v>
      </c>
      <c r="I865" t="s">
        <v>29</v>
      </c>
      <c r="J865" s="13">
        <v>46160</v>
      </c>
      <c r="K865" s="17" t="s">
        <v>40</v>
      </c>
      <c r="L865" s="13">
        <v>46190</v>
      </c>
      <c r="M865" t="s">
        <v>31</v>
      </c>
      <c r="N865" t="s">
        <v>32</v>
      </c>
      <c r="O865" s="13">
        <v>46168</v>
      </c>
      <c r="P865" s="13">
        <v>46171</v>
      </c>
      <c r="Q865">
        <f t="shared" ca="1" si="65"/>
        <v>29</v>
      </c>
      <c r="R865">
        <f t="shared" si="66"/>
        <v>8</v>
      </c>
      <c r="S865">
        <f t="shared" ca="1" si="67"/>
        <v>1</v>
      </c>
      <c r="T865" t="str">
        <f t="shared" ca="1" si="68"/>
        <v>On Track</v>
      </c>
      <c r="U865" t="str">
        <f t="shared" ca="1" si="69"/>
        <v>Normal</v>
      </c>
      <c r="V865" t="s">
        <v>33</v>
      </c>
    </row>
    <row r="866" spans="1:22">
      <c r="A866" t="s">
        <v>2364</v>
      </c>
      <c r="B866" t="s">
        <v>109</v>
      </c>
      <c r="C866" t="s">
        <v>2365</v>
      </c>
      <c r="D866" s="16">
        <v>20103.259999999998</v>
      </c>
      <c r="E866" t="s">
        <v>142</v>
      </c>
      <c r="F866" t="s">
        <v>38</v>
      </c>
      <c r="H866" t="s">
        <v>144</v>
      </c>
      <c r="I866" t="s">
        <v>92</v>
      </c>
      <c r="J866" s="13">
        <v>46182</v>
      </c>
      <c r="K866" s="17" t="s">
        <v>40</v>
      </c>
      <c r="L866" s="13">
        <v>46212</v>
      </c>
      <c r="M866" t="s">
        <v>84</v>
      </c>
      <c r="N866" t="s">
        <v>32</v>
      </c>
      <c r="O866" s="13">
        <v>46187</v>
      </c>
      <c r="Q866">
        <f t="shared" ca="1" si="65"/>
        <v>7</v>
      </c>
      <c r="R866">
        <f t="shared" si="66"/>
        <v>5</v>
      </c>
      <c r="S866">
        <f t="shared" ca="1" si="67"/>
        <v>23</v>
      </c>
      <c r="T866" t="str">
        <f t="shared" ca="1" si="68"/>
        <v>On Track</v>
      </c>
      <c r="U866" t="str">
        <f t="shared" ca="1" si="69"/>
        <v>Normal</v>
      </c>
    </row>
    <row r="867" spans="1:22">
      <c r="A867" t="s">
        <v>2366</v>
      </c>
      <c r="B867" t="s">
        <v>222</v>
      </c>
      <c r="C867" t="s">
        <v>2367</v>
      </c>
      <c r="D867" s="16">
        <v>1361.87</v>
      </c>
      <c r="E867" t="s">
        <v>142</v>
      </c>
      <c r="F867" t="s">
        <v>38</v>
      </c>
      <c r="H867" t="s">
        <v>335</v>
      </c>
      <c r="I867" t="s">
        <v>29</v>
      </c>
      <c r="J867" s="13">
        <v>46171</v>
      </c>
      <c r="K867" s="17" t="s">
        <v>49</v>
      </c>
      <c r="L867" s="13">
        <v>46216</v>
      </c>
      <c r="M867" t="s">
        <v>41</v>
      </c>
      <c r="N867" t="s">
        <v>50</v>
      </c>
      <c r="Q867">
        <f t="shared" ca="1" si="65"/>
        <v>18</v>
      </c>
      <c r="R867" t="str">
        <f t="shared" si="66"/>
        <v/>
      </c>
      <c r="S867">
        <f t="shared" ca="1" si="67"/>
        <v>27</v>
      </c>
      <c r="T867" t="str">
        <f t="shared" ca="1" si="68"/>
        <v>Overdue</v>
      </c>
      <c r="U867" t="str">
        <f t="shared" ca="1" si="69"/>
        <v>Normal</v>
      </c>
      <c r="V867" t="s">
        <v>51</v>
      </c>
    </row>
    <row r="868" spans="1:22">
      <c r="A868" t="s">
        <v>2368</v>
      </c>
      <c r="B868" t="s">
        <v>35</v>
      </c>
      <c r="C868" t="s">
        <v>2369</v>
      </c>
      <c r="D868" s="16">
        <v>3339.75</v>
      </c>
      <c r="E868" t="s">
        <v>46</v>
      </c>
      <c r="F868" t="s">
        <v>38</v>
      </c>
      <c r="H868" t="s">
        <v>48</v>
      </c>
      <c r="I868" t="s">
        <v>29</v>
      </c>
      <c r="J868" s="13">
        <v>46169</v>
      </c>
      <c r="K868" s="17" t="s">
        <v>40</v>
      </c>
      <c r="L868" s="13">
        <v>46199</v>
      </c>
      <c r="M868" t="s">
        <v>31</v>
      </c>
      <c r="N868" t="s">
        <v>100</v>
      </c>
      <c r="O868" s="13">
        <v>46181</v>
      </c>
      <c r="P868" s="13">
        <v>46186</v>
      </c>
      <c r="Q868">
        <f t="shared" ca="1" si="65"/>
        <v>20</v>
      </c>
      <c r="R868">
        <f t="shared" si="66"/>
        <v>12</v>
      </c>
      <c r="S868">
        <f t="shared" ca="1" si="67"/>
        <v>10</v>
      </c>
      <c r="T868" t="str">
        <f t="shared" ca="1" si="68"/>
        <v>On Track</v>
      </c>
      <c r="U868" t="str">
        <f t="shared" ca="1" si="69"/>
        <v>Normal</v>
      </c>
      <c r="V868" t="s">
        <v>101</v>
      </c>
    </row>
    <row r="869" spans="1:22">
      <c r="A869" t="s">
        <v>2370</v>
      </c>
      <c r="B869" t="s">
        <v>73</v>
      </c>
      <c r="C869" t="s">
        <v>2371</v>
      </c>
      <c r="D869" s="16">
        <v>3868.76</v>
      </c>
      <c r="E869" t="s">
        <v>37</v>
      </c>
      <c r="F869" t="s">
        <v>26</v>
      </c>
      <c r="G869" t="s">
        <v>2372</v>
      </c>
      <c r="H869" t="s">
        <v>39</v>
      </c>
      <c r="I869" t="s">
        <v>29</v>
      </c>
      <c r="J869" s="13">
        <v>46166</v>
      </c>
      <c r="K869" s="17" t="s">
        <v>49</v>
      </c>
      <c r="L869" s="13">
        <v>46211</v>
      </c>
      <c r="M869" t="s">
        <v>31</v>
      </c>
      <c r="N869" t="s">
        <v>32</v>
      </c>
      <c r="O869" s="13">
        <v>46167</v>
      </c>
      <c r="P869" s="13">
        <v>46173</v>
      </c>
      <c r="Q869">
        <f t="shared" ca="1" si="65"/>
        <v>23</v>
      </c>
      <c r="R869">
        <f t="shared" si="66"/>
        <v>1</v>
      </c>
      <c r="S869">
        <f t="shared" ca="1" si="67"/>
        <v>22</v>
      </c>
      <c r="T869" t="str">
        <f t="shared" ca="1" si="68"/>
        <v>On Track</v>
      </c>
      <c r="U869" t="str">
        <f t="shared" ca="1" si="69"/>
        <v>Normal</v>
      </c>
      <c r="V869" t="s">
        <v>33</v>
      </c>
    </row>
    <row r="870" spans="1:22">
      <c r="A870" t="s">
        <v>2373</v>
      </c>
      <c r="B870" t="s">
        <v>124</v>
      </c>
      <c r="C870" t="s">
        <v>2374</v>
      </c>
      <c r="D870" s="16">
        <v>4648.3599999999997</v>
      </c>
      <c r="E870" t="s">
        <v>111</v>
      </c>
      <c r="F870" t="s">
        <v>38</v>
      </c>
      <c r="H870" t="s">
        <v>113</v>
      </c>
      <c r="I870" t="s">
        <v>29</v>
      </c>
      <c r="J870" s="13">
        <v>46186</v>
      </c>
      <c r="K870" s="17" t="s">
        <v>57</v>
      </c>
      <c r="L870" s="13">
        <v>46216</v>
      </c>
      <c r="M870" t="s">
        <v>41</v>
      </c>
      <c r="N870" t="s">
        <v>32</v>
      </c>
      <c r="Q870">
        <f t="shared" ca="1" si="65"/>
        <v>3</v>
      </c>
      <c r="R870" t="str">
        <f t="shared" si="66"/>
        <v/>
      </c>
      <c r="S870">
        <f t="shared" ca="1" si="67"/>
        <v>27</v>
      </c>
      <c r="T870" t="str">
        <f t="shared" ca="1" si="68"/>
        <v>On Track</v>
      </c>
      <c r="U870" t="str">
        <f t="shared" ca="1" si="69"/>
        <v>Normal</v>
      </c>
      <c r="V870" t="s">
        <v>42</v>
      </c>
    </row>
    <row r="871" spans="1:22">
      <c r="A871" t="s">
        <v>2375</v>
      </c>
      <c r="B871" t="s">
        <v>151</v>
      </c>
      <c r="C871" t="s">
        <v>2376</v>
      </c>
      <c r="D871" s="16">
        <v>2472.0700000000002</v>
      </c>
      <c r="E871" t="s">
        <v>37</v>
      </c>
      <c r="F871" t="s">
        <v>26</v>
      </c>
      <c r="G871" t="s">
        <v>2377</v>
      </c>
      <c r="H871" t="s">
        <v>39</v>
      </c>
      <c r="I871" t="s">
        <v>29</v>
      </c>
      <c r="J871" s="13">
        <v>46186</v>
      </c>
      <c r="K871" s="17" t="s">
        <v>30</v>
      </c>
      <c r="L871" s="13">
        <v>46201</v>
      </c>
      <c r="M871" t="s">
        <v>41</v>
      </c>
      <c r="N871" t="s">
        <v>32</v>
      </c>
      <c r="Q871">
        <f t="shared" ca="1" si="65"/>
        <v>3</v>
      </c>
      <c r="R871" t="str">
        <f t="shared" si="66"/>
        <v/>
      </c>
      <c r="S871">
        <f t="shared" ca="1" si="67"/>
        <v>12</v>
      </c>
      <c r="T871" t="str">
        <f t="shared" ca="1" si="68"/>
        <v>On Track</v>
      </c>
      <c r="U871" t="str">
        <f t="shared" ca="1" si="69"/>
        <v>Normal</v>
      </c>
      <c r="V871" t="s">
        <v>42</v>
      </c>
    </row>
    <row r="872" spans="1:22">
      <c r="A872" t="s">
        <v>2378</v>
      </c>
      <c r="B872" t="s">
        <v>35</v>
      </c>
      <c r="C872" t="s">
        <v>2379</v>
      </c>
      <c r="D872" s="16">
        <v>64472.06</v>
      </c>
      <c r="E872" t="s">
        <v>111</v>
      </c>
      <c r="F872" t="s">
        <v>38</v>
      </c>
      <c r="H872" t="s">
        <v>121</v>
      </c>
      <c r="I872" t="s">
        <v>122</v>
      </c>
      <c r="J872" s="13">
        <v>46189</v>
      </c>
      <c r="K872" s="17" t="s">
        <v>49</v>
      </c>
      <c r="L872" s="13">
        <v>46234</v>
      </c>
      <c r="M872" t="s">
        <v>41</v>
      </c>
      <c r="N872" t="s">
        <v>32</v>
      </c>
      <c r="Q872">
        <f t="shared" ca="1" si="65"/>
        <v>0</v>
      </c>
      <c r="R872" t="str">
        <f t="shared" si="66"/>
        <v/>
      </c>
      <c r="S872">
        <f t="shared" ca="1" si="67"/>
        <v>45</v>
      </c>
      <c r="T872" t="str">
        <f t="shared" ca="1" si="68"/>
        <v>On Track</v>
      </c>
      <c r="U872" t="str">
        <f t="shared" ca="1" si="69"/>
        <v>Normal</v>
      </c>
      <c r="V872" t="s">
        <v>42</v>
      </c>
    </row>
    <row r="873" spans="1:22">
      <c r="A873" t="s">
        <v>2380</v>
      </c>
      <c r="B873" t="s">
        <v>251</v>
      </c>
      <c r="C873" t="s">
        <v>2381</v>
      </c>
      <c r="D873" s="16">
        <v>3337.18</v>
      </c>
      <c r="E873" t="s">
        <v>142</v>
      </c>
      <c r="F873" t="s">
        <v>26</v>
      </c>
      <c r="G873" t="s">
        <v>2382</v>
      </c>
      <c r="H873" t="s">
        <v>335</v>
      </c>
      <c r="I873" t="s">
        <v>29</v>
      </c>
      <c r="J873" s="13">
        <v>46150</v>
      </c>
      <c r="K873" s="17" t="s">
        <v>49</v>
      </c>
      <c r="L873" s="13">
        <v>46195</v>
      </c>
      <c r="M873" t="s">
        <v>31</v>
      </c>
      <c r="N873" t="s">
        <v>213</v>
      </c>
      <c r="O873" s="13">
        <v>46159</v>
      </c>
      <c r="P873" s="13">
        <v>46198</v>
      </c>
      <c r="Q873">
        <f t="shared" ca="1" si="65"/>
        <v>39</v>
      </c>
      <c r="R873">
        <f t="shared" si="66"/>
        <v>9</v>
      </c>
      <c r="S873">
        <f t="shared" ca="1" si="67"/>
        <v>6</v>
      </c>
      <c r="T873" t="str">
        <f t="shared" ca="1" si="68"/>
        <v>On Track</v>
      </c>
      <c r="U873" t="str">
        <f t="shared" ca="1" si="69"/>
        <v>Normal</v>
      </c>
      <c r="V873" t="s">
        <v>107</v>
      </c>
    </row>
    <row r="874" spans="1:22">
      <c r="A874" t="s">
        <v>2383</v>
      </c>
      <c r="B874" t="s">
        <v>115</v>
      </c>
      <c r="C874" t="s">
        <v>2384</v>
      </c>
      <c r="D874" s="16">
        <v>1157.76</v>
      </c>
      <c r="E874" t="s">
        <v>46</v>
      </c>
      <c r="F874" t="s">
        <v>26</v>
      </c>
      <c r="G874" t="s">
        <v>2385</v>
      </c>
      <c r="H874" t="s">
        <v>48</v>
      </c>
      <c r="I874" t="s">
        <v>29</v>
      </c>
      <c r="J874" s="13">
        <v>46156</v>
      </c>
      <c r="K874" s="17" t="s">
        <v>49</v>
      </c>
      <c r="L874" s="13">
        <v>46201</v>
      </c>
      <c r="M874" t="s">
        <v>31</v>
      </c>
      <c r="N874" t="s">
        <v>32</v>
      </c>
      <c r="O874" s="13">
        <v>46161</v>
      </c>
      <c r="P874" s="13">
        <v>46167</v>
      </c>
      <c r="Q874">
        <f t="shared" ca="1" si="65"/>
        <v>33</v>
      </c>
      <c r="R874">
        <f t="shared" si="66"/>
        <v>5</v>
      </c>
      <c r="S874">
        <f t="shared" ca="1" si="67"/>
        <v>12</v>
      </c>
      <c r="T874" t="str">
        <f t="shared" ca="1" si="68"/>
        <v>On Track</v>
      </c>
      <c r="U874" t="str">
        <f t="shared" ca="1" si="69"/>
        <v>Normal</v>
      </c>
      <c r="V874" t="s">
        <v>33</v>
      </c>
    </row>
    <row r="875" spans="1:22">
      <c r="A875" t="s">
        <v>2386</v>
      </c>
      <c r="B875" t="s">
        <v>67</v>
      </c>
      <c r="C875" t="s">
        <v>2387</v>
      </c>
      <c r="D875" s="16">
        <v>4235.4399999999996</v>
      </c>
      <c r="E875" t="s">
        <v>46</v>
      </c>
      <c r="F875" t="s">
        <v>26</v>
      </c>
      <c r="G875" t="s">
        <v>2388</v>
      </c>
      <c r="H875" t="s">
        <v>48</v>
      </c>
      <c r="I875" t="s">
        <v>29</v>
      </c>
      <c r="J875" s="13">
        <v>46177</v>
      </c>
      <c r="K875" s="17" t="s">
        <v>40</v>
      </c>
      <c r="L875" s="13">
        <v>46207</v>
      </c>
      <c r="M875" t="s">
        <v>99</v>
      </c>
      <c r="N875" t="s">
        <v>32</v>
      </c>
      <c r="O875" s="13">
        <v>46183</v>
      </c>
      <c r="Q875">
        <f t="shared" ca="1" si="65"/>
        <v>12</v>
      </c>
      <c r="R875">
        <f t="shared" si="66"/>
        <v>6</v>
      </c>
      <c r="S875">
        <f t="shared" ca="1" si="67"/>
        <v>18</v>
      </c>
      <c r="T875" t="str">
        <f t="shared" ca="1" si="68"/>
        <v>On Track</v>
      </c>
      <c r="U875" t="str">
        <f t="shared" ca="1" si="69"/>
        <v>Normal</v>
      </c>
    </row>
    <row r="876" spans="1:22">
      <c r="A876" t="s">
        <v>2389</v>
      </c>
      <c r="B876" t="s">
        <v>124</v>
      </c>
      <c r="C876" t="s">
        <v>2390</v>
      </c>
      <c r="D876" s="16">
        <v>57559.24</v>
      </c>
      <c r="E876" t="s">
        <v>55</v>
      </c>
      <c r="F876" t="s">
        <v>38</v>
      </c>
      <c r="H876" t="s">
        <v>121</v>
      </c>
      <c r="I876" t="s">
        <v>122</v>
      </c>
      <c r="J876" s="13">
        <v>46145</v>
      </c>
      <c r="K876" s="17" t="s">
        <v>40</v>
      </c>
      <c r="L876" s="13">
        <v>46175</v>
      </c>
      <c r="M876" t="s">
        <v>31</v>
      </c>
      <c r="N876" t="s">
        <v>50</v>
      </c>
      <c r="O876" s="13">
        <v>46161</v>
      </c>
      <c r="P876" s="13">
        <v>46166</v>
      </c>
      <c r="Q876">
        <f t="shared" ca="1" si="65"/>
        <v>44</v>
      </c>
      <c r="R876">
        <f t="shared" si="66"/>
        <v>16</v>
      </c>
      <c r="S876">
        <f t="shared" ca="1" si="67"/>
        <v>-14</v>
      </c>
      <c r="T876" t="str">
        <f t="shared" ca="1" si="68"/>
        <v>On Track</v>
      </c>
      <c r="U876" t="str">
        <f t="shared" ca="1" si="69"/>
        <v>Normal</v>
      </c>
      <c r="V876" t="s">
        <v>51</v>
      </c>
    </row>
    <row r="877" spans="1:22">
      <c r="A877" t="s">
        <v>2391</v>
      </c>
      <c r="B877" t="s">
        <v>82</v>
      </c>
      <c r="C877" t="s">
        <v>2392</v>
      </c>
      <c r="D877" s="16">
        <v>3298.86</v>
      </c>
      <c r="E877" t="s">
        <v>55</v>
      </c>
      <c r="F877" t="s">
        <v>26</v>
      </c>
      <c r="G877" t="s">
        <v>2393</v>
      </c>
      <c r="H877" t="s">
        <v>56</v>
      </c>
      <c r="I877" t="s">
        <v>29</v>
      </c>
      <c r="J877" s="13">
        <v>46177</v>
      </c>
      <c r="K877" s="17" t="s">
        <v>40</v>
      </c>
      <c r="L877" s="13">
        <v>46207</v>
      </c>
      <c r="M877" t="s">
        <v>31</v>
      </c>
      <c r="N877" t="s">
        <v>50</v>
      </c>
      <c r="O877" s="13">
        <v>46182</v>
      </c>
      <c r="P877" s="13">
        <v>46188</v>
      </c>
      <c r="Q877">
        <f t="shared" ca="1" si="65"/>
        <v>12</v>
      </c>
      <c r="R877">
        <f t="shared" si="66"/>
        <v>5</v>
      </c>
      <c r="S877">
        <f t="shared" ca="1" si="67"/>
        <v>18</v>
      </c>
      <c r="T877" t="str">
        <f t="shared" ca="1" si="68"/>
        <v>On Track</v>
      </c>
      <c r="U877" t="str">
        <f t="shared" ca="1" si="69"/>
        <v>Normal</v>
      </c>
      <c r="V877" t="s">
        <v>51</v>
      </c>
    </row>
    <row r="878" spans="1:22">
      <c r="A878" t="s">
        <v>2394</v>
      </c>
      <c r="B878" t="s">
        <v>73</v>
      </c>
      <c r="C878" t="s">
        <v>2395</v>
      </c>
      <c r="D878" s="16">
        <v>1572.13</v>
      </c>
      <c r="E878" t="s">
        <v>37</v>
      </c>
      <c r="F878" t="s">
        <v>26</v>
      </c>
      <c r="G878" t="s">
        <v>2396</v>
      </c>
      <c r="H878" t="s">
        <v>39</v>
      </c>
      <c r="I878" t="s">
        <v>29</v>
      </c>
      <c r="J878" s="13">
        <v>46147</v>
      </c>
      <c r="K878" s="17" t="s">
        <v>30</v>
      </c>
      <c r="L878" s="13">
        <v>46162</v>
      </c>
      <c r="M878" t="s">
        <v>31</v>
      </c>
      <c r="N878" t="s">
        <v>32</v>
      </c>
      <c r="O878" s="13">
        <v>46148</v>
      </c>
      <c r="P878" s="13">
        <v>46153</v>
      </c>
      <c r="Q878">
        <f t="shared" ca="1" si="65"/>
        <v>42</v>
      </c>
      <c r="R878">
        <f t="shared" si="66"/>
        <v>1</v>
      </c>
      <c r="S878">
        <f t="shared" ca="1" si="67"/>
        <v>-27</v>
      </c>
      <c r="T878" t="str">
        <f t="shared" ca="1" si="68"/>
        <v>On Track</v>
      </c>
      <c r="U878" t="str">
        <f t="shared" ca="1" si="69"/>
        <v>Normal</v>
      </c>
      <c r="V878" t="s">
        <v>33</v>
      </c>
    </row>
    <row r="879" spans="1:22">
      <c r="A879" t="s">
        <v>2397</v>
      </c>
      <c r="B879" t="s">
        <v>67</v>
      </c>
      <c r="C879" t="s">
        <v>2398</v>
      </c>
      <c r="D879" s="16">
        <v>34979.99</v>
      </c>
      <c r="E879" t="s">
        <v>69</v>
      </c>
      <c r="F879" t="s">
        <v>38</v>
      </c>
      <c r="H879" t="s">
        <v>121</v>
      </c>
      <c r="I879" t="s">
        <v>122</v>
      </c>
      <c r="J879" s="13">
        <v>46184</v>
      </c>
      <c r="K879" s="17" t="s">
        <v>57</v>
      </c>
      <c r="L879" s="13">
        <v>46214</v>
      </c>
      <c r="M879" t="s">
        <v>65</v>
      </c>
      <c r="N879" t="s">
        <v>32</v>
      </c>
      <c r="Q879">
        <f t="shared" ca="1" si="65"/>
        <v>5</v>
      </c>
      <c r="R879" t="str">
        <f t="shared" si="66"/>
        <v/>
      </c>
      <c r="S879">
        <f t="shared" ca="1" si="67"/>
        <v>25</v>
      </c>
      <c r="T879" t="str">
        <f t="shared" ca="1" si="68"/>
        <v>On Track</v>
      </c>
      <c r="U879" t="str">
        <f t="shared" ca="1" si="69"/>
        <v>Normal</v>
      </c>
    </row>
    <row r="880" spans="1:22">
      <c r="A880" t="s">
        <v>2399</v>
      </c>
      <c r="B880" t="s">
        <v>53</v>
      </c>
      <c r="C880" t="s">
        <v>2400</v>
      </c>
      <c r="D880" s="16">
        <v>2997.25</v>
      </c>
      <c r="E880" t="s">
        <v>25</v>
      </c>
      <c r="F880" t="s">
        <v>26</v>
      </c>
      <c r="G880" t="s">
        <v>2401</v>
      </c>
      <c r="H880" t="s">
        <v>28</v>
      </c>
      <c r="I880" t="s">
        <v>29</v>
      </c>
      <c r="J880" s="13">
        <v>46159</v>
      </c>
      <c r="K880" s="17" t="s">
        <v>57</v>
      </c>
      <c r="L880" s="13">
        <v>46189</v>
      </c>
      <c r="M880" t="s">
        <v>99</v>
      </c>
      <c r="N880" t="s">
        <v>32</v>
      </c>
      <c r="O880" s="13">
        <v>46161</v>
      </c>
      <c r="Q880">
        <f t="shared" ca="1" si="65"/>
        <v>30</v>
      </c>
      <c r="R880">
        <f t="shared" si="66"/>
        <v>2</v>
      </c>
      <c r="S880">
        <f t="shared" ca="1" si="67"/>
        <v>0</v>
      </c>
      <c r="T880" t="str">
        <f t="shared" ca="1" si="68"/>
        <v>On Track</v>
      </c>
      <c r="U880" t="str">
        <f t="shared" ca="1" si="69"/>
        <v>At Risk</v>
      </c>
    </row>
    <row r="881" spans="1:22">
      <c r="A881" t="s">
        <v>2402</v>
      </c>
      <c r="B881" t="s">
        <v>208</v>
      </c>
      <c r="C881" t="s">
        <v>2403</v>
      </c>
      <c r="D881" s="16">
        <v>10848.51</v>
      </c>
      <c r="E881" t="s">
        <v>302</v>
      </c>
      <c r="F881" t="s">
        <v>26</v>
      </c>
      <c r="G881" t="s">
        <v>2404</v>
      </c>
      <c r="H881" t="s">
        <v>429</v>
      </c>
      <c r="I881" t="s">
        <v>92</v>
      </c>
      <c r="J881" s="13">
        <v>46159</v>
      </c>
      <c r="K881" s="17" t="s">
        <v>49</v>
      </c>
      <c r="L881" s="13">
        <v>46204</v>
      </c>
      <c r="M881" t="s">
        <v>31</v>
      </c>
      <c r="N881" t="s">
        <v>50</v>
      </c>
      <c r="O881" s="13">
        <v>46183</v>
      </c>
      <c r="P881" s="13">
        <v>46184</v>
      </c>
      <c r="Q881">
        <f t="shared" ca="1" si="65"/>
        <v>30</v>
      </c>
      <c r="R881">
        <f t="shared" si="66"/>
        <v>24</v>
      </c>
      <c r="S881">
        <f t="shared" ca="1" si="67"/>
        <v>15</v>
      </c>
      <c r="T881" t="str">
        <f t="shared" ca="1" si="68"/>
        <v>On Track</v>
      </c>
      <c r="U881" t="str">
        <f t="shared" ca="1" si="69"/>
        <v>Normal</v>
      </c>
      <c r="V881" t="s">
        <v>51</v>
      </c>
    </row>
    <row r="882" spans="1:22">
      <c r="A882" t="s">
        <v>2405</v>
      </c>
      <c r="B882" t="s">
        <v>222</v>
      </c>
      <c r="C882" t="s">
        <v>2406</v>
      </c>
      <c r="D882" s="16">
        <v>894.67</v>
      </c>
      <c r="E882" t="s">
        <v>111</v>
      </c>
      <c r="F882" t="s">
        <v>38</v>
      </c>
      <c r="H882" t="s">
        <v>113</v>
      </c>
      <c r="I882" t="s">
        <v>29</v>
      </c>
      <c r="J882" s="13">
        <v>46159</v>
      </c>
      <c r="K882" s="17" t="s">
        <v>57</v>
      </c>
      <c r="L882" s="13">
        <v>46189</v>
      </c>
      <c r="M882" t="s">
        <v>31</v>
      </c>
      <c r="N882" t="s">
        <v>32</v>
      </c>
      <c r="O882" s="13">
        <v>46167</v>
      </c>
      <c r="P882" s="13">
        <v>46170</v>
      </c>
      <c r="Q882">
        <f t="shared" ca="1" si="65"/>
        <v>30</v>
      </c>
      <c r="R882">
        <f t="shared" si="66"/>
        <v>8</v>
      </c>
      <c r="S882">
        <f t="shared" ca="1" si="67"/>
        <v>0</v>
      </c>
      <c r="T882" t="str">
        <f t="shared" ca="1" si="68"/>
        <v>On Track</v>
      </c>
      <c r="U882" t="str">
        <f t="shared" ca="1" si="69"/>
        <v>Normal</v>
      </c>
      <c r="V882" t="s">
        <v>33</v>
      </c>
    </row>
    <row r="883" spans="1:22">
      <c r="A883" t="s">
        <v>2407</v>
      </c>
      <c r="B883" t="s">
        <v>53</v>
      </c>
      <c r="C883" t="s">
        <v>2408</v>
      </c>
      <c r="D883" s="16">
        <v>3288.03</v>
      </c>
      <c r="E883" t="s">
        <v>37</v>
      </c>
      <c r="F883" t="s">
        <v>26</v>
      </c>
      <c r="G883" t="s">
        <v>2409</v>
      </c>
      <c r="H883" t="s">
        <v>39</v>
      </c>
      <c r="I883" t="s">
        <v>29</v>
      </c>
      <c r="J883" s="13">
        <v>46150</v>
      </c>
      <c r="K883" s="17" t="s">
        <v>40</v>
      </c>
      <c r="L883" s="13">
        <v>46180</v>
      </c>
      <c r="M883" t="s">
        <v>31</v>
      </c>
      <c r="N883" t="s">
        <v>32</v>
      </c>
      <c r="O883" s="13">
        <v>46157</v>
      </c>
      <c r="P883" s="13">
        <v>46160</v>
      </c>
      <c r="Q883">
        <f t="shared" ca="1" si="65"/>
        <v>39</v>
      </c>
      <c r="R883">
        <f t="shared" si="66"/>
        <v>7</v>
      </c>
      <c r="S883">
        <f t="shared" ca="1" si="67"/>
        <v>-9</v>
      </c>
      <c r="T883" t="str">
        <f t="shared" ca="1" si="68"/>
        <v>On Track</v>
      </c>
      <c r="U883" t="str">
        <f t="shared" ca="1" si="69"/>
        <v>Normal</v>
      </c>
      <c r="V883" t="s">
        <v>33</v>
      </c>
    </row>
    <row r="884" spans="1:22">
      <c r="A884" t="s">
        <v>2410</v>
      </c>
      <c r="B884" t="s">
        <v>53</v>
      </c>
      <c r="C884" t="s">
        <v>2411</v>
      </c>
      <c r="D884" s="16">
        <v>2891.45</v>
      </c>
      <c r="E884" t="s">
        <v>37</v>
      </c>
      <c r="F884" t="s">
        <v>26</v>
      </c>
      <c r="G884" t="s">
        <v>2412</v>
      </c>
      <c r="H884" t="s">
        <v>39</v>
      </c>
      <c r="I884" t="s">
        <v>29</v>
      </c>
      <c r="J884" s="13">
        <v>46186</v>
      </c>
      <c r="K884" s="17" t="s">
        <v>40</v>
      </c>
      <c r="L884" s="13">
        <v>46216</v>
      </c>
      <c r="M884" t="s">
        <v>99</v>
      </c>
      <c r="N884" t="s">
        <v>32</v>
      </c>
      <c r="O884" s="13">
        <v>46189</v>
      </c>
      <c r="Q884">
        <f t="shared" ca="1" si="65"/>
        <v>3</v>
      </c>
      <c r="R884">
        <f t="shared" si="66"/>
        <v>3</v>
      </c>
      <c r="S884">
        <f t="shared" ca="1" si="67"/>
        <v>27</v>
      </c>
      <c r="T884" t="str">
        <f t="shared" ca="1" si="68"/>
        <v>On Track</v>
      </c>
      <c r="U884" t="str">
        <f t="shared" ca="1" si="69"/>
        <v>Normal</v>
      </c>
    </row>
    <row r="885" spans="1:22">
      <c r="A885" t="s">
        <v>2413</v>
      </c>
      <c r="B885" t="s">
        <v>76</v>
      </c>
      <c r="C885" t="s">
        <v>2414</v>
      </c>
      <c r="D885" s="16">
        <v>4716.9799999999996</v>
      </c>
      <c r="E885" t="s">
        <v>62</v>
      </c>
      <c r="F885" t="s">
        <v>26</v>
      </c>
      <c r="G885" t="s">
        <v>2415</v>
      </c>
      <c r="H885" t="s">
        <v>64</v>
      </c>
      <c r="I885" t="s">
        <v>29</v>
      </c>
      <c r="J885" s="13">
        <v>46176</v>
      </c>
      <c r="K885" s="17" t="s">
        <v>57</v>
      </c>
      <c r="L885" s="13">
        <v>46206</v>
      </c>
      <c r="M885" t="s">
        <v>145</v>
      </c>
      <c r="N885" t="s">
        <v>32</v>
      </c>
      <c r="O885" s="13">
        <v>46185</v>
      </c>
      <c r="Q885">
        <f t="shared" ca="1" si="65"/>
        <v>13</v>
      </c>
      <c r="R885">
        <f t="shared" si="66"/>
        <v>9</v>
      </c>
      <c r="S885">
        <f t="shared" ca="1" si="67"/>
        <v>17</v>
      </c>
      <c r="T885" t="str">
        <f t="shared" ca="1" si="68"/>
        <v>On Track</v>
      </c>
      <c r="U885" t="str">
        <f t="shared" ca="1" si="69"/>
        <v>Normal</v>
      </c>
    </row>
    <row r="886" spans="1:22">
      <c r="A886" t="s">
        <v>2416</v>
      </c>
      <c r="B886" t="s">
        <v>23</v>
      </c>
      <c r="C886" t="s">
        <v>2417</v>
      </c>
      <c r="D886" s="16">
        <v>3522.4</v>
      </c>
      <c r="E886" t="s">
        <v>46</v>
      </c>
      <c r="F886" t="s">
        <v>26</v>
      </c>
      <c r="G886" t="s">
        <v>2418</v>
      </c>
      <c r="H886" t="s">
        <v>48</v>
      </c>
      <c r="I886" t="s">
        <v>29</v>
      </c>
      <c r="J886" s="13">
        <v>46152</v>
      </c>
      <c r="K886" s="17" t="s">
        <v>49</v>
      </c>
      <c r="L886" s="13">
        <v>46197</v>
      </c>
      <c r="M886" t="s">
        <v>41</v>
      </c>
      <c r="N886" t="s">
        <v>50</v>
      </c>
      <c r="Q886">
        <f t="shared" ca="1" si="65"/>
        <v>37</v>
      </c>
      <c r="R886" t="str">
        <f t="shared" si="66"/>
        <v/>
      </c>
      <c r="S886">
        <f t="shared" ca="1" si="67"/>
        <v>8</v>
      </c>
      <c r="T886" t="str">
        <f t="shared" ca="1" si="68"/>
        <v>Overdue</v>
      </c>
      <c r="U886" t="str">
        <f t="shared" ca="1" si="69"/>
        <v>Normal</v>
      </c>
      <c r="V886" t="s">
        <v>51</v>
      </c>
    </row>
    <row r="887" spans="1:22">
      <c r="A887" t="s">
        <v>2419</v>
      </c>
      <c r="B887" t="s">
        <v>251</v>
      </c>
      <c r="C887" t="s">
        <v>2420</v>
      </c>
      <c r="D887" s="16">
        <v>67606</v>
      </c>
      <c r="E887" t="s">
        <v>55</v>
      </c>
      <c r="F887" t="s">
        <v>26</v>
      </c>
      <c r="G887" t="s">
        <v>2421</v>
      </c>
      <c r="H887" t="s">
        <v>121</v>
      </c>
      <c r="I887" t="s">
        <v>122</v>
      </c>
      <c r="J887" s="13">
        <v>46176</v>
      </c>
      <c r="K887" s="17" t="s">
        <v>49</v>
      </c>
      <c r="L887" s="13">
        <v>46221</v>
      </c>
      <c r="M887" t="s">
        <v>41</v>
      </c>
      <c r="N887" t="s">
        <v>32</v>
      </c>
      <c r="Q887">
        <f t="shared" ca="1" si="65"/>
        <v>13</v>
      </c>
      <c r="R887" t="str">
        <f t="shared" si="66"/>
        <v/>
      </c>
      <c r="S887">
        <f t="shared" ca="1" si="67"/>
        <v>32</v>
      </c>
      <c r="T887" t="str">
        <f t="shared" ca="1" si="68"/>
        <v>Overdue</v>
      </c>
      <c r="U887" t="str">
        <f t="shared" ca="1" si="69"/>
        <v>Normal</v>
      </c>
      <c r="V887" t="s">
        <v>42</v>
      </c>
    </row>
    <row r="888" spans="1:22">
      <c r="A888" t="s">
        <v>2422</v>
      </c>
      <c r="B888" t="s">
        <v>103</v>
      </c>
      <c r="C888" t="s">
        <v>2423</v>
      </c>
      <c r="D888" s="16">
        <v>2087.17</v>
      </c>
      <c r="E888" t="s">
        <v>37</v>
      </c>
      <c r="F888" t="s">
        <v>26</v>
      </c>
      <c r="G888" t="s">
        <v>2424</v>
      </c>
      <c r="H888" t="s">
        <v>39</v>
      </c>
      <c r="I888" t="s">
        <v>29</v>
      </c>
      <c r="J888" s="13">
        <v>46154</v>
      </c>
      <c r="K888" s="17" t="s">
        <v>57</v>
      </c>
      <c r="L888" s="13">
        <v>46184</v>
      </c>
      <c r="M888" t="s">
        <v>31</v>
      </c>
      <c r="N888" t="s">
        <v>32</v>
      </c>
      <c r="O888" s="13">
        <v>46156</v>
      </c>
      <c r="P888" s="13">
        <v>46162</v>
      </c>
      <c r="Q888">
        <f t="shared" ca="1" si="65"/>
        <v>35</v>
      </c>
      <c r="R888">
        <f t="shared" si="66"/>
        <v>2</v>
      </c>
      <c r="S888">
        <f t="shared" ca="1" si="67"/>
        <v>-5</v>
      </c>
      <c r="T888" t="str">
        <f t="shared" ca="1" si="68"/>
        <v>On Track</v>
      </c>
      <c r="U888" t="str">
        <f t="shared" ca="1" si="69"/>
        <v>Normal</v>
      </c>
      <c r="V888" t="s">
        <v>33</v>
      </c>
    </row>
    <row r="889" spans="1:22">
      <c r="A889" t="s">
        <v>2425</v>
      </c>
      <c r="B889" t="s">
        <v>73</v>
      </c>
      <c r="C889" t="s">
        <v>2426</v>
      </c>
      <c r="D889" s="16">
        <v>81694.61</v>
      </c>
      <c r="E889" t="s">
        <v>126</v>
      </c>
      <c r="F889" t="s">
        <v>38</v>
      </c>
      <c r="H889" t="s">
        <v>121</v>
      </c>
      <c r="I889" t="s">
        <v>122</v>
      </c>
      <c r="J889" s="13">
        <v>46159</v>
      </c>
      <c r="K889" s="17" t="s">
        <v>30</v>
      </c>
      <c r="L889" s="13">
        <v>46174</v>
      </c>
      <c r="M889" t="s">
        <v>65</v>
      </c>
      <c r="N889" t="s">
        <v>179</v>
      </c>
      <c r="Q889">
        <f t="shared" ca="1" si="65"/>
        <v>30</v>
      </c>
      <c r="R889" t="str">
        <f t="shared" si="66"/>
        <v/>
      </c>
      <c r="S889">
        <f t="shared" ca="1" si="67"/>
        <v>-15</v>
      </c>
      <c r="T889" t="str">
        <f t="shared" ca="1" si="68"/>
        <v>On Track</v>
      </c>
      <c r="U889" t="str">
        <f t="shared" ca="1" si="69"/>
        <v>At Risk</v>
      </c>
      <c r="V889" t="s">
        <v>180</v>
      </c>
    </row>
    <row r="890" spans="1:22">
      <c r="A890" t="s">
        <v>2427</v>
      </c>
      <c r="B890" t="s">
        <v>82</v>
      </c>
      <c r="C890" t="s">
        <v>2428</v>
      </c>
      <c r="D890" s="16">
        <v>420.25</v>
      </c>
      <c r="E890" t="s">
        <v>37</v>
      </c>
      <c r="F890" t="s">
        <v>38</v>
      </c>
      <c r="H890" t="s">
        <v>39</v>
      </c>
      <c r="I890" t="s">
        <v>29</v>
      </c>
      <c r="J890" s="13">
        <v>46172</v>
      </c>
      <c r="K890" s="17" t="s">
        <v>49</v>
      </c>
      <c r="L890" s="13">
        <v>46217</v>
      </c>
      <c r="M890" t="s">
        <v>31</v>
      </c>
      <c r="N890" t="s">
        <v>32</v>
      </c>
      <c r="O890" s="13">
        <v>46178</v>
      </c>
      <c r="P890" s="13">
        <v>46182</v>
      </c>
      <c r="Q890">
        <f t="shared" ca="1" si="65"/>
        <v>17</v>
      </c>
      <c r="R890">
        <f t="shared" si="66"/>
        <v>6</v>
      </c>
      <c r="S890">
        <f t="shared" ca="1" si="67"/>
        <v>28</v>
      </c>
      <c r="T890" t="str">
        <f t="shared" ca="1" si="68"/>
        <v>On Track</v>
      </c>
      <c r="U890" t="str">
        <f t="shared" ca="1" si="69"/>
        <v>Normal</v>
      </c>
      <c r="V890" t="s">
        <v>33</v>
      </c>
    </row>
    <row r="891" spans="1:22">
      <c r="A891" t="s">
        <v>2429</v>
      </c>
      <c r="B891" t="s">
        <v>222</v>
      </c>
      <c r="C891" t="s">
        <v>2430</v>
      </c>
      <c r="D891" s="16">
        <v>1158.79</v>
      </c>
      <c r="E891" t="s">
        <v>111</v>
      </c>
      <c r="F891" t="s">
        <v>26</v>
      </c>
      <c r="G891" t="s">
        <v>1162</v>
      </c>
      <c r="H891" t="s">
        <v>113</v>
      </c>
      <c r="I891" t="s">
        <v>29</v>
      </c>
      <c r="J891" s="13">
        <v>46187</v>
      </c>
      <c r="K891" s="17" t="s">
        <v>49</v>
      </c>
      <c r="L891" s="13">
        <v>46232</v>
      </c>
      <c r="M891" t="s">
        <v>41</v>
      </c>
      <c r="N891" t="s">
        <v>32</v>
      </c>
      <c r="Q891">
        <f t="shared" ca="1" si="65"/>
        <v>2</v>
      </c>
      <c r="R891" t="str">
        <f t="shared" si="66"/>
        <v/>
      </c>
      <c r="S891">
        <f t="shared" ca="1" si="67"/>
        <v>43</v>
      </c>
      <c r="T891" t="str">
        <f t="shared" ca="1" si="68"/>
        <v>On Track</v>
      </c>
      <c r="U891" t="str">
        <f t="shared" ca="1" si="69"/>
        <v>Normal</v>
      </c>
      <c r="V891" t="s">
        <v>42</v>
      </c>
    </row>
    <row r="892" spans="1:22">
      <c r="A892" t="s">
        <v>2431</v>
      </c>
      <c r="B892" t="s">
        <v>172</v>
      </c>
      <c r="C892" t="s">
        <v>2432</v>
      </c>
      <c r="D892" s="16">
        <v>3112.48</v>
      </c>
      <c r="E892" t="s">
        <v>25</v>
      </c>
      <c r="F892" t="s">
        <v>38</v>
      </c>
      <c r="H892" t="s">
        <v>28</v>
      </c>
      <c r="I892" t="s">
        <v>29</v>
      </c>
      <c r="J892" s="13">
        <v>46157</v>
      </c>
      <c r="K892" s="17" t="s">
        <v>30</v>
      </c>
      <c r="L892" s="13">
        <v>46172</v>
      </c>
      <c r="M892" t="s">
        <v>31</v>
      </c>
      <c r="N892" t="s">
        <v>58</v>
      </c>
      <c r="O892" s="13">
        <v>46175</v>
      </c>
      <c r="P892" s="13">
        <v>46180</v>
      </c>
      <c r="Q892">
        <f t="shared" ca="1" si="65"/>
        <v>32</v>
      </c>
      <c r="R892">
        <f t="shared" si="66"/>
        <v>18</v>
      </c>
      <c r="S892">
        <f t="shared" ca="1" si="67"/>
        <v>-17</v>
      </c>
      <c r="T892" t="str">
        <f t="shared" ca="1" si="68"/>
        <v>On Track</v>
      </c>
      <c r="U892" t="str">
        <f t="shared" ca="1" si="69"/>
        <v>Normal</v>
      </c>
      <c r="V892" t="s">
        <v>59</v>
      </c>
    </row>
    <row r="893" spans="1:22">
      <c r="A893" t="s">
        <v>2433</v>
      </c>
      <c r="B893" t="s">
        <v>73</v>
      </c>
      <c r="C893" t="s">
        <v>2434</v>
      </c>
      <c r="D893" s="16">
        <v>4607.7299999999996</v>
      </c>
      <c r="E893" t="s">
        <v>46</v>
      </c>
      <c r="F893" t="s">
        <v>38</v>
      </c>
      <c r="H893" t="s">
        <v>48</v>
      </c>
      <c r="I893" t="s">
        <v>29</v>
      </c>
      <c r="J893" s="13">
        <v>46177</v>
      </c>
      <c r="K893" s="17" t="s">
        <v>40</v>
      </c>
      <c r="L893" s="13">
        <v>46207</v>
      </c>
      <c r="M893" t="s">
        <v>99</v>
      </c>
      <c r="N893" t="s">
        <v>32</v>
      </c>
      <c r="O893" s="13">
        <v>46188</v>
      </c>
      <c r="Q893">
        <f t="shared" ca="1" si="65"/>
        <v>12</v>
      </c>
      <c r="R893">
        <f t="shared" si="66"/>
        <v>11</v>
      </c>
      <c r="S893">
        <f t="shared" ca="1" si="67"/>
        <v>18</v>
      </c>
      <c r="T893" t="str">
        <f t="shared" ca="1" si="68"/>
        <v>On Track</v>
      </c>
      <c r="U893" t="str">
        <f t="shared" ca="1" si="69"/>
        <v>Normal</v>
      </c>
    </row>
    <row r="894" spans="1:22">
      <c r="A894" t="s">
        <v>2435</v>
      </c>
      <c r="B894" t="s">
        <v>222</v>
      </c>
      <c r="C894" t="s">
        <v>2436</v>
      </c>
      <c r="D894" s="16">
        <v>3095.89</v>
      </c>
      <c r="E894" t="s">
        <v>25</v>
      </c>
      <c r="F894" t="s">
        <v>38</v>
      </c>
      <c r="H894" t="s">
        <v>28</v>
      </c>
      <c r="I894" t="s">
        <v>29</v>
      </c>
      <c r="J894" s="13">
        <v>46180</v>
      </c>
      <c r="K894" s="17" t="s">
        <v>30</v>
      </c>
      <c r="L894" s="13">
        <v>46195</v>
      </c>
      <c r="M894" t="s">
        <v>145</v>
      </c>
      <c r="N894" t="s">
        <v>32</v>
      </c>
      <c r="O894" s="13">
        <v>46185</v>
      </c>
      <c r="Q894">
        <f t="shared" ca="1" si="65"/>
        <v>9</v>
      </c>
      <c r="R894">
        <f t="shared" si="66"/>
        <v>5</v>
      </c>
      <c r="S894">
        <f t="shared" ca="1" si="67"/>
        <v>6</v>
      </c>
      <c r="T894" t="str">
        <f t="shared" ca="1" si="68"/>
        <v>On Track</v>
      </c>
      <c r="U894" t="str">
        <f t="shared" ca="1" si="69"/>
        <v>Normal</v>
      </c>
    </row>
    <row r="895" spans="1:22">
      <c r="A895" t="s">
        <v>2437</v>
      </c>
      <c r="B895" t="s">
        <v>187</v>
      </c>
      <c r="C895" t="s">
        <v>2438</v>
      </c>
      <c r="D895" s="16">
        <v>1269.3</v>
      </c>
      <c r="E895" t="s">
        <v>78</v>
      </c>
      <c r="F895" t="s">
        <v>38</v>
      </c>
      <c r="H895" t="s">
        <v>80</v>
      </c>
      <c r="I895" t="s">
        <v>29</v>
      </c>
      <c r="J895" s="13">
        <v>46160</v>
      </c>
      <c r="K895" s="17" t="s">
        <v>40</v>
      </c>
      <c r="L895" s="13">
        <v>46190</v>
      </c>
      <c r="M895" t="s">
        <v>31</v>
      </c>
      <c r="N895" t="s">
        <v>58</v>
      </c>
      <c r="O895" s="13">
        <v>46173</v>
      </c>
      <c r="P895" s="13">
        <v>46180</v>
      </c>
      <c r="Q895">
        <f t="shared" ca="1" si="65"/>
        <v>29</v>
      </c>
      <c r="R895">
        <f t="shared" si="66"/>
        <v>13</v>
      </c>
      <c r="S895">
        <f t="shared" ca="1" si="67"/>
        <v>1</v>
      </c>
      <c r="T895" t="str">
        <f t="shared" ca="1" si="68"/>
        <v>On Track</v>
      </c>
      <c r="U895" t="str">
        <f t="shared" ca="1" si="69"/>
        <v>Normal</v>
      </c>
      <c r="V895" t="s">
        <v>59</v>
      </c>
    </row>
    <row r="896" spans="1:22">
      <c r="A896" t="s">
        <v>2439</v>
      </c>
      <c r="B896" t="s">
        <v>187</v>
      </c>
      <c r="C896" t="s">
        <v>2440</v>
      </c>
      <c r="D896" s="16">
        <v>3064.83</v>
      </c>
      <c r="E896" t="s">
        <v>78</v>
      </c>
      <c r="F896" t="s">
        <v>26</v>
      </c>
      <c r="G896" t="s">
        <v>2441</v>
      </c>
      <c r="H896" t="s">
        <v>80</v>
      </c>
      <c r="I896" t="s">
        <v>29</v>
      </c>
      <c r="J896" s="13">
        <v>46151</v>
      </c>
      <c r="K896" s="17" t="s">
        <v>40</v>
      </c>
      <c r="L896" s="13">
        <v>46181</v>
      </c>
      <c r="M896" t="s">
        <v>31</v>
      </c>
      <c r="N896" t="s">
        <v>100</v>
      </c>
      <c r="O896" s="13">
        <v>46164</v>
      </c>
      <c r="P896" s="13">
        <v>46167</v>
      </c>
      <c r="Q896">
        <f t="shared" ca="1" si="65"/>
        <v>38</v>
      </c>
      <c r="R896">
        <f t="shared" si="66"/>
        <v>13</v>
      </c>
      <c r="S896">
        <f t="shared" ca="1" si="67"/>
        <v>-8</v>
      </c>
      <c r="T896" t="str">
        <f t="shared" ca="1" si="68"/>
        <v>On Track</v>
      </c>
      <c r="U896" t="str">
        <f t="shared" ca="1" si="69"/>
        <v>Normal</v>
      </c>
      <c r="V896" t="s">
        <v>101</v>
      </c>
    </row>
    <row r="897" spans="1:22">
      <c r="A897" t="s">
        <v>2442</v>
      </c>
      <c r="B897" t="s">
        <v>44</v>
      </c>
      <c r="C897" t="s">
        <v>2443</v>
      </c>
      <c r="D897" s="16">
        <v>3729.55</v>
      </c>
      <c r="E897" t="s">
        <v>126</v>
      </c>
      <c r="F897" t="s">
        <v>26</v>
      </c>
      <c r="G897" t="s">
        <v>2444</v>
      </c>
      <c r="H897" t="s">
        <v>241</v>
      </c>
      <c r="I897" t="s">
        <v>29</v>
      </c>
      <c r="J897" s="13">
        <v>46165</v>
      </c>
      <c r="K897" s="17" t="s">
        <v>30</v>
      </c>
      <c r="L897" s="13">
        <v>46180</v>
      </c>
      <c r="M897" t="s">
        <v>99</v>
      </c>
      <c r="N897" t="s">
        <v>32</v>
      </c>
      <c r="O897" s="13">
        <v>46168</v>
      </c>
      <c r="Q897">
        <f t="shared" ca="1" si="65"/>
        <v>24</v>
      </c>
      <c r="R897">
        <f t="shared" si="66"/>
        <v>3</v>
      </c>
      <c r="S897">
        <f t="shared" ca="1" si="67"/>
        <v>-9</v>
      </c>
      <c r="T897" t="str">
        <f t="shared" ca="1" si="68"/>
        <v>On Track</v>
      </c>
      <c r="U897" t="str">
        <f t="shared" ca="1" si="69"/>
        <v>At Risk</v>
      </c>
    </row>
    <row r="898" spans="1:22">
      <c r="A898" t="s">
        <v>2445</v>
      </c>
      <c r="B898" t="s">
        <v>187</v>
      </c>
      <c r="C898" t="s">
        <v>2446</v>
      </c>
      <c r="D898" s="16">
        <v>20746.009999999998</v>
      </c>
      <c r="E898" t="s">
        <v>69</v>
      </c>
      <c r="F898" t="s">
        <v>26</v>
      </c>
      <c r="G898" t="s">
        <v>2447</v>
      </c>
      <c r="H898" t="s">
        <v>178</v>
      </c>
      <c r="I898" t="s">
        <v>92</v>
      </c>
      <c r="J898" s="13">
        <v>46170</v>
      </c>
      <c r="K898" s="17" t="s">
        <v>30</v>
      </c>
      <c r="L898" s="13">
        <v>46185</v>
      </c>
      <c r="M898" t="s">
        <v>31</v>
      </c>
      <c r="N898" t="s">
        <v>179</v>
      </c>
      <c r="O898" s="13">
        <v>46182</v>
      </c>
      <c r="P898" s="13">
        <v>46183</v>
      </c>
      <c r="Q898">
        <f t="shared" ref="Q898:Q961" ca="1" si="70">IF(J898="","",TODAY()-J898)</f>
        <v>19</v>
      </c>
      <c r="R898">
        <f t="shared" ref="R898:R961" si="71">IF(O898="","",O898-J898)</f>
        <v>12</v>
      </c>
      <c r="S898">
        <f t="shared" ref="S898:S961" ca="1" si="72">IF(L898="","",L898-TODAY())</f>
        <v>-4</v>
      </c>
      <c r="T898" t="str">
        <f t="shared" ref="T898:T961" ca="1" si="73">IF(AND(M898="Pending Approval",Q898&gt;5),"Overdue","On Track")</f>
        <v>On Track</v>
      </c>
      <c r="U898" t="str">
        <f t="shared" ref="U898:U961" ca="1" si="74">IF(AND(M898&lt;&gt;"Paid",S898&lt;=5),"At Risk","Normal")</f>
        <v>Normal</v>
      </c>
      <c r="V898" t="s">
        <v>180</v>
      </c>
    </row>
    <row r="899" spans="1:22">
      <c r="A899" t="s">
        <v>2448</v>
      </c>
      <c r="B899" t="s">
        <v>82</v>
      </c>
      <c r="C899" t="s">
        <v>2449</v>
      </c>
      <c r="D899" s="16">
        <v>3209.03</v>
      </c>
      <c r="E899" t="s">
        <v>62</v>
      </c>
      <c r="F899" t="s">
        <v>26</v>
      </c>
      <c r="G899" t="s">
        <v>2450</v>
      </c>
      <c r="H899" t="s">
        <v>64</v>
      </c>
      <c r="I899" t="s">
        <v>29</v>
      </c>
      <c r="J899" s="13">
        <v>46158</v>
      </c>
      <c r="K899" s="17" t="s">
        <v>30</v>
      </c>
      <c r="L899" s="13">
        <v>46173</v>
      </c>
      <c r="M899" t="s">
        <v>99</v>
      </c>
      <c r="N899" t="s">
        <v>100</v>
      </c>
      <c r="O899" s="13">
        <v>46170</v>
      </c>
      <c r="Q899">
        <f t="shared" ca="1" si="70"/>
        <v>31</v>
      </c>
      <c r="R899">
        <f t="shared" si="71"/>
        <v>12</v>
      </c>
      <c r="S899">
        <f t="shared" ca="1" si="72"/>
        <v>-16</v>
      </c>
      <c r="T899" t="str">
        <f t="shared" ca="1" si="73"/>
        <v>On Track</v>
      </c>
      <c r="U899" t="str">
        <f t="shared" ca="1" si="74"/>
        <v>At Risk</v>
      </c>
      <c r="V899" t="s">
        <v>101</v>
      </c>
    </row>
    <row r="900" spans="1:22">
      <c r="A900" t="s">
        <v>2451</v>
      </c>
      <c r="B900" t="s">
        <v>67</v>
      </c>
      <c r="C900" t="s">
        <v>2452</v>
      </c>
      <c r="D900" s="16">
        <v>18297.849999999999</v>
      </c>
      <c r="E900" t="s">
        <v>37</v>
      </c>
      <c r="F900" t="s">
        <v>38</v>
      </c>
      <c r="H900" t="s">
        <v>815</v>
      </c>
      <c r="I900" t="s">
        <v>92</v>
      </c>
      <c r="J900" s="13">
        <v>46179</v>
      </c>
      <c r="K900" s="17" t="s">
        <v>40</v>
      </c>
      <c r="L900" s="13">
        <v>46209</v>
      </c>
      <c r="M900" t="s">
        <v>41</v>
      </c>
      <c r="N900" t="s">
        <v>32</v>
      </c>
      <c r="Q900">
        <f t="shared" ca="1" si="70"/>
        <v>10</v>
      </c>
      <c r="R900" t="str">
        <f t="shared" si="71"/>
        <v/>
      </c>
      <c r="S900">
        <f t="shared" ca="1" si="72"/>
        <v>20</v>
      </c>
      <c r="T900" t="str">
        <f t="shared" ca="1" si="73"/>
        <v>Overdue</v>
      </c>
      <c r="U900" t="str">
        <f t="shared" ca="1" si="74"/>
        <v>Normal</v>
      </c>
      <c r="V900" t="s">
        <v>42</v>
      </c>
    </row>
    <row r="901" spans="1:22">
      <c r="A901" t="s">
        <v>2453</v>
      </c>
      <c r="B901" t="s">
        <v>222</v>
      </c>
      <c r="C901" t="s">
        <v>2454</v>
      </c>
      <c r="D901" s="16">
        <v>4332.0200000000004</v>
      </c>
      <c r="E901" t="s">
        <v>25</v>
      </c>
      <c r="F901" t="s">
        <v>38</v>
      </c>
      <c r="H901" t="s">
        <v>28</v>
      </c>
      <c r="I901" t="s">
        <v>29</v>
      </c>
      <c r="J901" s="13">
        <v>46167</v>
      </c>
      <c r="K901" s="17" t="s">
        <v>49</v>
      </c>
      <c r="L901" s="13">
        <v>46212</v>
      </c>
      <c r="M901" t="s">
        <v>31</v>
      </c>
      <c r="N901" t="s">
        <v>32</v>
      </c>
      <c r="O901" s="13">
        <v>46172</v>
      </c>
      <c r="P901" s="13">
        <v>46177</v>
      </c>
      <c r="Q901">
        <f t="shared" ca="1" si="70"/>
        <v>22</v>
      </c>
      <c r="R901">
        <f t="shared" si="71"/>
        <v>5</v>
      </c>
      <c r="S901">
        <f t="shared" ca="1" si="72"/>
        <v>23</v>
      </c>
      <c r="T901" t="str">
        <f t="shared" ca="1" si="73"/>
        <v>On Track</v>
      </c>
      <c r="U901" t="str">
        <f t="shared" ca="1" si="74"/>
        <v>Normal</v>
      </c>
      <c r="V901" t="s">
        <v>33</v>
      </c>
    </row>
    <row r="902" spans="1:22">
      <c r="A902" t="s">
        <v>2455</v>
      </c>
      <c r="B902" t="s">
        <v>129</v>
      </c>
      <c r="C902" t="s">
        <v>2456</v>
      </c>
      <c r="D902" s="16">
        <v>22322.54</v>
      </c>
      <c r="E902" t="s">
        <v>55</v>
      </c>
      <c r="F902" t="s">
        <v>38</v>
      </c>
      <c r="H902" t="s">
        <v>579</v>
      </c>
      <c r="I902" t="s">
        <v>92</v>
      </c>
      <c r="J902" s="13">
        <v>46180</v>
      </c>
      <c r="K902" s="17" t="s">
        <v>30</v>
      </c>
      <c r="L902" s="13">
        <v>46195</v>
      </c>
      <c r="M902" t="s">
        <v>99</v>
      </c>
      <c r="N902" t="s">
        <v>100</v>
      </c>
      <c r="O902" s="13">
        <v>46189</v>
      </c>
      <c r="Q902">
        <f t="shared" ca="1" si="70"/>
        <v>9</v>
      </c>
      <c r="R902">
        <f t="shared" si="71"/>
        <v>9</v>
      </c>
      <c r="S902">
        <f t="shared" ca="1" si="72"/>
        <v>6</v>
      </c>
      <c r="T902" t="str">
        <f t="shared" ca="1" si="73"/>
        <v>On Track</v>
      </c>
      <c r="U902" t="str">
        <f t="shared" ca="1" si="74"/>
        <v>Normal</v>
      </c>
      <c r="V902" t="s">
        <v>101</v>
      </c>
    </row>
    <row r="903" spans="1:22">
      <c r="A903" t="s">
        <v>2457</v>
      </c>
      <c r="B903" t="s">
        <v>124</v>
      </c>
      <c r="C903" t="s">
        <v>2458</v>
      </c>
      <c r="D903" s="16">
        <v>1679.27</v>
      </c>
      <c r="E903" t="s">
        <v>46</v>
      </c>
      <c r="F903" t="s">
        <v>38</v>
      </c>
      <c r="H903" t="s">
        <v>48</v>
      </c>
      <c r="I903" t="s">
        <v>29</v>
      </c>
      <c r="J903" s="13">
        <v>46159</v>
      </c>
      <c r="K903" s="17" t="s">
        <v>49</v>
      </c>
      <c r="L903" s="13">
        <v>46204</v>
      </c>
      <c r="M903" t="s">
        <v>31</v>
      </c>
      <c r="N903" t="s">
        <v>32</v>
      </c>
      <c r="O903" s="13">
        <v>46162</v>
      </c>
      <c r="P903" s="13">
        <v>46167</v>
      </c>
      <c r="Q903">
        <f t="shared" ca="1" si="70"/>
        <v>30</v>
      </c>
      <c r="R903">
        <f t="shared" si="71"/>
        <v>3</v>
      </c>
      <c r="S903">
        <f t="shared" ca="1" si="72"/>
        <v>15</v>
      </c>
      <c r="T903" t="str">
        <f t="shared" ca="1" si="73"/>
        <v>On Track</v>
      </c>
      <c r="U903" t="str">
        <f t="shared" ca="1" si="74"/>
        <v>Normal</v>
      </c>
      <c r="V903" t="s">
        <v>33</v>
      </c>
    </row>
    <row r="904" spans="1:22">
      <c r="A904" t="s">
        <v>2459</v>
      </c>
      <c r="B904" t="s">
        <v>251</v>
      </c>
      <c r="C904" t="s">
        <v>2460</v>
      </c>
      <c r="D904" s="16">
        <v>11960.69</v>
      </c>
      <c r="E904" t="s">
        <v>69</v>
      </c>
      <c r="F904" t="s">
        <v>38</v>
      </c>
      <c r="H904" t="s">
        <v>178</v>
      </c>
      <c r="I904" t="s">
        <v>92</v>
      </c>
      <c r="J904" s="13">
        <v>46158</v>
      </c>
      <c r="K904" s="17" t="s">
        <v>40</v>
      </c>
      <c r="L904" s="13">
        <v>46188</v>
      </c>
      <c r="M904" t="s">
        <v>31</v>
      </c>
      <c r="N904" t="s">
        <v>32</v>
      </c>
      <c r="O904" s="13">
        <v>46165</v>
      </c>
      <c r="P904" s="13">
        <v>46168</v>
      </c>
      <c r="Q904">
        <f t="shared" ca="1" si="70"/>
        <v>31</v>
      </c>
      <c r="R904">
        <f t="shared" si="71"/>
        <v>7</v>
      </c>
      <c r="S904">
        <f t="shared" ca="1" si="72"/>
        <v>-1</v>
      </c>
      <c r="T904" t="str">
        <f t="shared" ca="1" si="73"/>
        <v>On Track</v>
      </c>
      <c r="U904" t="str">
        <f t="shared" ca="1" si="74"/>
        <v>Normal</v>
      </c>
      <c r="V904" t="s">
        <v>33</v>
      </c>
    </row>
    <row r="905" spans="1:22">
      <c r="A905" t="s">
        <v>2461</v>
      </c>
      <c r="B905" t="s">
        <v>109</v>
      </c>
      <c r="C905" t="s">
        <v>2462</v>
      </c>
      <c r="D905" s="16">
        <v>495.69</v>
      </c>
      <c r="E905" t="s">
        <v>78</v>
      </c>
      <c r="F905" t="s">
        <v>38</v>
      </c>
      <c r="H905" t="s">
        <v>80</v>
      </c>
      <c r="I905" t="s">
        <v>29</v>
      </c>
      <c r="J905" s="13">
        <v>46189</v>
      </c>
      <c r="K905" s="17" t="s">
        <v>40</v>
      </c>
      <c r="L905" s="13">
        <v>46219</v>
      </c>
      <c r="M905" t="s">
        <v>41</v>
      </c>
      <c r="N905" t="s">
        <v>32</v>
      </c>
      <c r="Q905">
        <f t="shared" ca="1" si="70"/>
        <v>0</v>
      </c>
      <c r="R905" t="str">
        <f t="shared" si="71"/>
        <v/>
      </c>
      <c r="S905">
        <f t="shared" ca="1" si="72"/>
        <v>30</v>
      </c>
      <c r="T905" t="str">
        <f t="shared" ca="1" si="73"/>
        <v>On Track</v>
      </c>
      <c r="U905" t="str">
        <f t="shared" ca="1" si="74"/>
        <v>Normal</v>
      </c>
      <c r="V905" t="s">
        <v>42</v>
      </c>
    </row>
    <row r="906" spans="1:22">
      <c r="A906" t="s">
        <v>2463</v>
      </c>
      <c r="B906" t="s">
        <v>172</v>
      </c>
      <c r="C906" t="s">
        <v>2464</v>
      </c>
      <c r="D906" s="16">
        <v>3964.53</v>
      </c>
      <c r="E906" t="s">
        <v>25</v>
      </c>
      <c r="F906" t="s">
        <v>26</v>
      </c>
      <c r="G906" t="s">
        <v>2465</v>
      </c>
      <c r="H906" t="s">
        <v>28</v>
      </c>
      <c r="I906" t="s">
        <v>29</v>
      </c>
      <c r="J906" s="13">
        <v>46188</v>
      </c>
      <c r="K906" s="17" t="s">
        <v>40</v>
      </c>
      <c r="L906" s="13">
        <v>46218</v>
      </c>
      <c r="M906" t="s">
        <v>99</v>
      </c>
      <c r="N906" t="s">
        <v>32</v>
      </c>
      <c r="O906" s="13">
        <v>46189</v>
      </c>
      <c r="Q906">
        <f t="shared" ca="1" si="70"/>
        <v>1</v>
      </c>
      <c r="R906">
        <f t="shared" si="71"/>
        <v>1</v>
      </c>
      <c r="S906">
        <f t="shared" ca="1" si="72"/>
        <v>29</v>
      </c>
      <c r="T906" t="str">
        <f t="shared" ca="1" si="73"/>
        <v>On Track</v>
      </c>
      <c r="U906" t="str">
        <f t="shared" ca="1" si="74"/>
        <v>Normal</v>
      </c>
    </row>
    <row r="907" spans="1:22">
      <c r="A907" t="s">
        <v>2466</v>
      </c>
      <c r="B907" t="s">
        <v>251</v>
      </c>
      <c r="C907" t="s">
        <v>2467</v>
      </c>
      <c r="D907" s="16">
        <v>2926.49</v>
      </c>
      <c r="E907" t="s">
        <v>302</v>
      </c>
      <c r="F907" t="s">
        <v>26</v>
      </c>
      <c r="G907" t="s">
        <v>2468</v>
      </c>
      <c r="H907" t="s">
        <v>304</v>
      </c>
      <c r="I907" t="s">
        <v>29</v>
      </c>
      <c r="J907" s="13">
        <v>46147</v>
      </c>
      <c r="K907" s="17" t="s">
        <v>49</v>
      </c>
      <c r="L907" s="13">
        <v>46192</v>
      </c>
      <c r="M907" t="s">
        <v>31</v>
      </c>
      <c r="N907" t="s">
        <v>50</v>
      </c>
      <c r="O907" s="13">
        <v>46162</v>
      </c>
      <c r="P907" s="13">
        <v>46166</v>
      </c>
      <c r="Q907">
        <f t="shared" ca="1" si="70"/>
        <v>42</v>
      </c>
      <c r="R907">
        <f t="shared" si="71"/>
        <v>15</v>
      </c>
      <c r="S907">
        <f t="shared" ca="1" si="72"/>
        <v>3</v>
      </c>
      <c r="T907" t="str">
        <f t="shared" ca="1" si="73"/>
        <v>On Track</v>
      </c>
      <c r="U907" t="str">
        <f t="shared" ca="1" si="74"/>
        <v>Normal</v>
      </c>
      <c r="V907" t="s">
        <v>51</v>
      </c>
    </row>
    <row r="908" spans="1:22">
      <c r="A908" t="s">
        <v>2469</v>
      </c>
      <c r="B908" t="s">
        <v>124</v>
      </c>
      <c r="C908" t="s">
        <v>2470</v>
      </c>
      <c r="D908" s="16">
        <v>1975.94</v>
      </c>
      <c r="E908" t="s">
        <v>302</v>
      </c>
      <c r="F908" t="s">
        <v>38</v>
      </c>
      <c r="H908" t="s">
        <v>304</v>
      </c>
      <c r="I908" t="s">
        <v>29</v>
      </c>
      <c r="J908" s="13">
        <v>46178</v>
      </c>
      <c r="K908" s="17" t="s">
        <v>30</v>
      </c>
      <c r="L908" s="13">
        <v>46193</v>
      </c>
      <c r="M908" t="s">
        <v>65</v>
      </c>
      <c r="N908" t="s">
        <v>50</v>
      </c>
      <c r="Q908">
        <f t="shared" ca="1" si="70"/>
        <v>11</v>
      </c>
      <c r="R908" t="str">
        <f t="shared" si="71"/>
        <v/>
      </c>
      <c r="S908">
        <f t="shared" ca="1" si="72"/>
        <v>4</v>
      </c>
      <c r="T908" t="str">
        <f t="shared" ca="1" si="73"/>
        <v>On Track</v>
      </c>
      <c r="U908" t="str">
        <f t="shared" ca="1" si="74"/>
        <v>At Risk</v>
      </c>
      <c r="V908" t="s">
        <v>51</v>
      </c>
    </row>
    <row r="909" spans="1:22">
      <c r="A909" t="s">
        <v>2471</v>
      </c>
      <c r="B909" t="s">
        <v>115</v>
      </c>
      <c r="C909" t="s">
        <v>2472</v>
      </c>
      <c r="D909" s="16">
        <v>11648.42</v>
      </c>
      <c r="E909" t="s">
        <v>126</v>
      </c>
      <c r="F909" t="s">
        <v>38</v>
      </c>
      <c r="H909" t="s">
        <v>127</v>
      </c>
      <c r="I909" t="s">
        <v>92</v>
      </c>
      <c r="J909" s="13">
        <v>46171</v>
      </c>
      <c r="K909" s="17" t="s">
        <v>40</v>
      </c>
      <c r="L909" s="13">
        <v>46201</v>
      </c>
      <c r="M909" t="s">
        <v>99</v>
      </c>
      <c r="N909" t="s">
        <v>58</v>
      </c>
      <c r="O909" s="13">
        <v>46188</v>
      </c>
      <c r="Q909">
        <f t="shared" ca="1" si="70"/>
        <v>18</v>
      </c>
      <c r="R909">
        <f t="shared" si="71"/>
        <v>17</v>
      </c>
      <c r="S909">
        <f t="shared" ca="1" si="72"/>
        <v>12</v>
      </c>
      <c r="T909" t="str">
        <f t="shared" ca="1" si="73"/>
        <v>On Track</v>
      </c>
      <c r="U909" t="str">
        <f t="shared" ca="1" si="74"/>
        <v>Normal</v>
      </c>
      <c r="V909" t="s">
        <v>59</v>
      </c>
    </row>
    <row r="910" spans="1:22">
      <c r="A910" t="s">
        <v>2473</v>
      </c>
      <c r="B910" t="s">
        <v>118</v>
      </c>
      <c r="C910" t="s">
        <v>2474</v>
      </c>
      <c r="D910" s="16">
        <v>23290.53</v>
      </c>
      <c r="E910" t="s">
        <v>156</v>
      </c>
      <c r="F910" t="s">
        <v>26</v>
      </c>
      <c r="G910" t="s">
        <v>2475</v>
      </c>
      <c r="H910" t="s">
        <v>394</v>
      </c>
      <c r="I910" t="s">
        <v>92</v>
      </c>
      <c r="J910" s="13">
        <v>46180</v>
      </c>
      <c r="K910" s="17" t="s">
        <v>49</v>
      </c>
      <c r="L910" s="13">
        <v>46225</v>
      </c>
      <c r="M910" t="s">
        <v>99</v>
      </c>
      <c r="N910" t="s">
        <v>32</v>
      </c>
      <c r="O910" s="13">
        <v>46187</v>
      </c>
      <c r="Q910">
        <f t="shared" ca="1" si="70"/>
        <v>9</v>
      </c>
      <c r="R910">
        <f t="shared" si="71"/>
        <v>7</v>
      </c>
      <c r="S910">
        <f t="shared" ca="1" si="72"/>
        <v>36</v>
      </c>
      <c r="T910" t="str">
        <f t="shared" ca="1" si="73"/>
        <v>On Track</v>
      </c>
      <c r="U910" t="str">
        <f t="shared" ca="1" si="74"/>
        <v>Normal</v>
      </c>
    </row>
    <row r="911" spans="1:22">
      <c r="A911" t="s">
        <v>2476</v>
      </c>
      <c r="B911" t="s">
        <v>222</v>
      </c>
      <c r="C911" t="s">
        <v>2477</v>
      </c>
      <c r="D911" s="16">
        <v>3355.82</v>
      </c>
      <c r="E911" t="s">
        <v>302</v>
      </c>
      <c r="F911" t="s">
        <v>26</v>
      </c>
      <c r="G911" t="s">
        <v>2478</v>
      </c>
      <c r="H911" t="s">
        <v>304</v>
      </c>
      <c r="I911" t="s">
        <v>29</v>
      </c>
      <c r="J911" s="13">
        <v>46178</v>
      </c>
      <c r="K911" s="17" t="s">
        <v>49</v>
      </c>
      <c r="L911" s="13">
        <v>46223</v>
      </c>
      <c r="M911" t="s">
        <v>31</v>
      </c>
      <c r="N911" t="s">
        <v>32</v>
      </c>
      <c r="O911" s="13">
        <v>46186</v>
      </c>
      <c r="P911" s="13">
        <v>46189</v>
      </c>
      <c r="Q911">
        <f t="shared" ca="1" si="70"/>
        <v>11</v>
      </c>
      <c r="R911">
        <f t="shared" si="71"/>
        <v>8</v>
      </c>
      <c r="S911">
        <f t="shared" ca="1" si="72"/>
        <v>34</v>
      </c>
      <c r="T911" t="str">
        <f t="shared" ca="1" si="73"/>
        <v>On Track</v>
      </c>
      <c r="U911" t="str">
        <f t="shared" ca="1" si="74"/>
        <v>Normal</v>
      </c>
      <c r="V911" t="s">
        <v>33</v>
      </c>
    </row>
    <row r="912" spans="1:22">
      <c r="A912" t="s">
        <v>2479</v>
      </c>
      <c r="B912" t="s">
        <v>44</v>
      </c>
      <c r="C912" t="s">
        <v>2480</v>
      </c>
      <c r="D912" s="16">
        <v>3221.29</v>
      </c>
      <c r="E912" t="s">
        <v>111</v>
      </c>
      <c r="F912" t="s">
        <v>38</v>
      </c>
      <c r="H912" t="s">
        <v>113</v>
      </c>
      <c r="I912" t="s">
        <v>29</v>
      </c>
      <c r="J912" s="13">
        <v>46144</v>
      </c>
      <c r="K912" s="17" t="s">
        <v>30</v>
      </c>
      <c r="L912" s="13">
        <v>46159</v>
      </c>
      <c r="M912" t="s">
        <v>31</v>
      </c>
      <c r="N912" t="s">
        <v>32</v>
      </c>
      <c r="O912" s="13">
        <v>46151</v>
      </c>
      <c r="P912" s="13">
        <v>46152</v>
      </c>
      <c r="Q912">
        <f t="shared" ca="1" si="70"/>
        <v>45</v>
      </c>
      <c r="R912">
        <f t="shared" si="71"/>
        <v>7</v>
      </c>
      <c r="S912">
        <f t="shared" ca="1" si="72"/>
        <v>-30</v>
      </c>
      <c r="T912" t="str">
        <f t="shared" ca="1" si="73"/>
        <v>On Track</v>
      </c>
      <c r="U912" t="str">
        <f t="shared" ca="1" si="74"/>
        <v>Normal</v>
      </c>
      <c r="V912" t="s">
        <v>33</v>
      </c>
    </row>
    <row r="913" spans="1:22">
      <c r="A913" t="s">
        <v>2481</v>
      </c>
      <c r="B913" t="s">
        <v>94</v>
      </c>
      <c r="C913" t="s">
        <v>2482</v>
      </c>
      <c r="D913" s="16">
        <v>1882.19</v>
      </c>
      <c r="E913" t="s">
        <v>62</v>
      </c>
      <c r="F913" t="s">
        <v>38</v>
      </c>
      <c r="H913" t="s">
        <v>64</v>
      </c>
      <c r="I913" t="s">
        <v>29</v>
      </c>
      <c r="J913" s="13">
        <v>46179</v>
      </c>
      <c r="K913" s="17" t="s">
        <v>57</v>
      </c>
      <c r="L913" s="13">
        <v>46209</v>
      </c>
      <c r="M913" t="s">
        <v>65</v>
      </c>
      <c r="N913" t="s">
        <v>32</v>
      </c>
      <c r="Q913">
        <f t="shared" ca="1" si="70"/>
        <v>10</v>
      </c>
      <c r="R913" t="str">
        <f t="shared" si="71"/>
        <v/>
      </c>
      <c r="S913">
        <f t="shared" ca="1" si="72"/>
        <v>20</v>
      </c>
      <c r="T913" t="str">
        <f t="shared" ca="1" si="73"/>
        <v>On Track</v>
      </c>
      <c r="U913" t="str">
        <f t="shared" ca="1" si="74"/>
        <v>Normal</v>
      </c>
    </row>
    <row r="914" spans="1:22">
      <c r="A914" t="s">
        <v>2483</v>
      </c>
      <c r="B914" t="s">
        <v>73</v>
      </c>
      <c r="C914" t="s">
        <v>2484</v>
      </c>
      <c r="D914" s="16">
        <v>1423.93</v>
      </c>
      <c r="E914" t="s">
        <v>25</v>
      </c>
      <c r="F914" t="s">
        <v>38</v>
      </c>
      <c r="H914" t="s">
        <v>28</v>
      </c>
      <c r="I914" t="s">
        <v>29</v>
      </c>
      <c r="J914" s="13">
        <v>46160</v>
      </c>
      <c r="K914" s="17" t="s">
        <v>40</v>
      </c>
      <c r="L914" s="13">
        <v>46190</v>
      </c>
      <c r="M914" t="s">
        <v>31</v>
      </c>
      <c r="N914" t="s">
        <v>32</v>
      </c>
      <c r="O914" s="13">
        <v>46166</v>
      </c>
      <c r="P914" s="13">
        <v>46194</v>
      </c>
      <c r="Q914">
        <f t="shared" ca="1" si="70"/>
        <v>29</v>
      </c>
      <c r="R914">
        <f t="shared" si="71"/>
        <v>6</v>
      </c>
      <c r="S914">
        <f t="shared" ca="1" si="72"/>
        <v>1</v>
      </c>
      <c r="T914" t="str">
        <f t="shared" ca="1" si="73"/>
        <v>On Track</v>
      </c>
      <c r="U914" t="str">
        <f t="shared" ca="1" si="74"/>
        <v>Normal</v>
      </c>
      <c r="V914" t="s">
        <v>107</v>
      </c>
    </row>
    <row r="915" spans="1:22">
      <c r="A915" t="s">
        <v>2485</v>
      </c>
      <c r="B915" t="s">
        <v>271</v>
      </c>
      <c r="C915" t="s">
        <v>2486</v>
      </c>
      <c r="D915" s="16">
        <v>2253.41</v>
      </c>
      <c r="E915" t="s">
        <v>111</v>
      </c>
      <c r="F915" t="s">
        <v>26</v>
      </c>
      <c r="G915" t="s">
        <v>2487</v>
      </c>
      <c r="H915" t="s">
        <v>113</v>
      </c>
      <c r="I915" t="s">
        <v>29</v>
      </c>
      <c r="J915" s="13">
        <v>46189</v>
      </c>
      <c r="K915" s="17" t="s">
        <v>57</v>
      </c>
      <c r="L915" s="13">
        <v>46219</v>
      </c>
      <c r="M915" t="s">
        <v>99</v>
      </c>
      <c r="N915" t="s">
        <v>32</v>
      </c>
      <c r="O915" s="13">
        <v>46189</v>
      </c>
      <c r="Q915">
        <f t="shared" ca="1" si="70"/>
        <v>0</v>
      </c>
      <c r="R915">
        <f t="shared" si="71"/>
        <v>0</v>
      </c>
      <c r="S915">
        <f t="shared" ca="1" si="72"/>
        <v>30</v>
      </c>
      <c r="T915" t="str">
        <f t="shared" ca="1" si="73"/>
        <v>On Track</v>
      </c>
      <c r="U915" t="str">
        <f t="shared" ca="1" si="74"/>
        <v>Normal</v>
      </c>
    </row>
    <row r="916" spans="1:22">
      <c r="A916" t="s">
        <v>2488</v>
      </c>
      <c r="B916" t="s">
        <v>118</v>
      </c>
      <c r="C916" t="s">
        <v>2489</v>
      </c>
      <c r="D916" s="16">
        <v>453.54</v>
      </c>
      <c r="E916" t="s">
        <v>142</v>
      </c>
      <c r="F916" t="s">
        <v>26</v>
      </c>
      <c r="G916" t="s">
        <v>2490</v>
      </c>
      <c r="H916" t="s">
        <v>335</v>
      </c>
      <c r="I916" t="s">
        <v>29</v>
      </c>
      <c r="J916" s="13">
        <v>46148</v>
      </c>
      <c r="K916" s="17" t="s">
        <v>40</v>
      </c>
      <c r="L916" s="13">
        <v>46178</v>
      </c>
      <c r="M916" t="s">
        <v>31</v>
      </c>
      <c r="N916" t="s">
        <v>32</v>
      </c>
      <c r="O916" s="13">
        <v>46150</v>
      </c>
      <c r="P916" s="13">
        <v>46153</v>
      </c>
      <c r="Q916">
        <f t="shared" ca="1" si="70"/>
        <v>41</v>
      </c>
      <c r="R916">
        <f t="shared" si="71"/>
        <v>2</v>
      </c>
      <c r="S916">
        <f t="shared" ca="1" si="72"/>
        <v>-11</v>
      </c>
      <c r="T916" t="str">
        <f t="shared" ca="1" si="73"/>
        <v>On Track</v>
      </c>
      <c r="U916" t="str">
        <f t="shared" ca="1" si="74"/>
        <v>Normal</v>
      </c>
      <c r="V916" t="s">
        <v>33</v>
      </c>
    </row>
    <row r="917" spans="1:22">
      <c r="A917" t="s">
        <v>2491</v>
      </c>
      <c r="B917" t="s">
        <v>103</v>
      </c>
      <c r="C917" t="s">
        <v>2492</v>
      </c>
      <c r="D917" s="16">
        <v>3170.59</v>
      </c>
      <c r="E917" t="s">
        <v>111</v>
      </c>
      <c r="F917" t="s">
        <v>38</v>
      </c>
      <c r="H917" t="s">
        <v>113</v>
      </c>
      <c r="I917" t="s">
        <v>29</v>
      </c>
      <c r="J917" s="13">
        <v>46153</v>
      </c>
      <c r="K917" s="17" t="s">
        <v>30</v>
      </c>
      <c r="L917" s="13">
        <v>46168</v>
      </c>
      <c r="M917" t="s">
        <v>41</v>
      </c>
      <c r="N917" t="s">
        <v>32</v>
      </c>
      <c r="Q917">
        <f t="shared" ca="1" si="70"/>
        <v>36</v>
      </c>
      <c r="R917" t="str">
        <f t="shared" si="71"/>
        <v/>
      </c>
      <c r="S917">
        <f t="shared" ca="1" si="72"/>
        <v>-21</v>
      </c>
      <c r="T917" t="str">
        <f t="shared" ca="1" si="73"/>
        <v>Overdue</v>
      </c>
      <c r="U917" t="str">
        <f t="shared" ca="1" si="74"/>
        <v>At Risk</v>
      </c>
      <c r="V917" t="s">
        <v>42</v>
      </c>
    </row>
    <row r="918" spans="1:22">
      <c r="A918" t="s">
        <v>2493</v>
      </c>
      <c r="B918" t="s">
        <v>251</v>
      </c>
      <c r="C918" t="s">
        <v>2494</v>
      </c>
      <c r="D918" s="16">
        <v>979.42</v>
      </c>
      <c r="E918" t="s">
        <v>156</v>
      </c>
      <c r="F918" t="s">
        <v>26</v>
      </c>
      <c r="G918" t="s">
        <v>2495</v>
      </c>
      <c r="H918" t="s">
        <v>157</v>
      </c>
      <c r="I918" t="s">
        <v>29</v>
      </c>
      <c r="J918" s="13">
        <v>46181</v>
      </c>
      <c r="K918" s="17" t="s">
        <v>30</v>
      </c>
      <c r="L918" s="13">
        <v>46196</v>
      </c>
      <c r="M918" t="s">
        <v>41</v>
      </c>
      <c r="N918" t="s">
        <v>32</v>
      </c>
      <c r="Q918">
        <f t="shared" ca="1" si="70"/>
        <v>8</v>
      </c>
      <c r="R918" t="str">
        <f t="shared" si="71"/>
        <v/>
      </c>
      <c r="S918">
        <f t="shared" ca="1" si="72"/>
        <v>7</v>
      </c>
      <c r="T918" t="str">
        <f t="shared" ca="1" si="73"/>
        <v>Overdue</v>
      </c>
      <c r="U918" t="str">
        <f t="shared" ca="1" si="74"/>
        <v>Normal</v>
      </c>
      <c r="V918" t="s">
        <v>42</v>
      </c>
    </row>
    <row r="919" spans="1:22">
      <c r="A919" t="s">
        <v>2496</v>
      </c>
      <c r="B919" t="s">
        <v>109</v>
      </c>
      <c r="C919" t="s">
        <v>2497</v>
      </c>
      <c r="D919" s="16">
        <v>2895.76</v>
      </c>
      <c r="E919" t="s">
        <v>69</v>
      </c>
      <c r="F919" t="s">
        <v>26</v>
      </c>
      <c r="G919" t="s">
        <v>2498</v>
      </c>
      <c r="H919" t="s">
        <v>71</v>
      </c>
      <c r="I919" t="s">
        <v>29</v>
      </c>
      <c r="J919" s="13">
        <v>46168</v>
      </c>
      <c r="K919" s="17" t="s">
        <v>30</v>
      </c>
      <c r="L919" s="13">
        <v>46183</v>
      </c>
      <c r="M919" t="s">
        <v>31</v>
      </c>
      <c r="N919" t="s">
        <v>32</v>
      </c>
      <c r="O919" s="13">
        <v>46171</v>
      </c>
      <c r="P919" s="13">
        <v>46177</v>
      </c>
      <c r="Q919">
        <f t="shared" ca="1" si="70"/>
        <v>21</v>
      </c>
      <c r="R919">
        <f t="shared" si="71"/>
        <v>3</v>
      </c>
      <c r="S919">
        <f t="shared" ca="1" si="72"/>
        <v>-6</v>
      </c>
      <c r="T919" t="str">
        <f t="shared" ca="1" si="73"/>
        <v>On Track</v>
      </c>
      <c r="U919" t="str">
        <f t="shared" ca="1" si="74"/>
        <v>Normal</v>
      </c>
      <c r="V919" t="s">
        <v>33</v>
      </c>
    </row>
    <row r="920" spans="1:22">
      <c r="A920" t="s">
        <v>2499</v>
      </c>
      <c r="B920" t="s">
        <v>137</v>
      </c>
      <c r="C920" t="s">
        <v>2500</v>
      </c>
      <c r="D920" s="16">
        <v>4790.05</v>
      </c>
      <c r="E920" t="s">
        <v>126</v>
      </c>
      <c r="F920" t="s">
        <v>38</v>
      </c>
      <c r="H920" t="s">
        <v>241</v>
      </c>
      <c r="I920" t="s">
        <v>29</v>
      </c>
      <c r="J920" s="13">
        <v>46170</v>
      </c>
      <c r="K920" s="17" t="s">
        <v>30</v>
      </c>
      <c r="L920" s="13">
        <v>46185</v>
      </c>
      <c r="M920" t="s">
        <v>145</v>
      </c>
      <c r="N920" t="s">
        <v>50</v>
      </c>
      <c r="O920" s="13">
        <v>46187</v>
      </c>
      <c r="Q920">
        <f t="shared" ca="1" si="70"/>
        <v>19</v>
      </c>
      <c r="R920">
        <f t="shared" si="71"/>
        <v>17</v>
      </c>
      <c r="S920">
        <f t="shared" ca="1" si="72"/>
        <v>-4</v>
      </c>
      <c r="T920" t="str">
        <f t="shared" ca="1" si="73"/>
        <v>On Track</v>
      </c>
      <c r="U920" t="str">
        <f t="shared" ca="1" si="74"/>
        <v>At Risk</v>
      </c>
      <c r="V920" t="s">
        <v>51</v>
      </c>
    </row>
    <row r="921" spans="1:22">
      <c r="A921" t="s">
        <v>2501</v>
      </c>
      <c r="B921" t="s">
        <v>73</v>
      </c>
      <c r="C921" t="s">
        <v>2502</v>
      </c>
      <c r="D921" s="16">
        <v>2867.36</v>
      </c>
      <c r="E921" t="s">
        <v>156</v>
      </c>
      <c r="F921" t="s">
        <v>38</v>
      </c>
      <c r="H921" t="s">
        <v>157</v>
      </c>
      <c r="I921" t="s">
        <v>29</v>
      </c>
      <c r="J921" s="13">
        <v>46165</v>
      </c>
      <c r="K921" s="17" t="s">
        <v>57</v>
      </c>
      <c r="L921" s="13">
        <v>46195</v>
      </c>
      <c r="M921" t="s">
        <v>31</v>
      </c>
      <c r="N921" t="s">
        <v>58</v>
      </c>
      <c r="O921" s="13">
        <v>46179</v>
      </c>
      <c r="P921" s="13">
        <v>46180</v>
      </c>
      <c r="Q921">
        <f t="shared" ca="1" si="70"/>
        <v>24</v>
      </c>
      <c r="R921">
        <f t="shared" si="71"/>
        <v>14</v>
      </c>
      <c r="S921">
        <f t="shared" ca="1" si="72"/>
        <v>6</v>
      </c>
      <c r="T921" t="str">
        <f t="shared" ca="1" si="73"/>
        <v>On Track</v>
      </c>
      <c r="U921" t="str">
        <f t="shared" ca="1" si="74"/>
        <v>Normal</v>
      </c>
      <c r="V921" t="s">
        <v>59</v>
      </c>
    </row>
    <row r="922" spans="1:22">
      <c r="A922" t="s">
        <v>2503</v>
      </c>
      <c r="B922" t="s">
        <v>129</v>
      </c>
      <c r="C922" t="s">
        <v>2504</v>
      </c>
      <c r="D922" s="16">
        <v>22164.42</v>
      </c>
      <c r="E922" t="s">
        <v>62</v>
      </c>
      <c r="F922" t="s">
        <v>26</v>
      </c>
      <c r="G922" t="s">
        <v>2505</v>
      </c>
      <c r="H922" t="s">
        <v>106</v>
      </c>
      <c r="I922" t="s">
        <v>92</v>
      </c>
      <c r="J922" s="13">
        <v>46179</v>
      </c>
      <c r="K922" s="17" t="s">
        <v>30</v>
      </c>
      <c r="L922" s="13">
        <v>46194</v>
      </c>
      <c r="M922" t="s">
        <v>99</v>
      </c>
      <c r="N922" t="s">
        <v>213</v>
      </c>
      <c r="O922" s="13">
        <v>46189</v>
      </c>
      <c r="Q922">
        <f t="shared" ca="1" si="70"/>
        <v>10</v>
      </c>
      <c r="R922">
        <f t="shared" si="71"/>
        <v>10</v>
      </c>
      <c r="S922">
        <f t="shared" ca="1" si="72"/>
        <v>5</v>
      </c>
      <c r="T922" t="str">
        <f t="shared" ca="1" si="73"/>
        <v>On Track</v>
      </c>
      <c r="U922" t="str">
        <f t="shared" ca="1" si="74"/>
        <v>At Risk</v>
      </c>
      <c r="V922" t="s">
        <v>214</v>
      </c>
    </row>
    <row r="923" spans="1:22">
      <c r="A923" t="s">
        <v>2506</v>
      </c>
      <c r="B923" t="s">
        <v>129</v>
      </c>
      <c r="C923" t="s">
        <v>2507</v>
      </c>
      <c r="D923" s="16">
        <v>24241.53</v>
      </c>
      <c r="E923" t="s">
        <v>37</v>
      </c>
      <c r="F923" t="s">
        <v>38</v>
      </c>
      <c r="H923" t="s">
        <v>815</v>
      </c>
      <c r="I923" t="s">
        <v>92</v>
      </c>
      <c r="J923" s="13">
        <v>46159</v>
      </c>
      <c r="K923" s="17" t="s">
        <v>40</v>
      </c>
      <c r="L923" s="13">
        <v>46189</v>
      </c>
      <c r="M923" t="s">
        <v>31</v>
      </c>
      <c r="N923" t="s">
        <v>32</v>
      </c>
      <c r="O923" s="13">
        <v>46167</v>
      </c>
      <c r="P923" s="13">
        <v>46168</v>
      </c>
      <c r="Q923">
        <f t="shared" ca="1" si="70"/>
        <v>30</v>
      </c>
      <c r="R923">
        <f t="shared" si="71"/>
        <v>8</v>
      </c>
      <c r="S923">
        <f t="shared" ca="1" si="72"/>
        <v>0</v>
      </c>
      <c r="T923" t="str">
        <f t="shared" ca="1" si="73"/>
        <v>On Track</v>
      </c>
      <c r="U923" t="str">
        <f t="shared" ca="1" si="74"/>
        <v>Normal</v>
      </c>
      <c r="V923" t="s">
        <v>33</v>
      </c>
    </row>
    <row r="924" spans="1:22">
      <c r="A924" t="s">
        <v>2508</v>
      </c>
      <c r="B924" t="s">
        <v>168</v>
      </c>
      <c r="C924" t="s">
        <v>2509</v>
      </c>
      <c r="D924" s="16">
        <v>925.21</v>
      </c>
      <c r="E924" t="s">
        <v>55</v>
      </c>
      <c r="F924" t="s">
        <v>26</v>
      </c>
      <c r="G924" t="s">
        <v>2510</v>
      </c>
      <c r="H924" t="s">
        <v>56</v>
      </c>
      <c r="I924" t="s">
        <v>29</v>
      </c>
      <c r="J924" s="13">
        <v>46156</v>
      </c>
      <c r="K924" s="17" t="s">
        <v>57</v>
      </c>
      <c r="L924" s="13">
        <v>46186</v>
      </c>
      <c r="M924" t="s">
        <v>31</v>
      </c>
      <c r="N924" t="s">
        <v>179</v>
      </c>
      <c r="O924" s="13">
        <v>46161</v>
      </c>
      <c r="P924" s="13">
        <v>46164</v>
      </c>
      <c r="Q924">
        <f t="shared" ca="1" si="70"/>
        <v>33</v>
      </c>
      <c r="R924">
        <f t="shared" si="71"/>
        <v>5</v>
      </c>
      <c r="S924">
        <f t="shared" ca="1" si="72"/>
        <v>-3</v>
      </c>
      <c r="T924" t="str">
        <f t="shared" ca="1" si="73"/>
        <v>On Track</v>
      </c>
      <c r="U924" t="str">
        <f t="shared" ca="1" si="74"/>
        <v>Normal</v>
      </c>
      <c r="V924" t="s">
        <v>180</v>
      </c>
    </row>
    <row r="925" spans="1:22">
      <c r="A925" t="s">
        <v>2511</v>
      </c>
      <c r="B925" t="s">
        <v>67</v>
      </c>
      <c r="C925" t="s">
        <v>2512</v>
      </c>
      <c r="D925" s="16">
        <v>19485.650000000001</v>
      </c>
      <c r="E925" t="s">
        <v>69</v>
      </c>
      <c r="F925" t="s">
        <v>26</v>
      </c>
      <c r="G925" t="s">
        <v>2513</v>
      </c>
      <c r="H925" t="s">
        <v>178</v>
      </c>
      <c r="I925" t="s">
        <v>92</v>
      </c>
      <c r="J925" s="13">
        <v>46171</v>
      </c>
      <c r="K925" s="17" t="s">
        <v>30</v>
      </c>
      <c r="L925" s="13">
        <v>46186</v>
      </c>
      <c r="M925" t="s">
        <v>31</v>
      </c>
      <c r="N925" t="s">
        <v>32</v>
      </c>
      <c r="O925" s="13">
        <v>46173</v>
      </c>
      <c r="P925" s="13">
        <v>46194</v>
      </c>
      <c r="Q925">
        <f t="shared" ca="1" si="70"/>
        <v>18</v>
      </c>
      <c r="R925">
        <f t="shared" si="71"/>
        <v>2</v>
      </c>
      <c r="S925">
        <f t="shared" ca="1" si="72"/>
        <v>-3</v>
      </c>
      <c r="T925" t="str">
        <f t="shared" ca="1" si="73"/>
        <v>On Track</v>
      </c>
      <c r="U925" t="str">
        <f t="shared" ca="1" si="74"/>
        <v>Normal</v>
      </c>
      <c r="V925" t="s">
        <v>107</v>
      </c>
    </row>
    <row r="926" spans="1:22">
      <c r="A926" t="s">
        <v>2514</v>
      </c>
      <c r="B926" t="s">
        <v>208</v>
      </c>
      <c r="C926" t="s">
        <v>2515</v>
      </c>
      <c r="D926" s="16">
        <v>2080.54</v>
      </c>
      <c r="E926" t="s">
        <v>55</v>
      </c>
      <c r="F926" t="s">
        <v>26</v>
      </c>
      <c r="G926" t="s">
        <v>2516</v>
      </c>
      <c r="H926" t="s">
        <v>56</v>
      </c>
      <c r="I926" t="s">
        <v>29</v>
      </c>
      <c r="J926" s="13">
        <v>46162</v>
      </c>
      <c r="K926" s="17" t="s">
        <v>30</v>
      </c>
      <c r="L926" s="13">
        <v>46177</v>
      </c>
      <c r="M926" t="s">
        <v>31</v>
      </c>
      <c r="N926" t="s">
        <v>32</v>
      </c>
      <c r="O926" s="13">
        <v>46168</v>
      </c>
      <c r="P926" s="13">
        <v>46173</v>
      </c>
      <c r="Q926">
        <f t="shared" ca="1" si="70"/>
        <v>27</v>
      </c>
      <c r="R926">
        <f t="shared" si="71"/>
        <v>6</v>
      </c>
      <c r="S926">
        <f t="shared" ca="1" si="72"/>
        <v>-12</v>
      </c>
      <c r="T926" t="str">
        <f t="shared" ca="1" si="73"/>
        <v>On Track</v>
      </c>
      <c r="U926" t="str">
        <f t="shared" ca="1" si="74"/>
        <v>Normal</v>
      </c>
      <c r="V926" t="s">
        <v>33</v>
      </c>
    </row>
    <row r="927" spans="1:22">
      <c r="A927" t="s">
        <v>2517</v>
      </c>
      <c r="B927" t="s">
        <v>76</v>
      </c>
      <c r="C927" t="s">
        <v>2518</v>
      </c>
      <c r="D927" s="16">
        <v>4439.29</v>
      </c>
      <c r="E927" t="s">
        <v>302</v>
      </c>
      <c r="F927" t="s">
        <v>38</v>
      </c>
      <c r="H927" t="s">
        <v>304</v>
      </c>
      <c r="I927" t="s">
        <v>29</v>
      </c>
      <c r="J927" s="13">
        <v>46170</v>
      </c>
      <c r="K927" s="17" t="s">
        <v>40</v>
      </c>
      <c r="L927" s="13">
        <v>46200</v>
      </c>
      <c r="M927" t="s">
        <v>41</v>
      </c>
      <c r="N927" t="s">
        <v>32</v>
      </c>
      <c r="Q927">
        <f t="shared" ca="1" si="70"/>
        <v>19</v>
      </c>
      <c r="R927" t="str">
        <f t="shared" si="71"/>
        <v/>
      </c>
      <c r="S927">
        <f t="shared" ca="1" si="72"/>
        <v>11</v>
      </c>
      <c r="T927" t="str">
        <f t="shared" ca="1" si="73"/>
        <v>Overdue</v>
      </c>
      <c r="U927" t="str">
        <f t="shared" ca="1" si="74"/>
        <v>Normal</v>
      </c>
      <c r="V927" t="s">
        <v>42</v>
      </c>
    </row>
    <row r="928" spans="1:22">
      <c r="A928" t="s">
        <v>2519</v>
      </c>
      <c r="B928" t="s">
        <v>115</v>
      </c>
      <c r="C928" t="s">
        <v>2520</v>
      </c>
      <c r="D928" s="16">
        <v>4324.9799999999996</v>
      </c>
      <c r="E928" t="s">
        <v>78</v>
      </c>
      <c r="F928" t="s">
        <v>26</v>
      </c>
      <c r="G928" t="s">
        <v>2521</v>
      </c>
      <c r="H928" t="s">
        <v>80</v>
      </c>
      <c r="I928" t="s">
        <v>29</v>
      </c>
      <c r="J928" s="13">
        <v>46187</v>
      </c>
      <c r="K928" s="17" t="s">
        <v>40</v>
      </c>
      <c r="L928" s="13">
        <v>46217</v>
      </c>
      <c r="M928" t="s">
        <v>41</v>
      </c>
      <c r="N928" t="s">
        <v>32</v>
      </c>
      <c r="Q928">
        <f t="shared" ca="1" si="70"/>
        <v>2</v>
      </c>
      <c r="R928" t="str">
        <f t="shared" si="71"/>
        <v/>
      </c>
      <c r="S928">
        <f t="shared" ca="1" si="72"/>
        <v>28</v>
      </c>
      <c r="T928" t="str">
        <f t="shared" ca="1" si="73"/>
        <v>On Track</v>
      </c>
      <c r="U928" t="str">
        <f t="shared" ca="1" si="74"/>
        <v>Normal</v>
      </c>
      <c r="V928" t="s">
        <v>42</v>
      </c>
    </row>
    <row r="929" spans="1:22">
      <c r="A929" t="s">
        <v>2522</v>
      </c>
      <c r="B929" t="s">
        <v>115</v>
      </c>
      <c r="C929" t="s">
        <v>2523</v>
      </c>
      <c r="D929" s="16">
        <v>32234.45</v>
      </c>
      <c r="E929" t="s">
        <v>156</v>
      </c>
      <c r="F929" t="s">
        <v>26</v>
      </c>
      <c r="G929" t="s">
        <v>2524</v>
      </c>
      <c r="H929" t="s">
        <v>121</v>
      </c>
      <c r="I929" t="s">
        <v>122</v>
      </c>
      <c r="J929" s="13">
        <v>46147</v>
      </c>
      <c r="K929" s="17" t="s">
        <v>40</v>
      </c>
      <c r="L929" s="13">
        <v>46177</v>
      </c>
      <c r="M929" t="s">
        <v>31</v>
      </c>
      <c r="N929" t="s">
        <v>32</v>
      </c>
      <c r="O929" s="13">
        <v>46157</v>
      </c>
      <c r="P929" s="13">
        <v>46159</v>
      </c>
      <c r="Q929">
        <f t="shared" ca="1" si="70"/>
        <v>42</v>
      </c>
      <c r="R929">
        <f t="shared" si="71"/>
        <v>10</v>
      </c>
      <c r="S929">
        <f t="shared" ca="1" si="72"/>
        <v>-12</v>
      </c>
      <c r="T929" t="str">
        <f t="shared" ca="1" si="73"/>
        <v>On Track</v>
      </c>
      <c r="U929" t="str">
        <f t="shared" ca="1" si="74"/>
        <v>Normal</v>
      </c>
      <c r="V929" t="s">
        <v>33</v>
      </c>
    </row>
    <row r="930" spans="1:22">
      <c r="A930" t="s">
        <v>2525</v>
      </c>
      <c r="B930" t="s">
        <v>82</v>
      </c>
      <c r="C930" t="s">
        <v>2526</v>
      </c>
      <c r="D930" s="16">
        <v>19254.21</v>
      </c>
      <c r="E930" t="s">
        <v>69</v>
      </c>
      <c r="F930" t="s">
        <v>26</v>
      </c>
      <c r="G930" t="s">
        <v>2527</v>
      </c>
      <c r="H930" t="s">
        <v>178</v>
      </c>
      <c r="I930" t="s">
        <v>92</v>
      </c>
      <c r="J930" s="13">
        <v>46180</v>
      </c>
      <c r="K930" s="17" t="s">
        <v>49</v>
      </c>
      <c r="L930" s="13">
        <v>46225</v>
      </c>
      <c r="M930" t="s">
        <v>31</v>
      </c>
      <c r="N930" t="s">
        <v>32</v>
      </c>
      <c r="O930" s="13">
        <v>46185</v>
      </c>
      <c r="P930" s="13">
        <v>46188</v>
      </c>
      <c r="Q930">
        <f t="shared" ca="1" si="70"/>
        <v>9</v>
      </c>
      <c r="R930">
        <f t="shared" si="71"/>
        <v>5</v>
      </c>
      <c r="S930">
        <f t="shared" ca="1" si="72"/>
        <v>36</v>
      </c>
      <c r="T930" t="str">
        <f t="shared" ca="1" si="73"/>
        <v>On Track</v>
      </c>
      <c r="U930" t="str">
        <f t="shared" ca="1" si="74"/>
        <v>Normal</v>
      </c>
      <c r="V930" t="s">
        <v>33</v>
      </c>
    </row>
    <row r="931" spans="1:22">
      <c r="A931" t="s">
        <v>2528</v>
      </c>
      <c r="B931" t="s">
        <v>251</v>
      </c>
      <c r="C931" t="s">
        <v>2529</v>
      </c>
      <c r="D931" s="16">
        <v>1020.41</v>
      </c>
      <c r="E931" t="s">
        <v>62</v>
      </c>
      <c r="F931" t="s">
        <v>38</v>
      </c>
      <c r="H931" t="s">
        <v>64</v>
      </c>
      <c r="I931" t="s">
        <v>29</v>
      </c>
      <c r="J931" s="13">
        <v>46160</v>
      </c>
      <c r="K931" s="17" t="s">
        <v>30</v>
      </c>
      <c r="L931" s="13">
        <v>46175</v>
      </c>
      <c r="M931" t="s">
        <v>31</v>
      </c>
      <c r="N931" t="s">
        <v>213</v>
      </c>
      <c r="O931" s="13">
        <v>46172</v>
      </c>
      <c r="P931" s="13">
        <v>46179</v>
      </c>
      <c r="Q931">
        <f t="shared" ca="1" si="70"/>
        <v>29</v>
      </c>
      <c r="R931">
        <f t="shared" si="71"/>
        <v>12</v>
      </c>
      <c r="S931">
        <f t="shared" ca="1" si="72"/>
        <v>-14</v>
      </c>
      <c r="T931" t="str">
        <f t="shared" ca="1" si="73"/>
        <v>On Track</v>
      </c>
      <c r="U931" t="str">
        <f t="shared" ca="1" si="74"/>
        <v>Normal</v>
      </c>
      <c r="V931" t="s">
        <v>214</v>
      </c>
    </row>
    <row r="932" spans="1:22">
      <c r="A932" t="s">
        <v>2530</v>
      </c>
      <c r="B932" t="s">
        <v>271</v>
      </c>
      <c r="C932" t="s">
        <v>2531</v>
      </c>
      <c r="D932" s="16">
        <v>430.84</v>
      </c>
      <c r="E932" t="s">
        <v>302</v>
      </c>
      <c r="F932" t="s">
        <v>38</v>
      </c>
      <c r="H932" t="s">
        <v>304</v>
      </c>
      <c r="I932" t="s">
        <v>29</v>
      </c>
      <c r="J932" s="13">
        <v>46178</v>
      </c>
      <c r="K932" s="17" t="s">
        <v>57</v>
      </c>
      <c r="L932" s="13">
        <v>46208</v>
      </c>
      <c r="M932" t="s">
        <v>31</v>
      </c>
      <c r="N932" t="s">
        <v>32</v>
      </c>
      <c r="O932" s="13">
        <v>46183</v>
      </c>
      <c r="P932" s="13">
        <v>46188</v>
      </c>
      <c r="Q932">
        <f t="shared" ca="1" si="70"/>
        <v>11</v>
      </c>
      <c r="R932">
        <f t="shared" si="71"/>
        <v>5</v>
      </c>
      <c r="S932">
        <f t="shared" ca="1" si="72"/>
        <v>19</v>
      </c>
      <c r="T932" t="str">
        <f t="shared" ca="1" si="73"/>
        <v>On Track</v>
      </c>
      <c r="U932" t="str">
        <f t="shared" ca="1" si="74"/>
        <v>Normal</v>
      </c>
      <c r="V932" t="s">
        <v>33</v>
      </c>
    </row>
    <row r="933" spans="1:22">
      <c r="A933" t="s">
        <v>2532</v>
      </c>
      <c r="B933" t="s">
        <v>76</v>
      </c>
      <c r="C933" t="s">
        <v>2533</v>
      </c>
      <c r="D933" s="16">
        <v>4031.22</v>
      </c>
      <c r="E933" t="s">
        <v>62</v>
      </c>
      <c r="F933" t="s">
        <v>26</v>
      </c>
      <c r="G933" t="s">
        <v>2534</v>
      </c>
      <c r="H933" t="s">
        <v>64</v>
      </c>
      <c r="I933" t="s">
        <v>29</v>
      </c>
      <c r="J933" s="13">
        <v>46189</v>
      </c>
      <c r="K933" s="17" t="s">
        <v>30</v>
      </c>
      <c r="L933" s="13">
        <v>46204</v>
      </c>
      <c r="M933" t="s">
        <v>65</v>
      </c>
      <c r="N933" t="s">
        <v>32</v>
      </c>
      <c r="Q933">
        <f t="shared" ca="1" si="70"/>
        <v>0</v>
      </c>
      <c r="R933" t="str">
        <f t="shared" si="71"/>
        <v/>
      </c>
      <c r="S933">
        <f t="shared" ca="1" si="72"/>
        <v>15</v>
      </c>
      <c r="T933" t="str">
        <f t="shared" ca="1" si="73"/>
        <v>On Track</v>
      </c>
      <c r="U933" t="str">
        <f t="shared" ca="1" si="74"/>
        <v>Normal</v>
      </c>
    </row>
    <row r="934" spans="1:22">
      <c r="A934" t="s">
        <v>2535</v>
      </c>
      <c r="B934" t="s">
        <v>222</v>
      </c>
      <c r="C934" t="s">
        <v>2536</v>
      </c>
      <c r="D934" s="16">
        <v>7271.02</v>
      </c>
      <c r="E934" t="s">
        <v>156</v>
      </c>
      <c r="F934" t="s">
        <v>26</v>
      </c>
      <c r="G934" t="s">
        <v>2537</v>
      </c>
      <c r="H934" t="s">
        <v>394</v>
      </c>
      <c r="I934" t="s">
        <v>92</v>
      </c>
      <c r="J934" s="13">
        <v>46158</v>
      </c>
      <c r="K934" s="17" t="s">
        <v>30</v>
      </c>
      <c r="L934" s="13">
        <v>46173</v>
      </c>
      <c r="M934" t="s">
        <v>31</v>
      </c>
      <c r="N934" t="s">
        <v>32</v>
      </c>
      <c r="O934" s="13">
        <v>46164</v>
      </c>
      <c r="P934" s="13">
        <v>46170</v>
      </c>
      <c r="Q934">
        <f t="shared" ca="1" si="70"/>
        <v>31</v>
      </c>
      <c r="R934">
        <f t="shared" si="71"/>
        <v>6</v>
      </c>
      <c r="S934">
        <f t="shared" ca="1" si="72"/>
        <v>-16</v>
      </c>
      <c r="T934" t="str">
        <f t="shared" ca="1" si="73"/>
        <v>On Track</v>
      </c>
      <c r="U934" t="str">
        <f t="shared" ca="1" si="74"/>
        <v>Normal</v>
      </c>
      <c r="V934" t="s">
        <v>33</v>
      </c>
    </row>
    <row r="935" spans="1:22">
      <c r="A935" t="s">
        <v>2538</v>
      </c>
      <c r="B935" t="s">
        <v>35</v>
      </c>
      <c r="C935" t="s">
        <v>2539</v>
      </c>
      <c r="D935" s="16">
        <v>18782.79</v>
      </c>
      <c r="E935" t="s">
        <v>111</v>
      </c>
      <c r="F935" t="s">
        <v>26</v>
      </c>
      <c r="G935" t="s">
        <v>2540</v>
      </c>
      <c r="H935" t="s">
        <v>122</v>
      </c>
      <c r="I935" t="s">
        <v>92</v>
      </c>
      <c r="J935" s="13">
        <v>46171</v>
      </c>
      <c r="K935" s="17" t="s">
        <v>30</v>
      </c>
      <c r="L935" s="13">
        <v>46186</v>
      </c>
      <c r="M935" t="s">
        <v>65</v>
      </c>
      <c r="N935" t="s">
        <v>100</v>
      </c>
      <c r="Q935">
        <f t="shared" ca="1" si="70"/>
        <v>18</v>
      </c>
      <c r="R935" t="str">
        <f t="shared" si="71"/>
        <v/>
      </c>
      <c r="S935">
        <f t="shared" ca="1" si="72"/>
        <v>-3</v>
      </c>
      <c r="T935" t="str">
        <f t="shared" ca="1" si="73"/>
        <v>On Track</v>
      </c>
      <c r="U935" t="str">
        <f t="shared" ca="1" si="74"/>
        <v>At Risk</v>
      </c>
      <c r="V935" t="s">
        <v>101</v>
      </c>
    </row>
    <row r="936" spans="1:22">
      <c r="A936" t="s">
        <v>2541</v>
      </c>
      <c r="B936" t="s">
        <v>23</v>
      </c>
      <c r="C936" t="s">
        <v>2542</v>
      </c>
      <c r="D936" s="16">
        <v>69096.31</v>
      </c>
      <c r="E936" t="s">
        <v>302</v>
      </c>
      <c r="F936" t="s">
        <v>26</v>
      </c>
      <c r="G936" t="s">
        <v>2543</v>
      </c>
      <c r="H936" t="s">
        <v>121</v>
      </c>
      <c r="I936" t="s">
        <v>122</v>
      </c>
      <c r="J936" s="13">
        <v>46168</v>
      </c>
      <c r="K936" s="17" t="s">
        <v>57</v>
      </c>
      <c r="L936" s="13">
        <v>46198</v>
      </c>
      <c r="M936" t="s">
        <v>31</v>
      </c>
      <c r="N936" t="s">
        <v>32</v>
      </c>
      <c r="O936" s="13">
        <v>46176</v>
      </c>
      <c r="P936" s="13">
        <v>46180</v>
      </c>
      <c r="Q936">
        <f t="shared" ca="1" si="70"/>
        <v>21</v>
      </c>
      <c r="R936">
        <f t="shared" si="71"/>
        <v>8</v>
      </c>
      <c r="S936">
        <f t="shared" ca="1" si="72"/>
        <v>9</v>
      </c>
      <c r="T936" t="str">
        <f t="shared" ca="1" si="73"/>
        <v>On Track</v>
      </c>
      <c r="U936" t="str">
        <f t="shared" ca="1" si="74"/>
        <v>Normal</v>
      </c>
      <c r="V936" t="s">
        <v>33</v>
      </c>
    </row>
    <row r="937" spans="1:22">
      <c r="A937" t="s">
        <v>2544</v>
      </c>
      <c r="B937" t="s">
        <v>271</v>
      </c>
      <c r="C937" t="s">
        <v>2545</v>
      </c>
      <c r="D937" s="16">
        <v>849.65</v>
      </c>
      <c r="E937" t="s">
        <v>69</v>
      </c>
      <c r="F937" t="s">
        <v>38</v>
      </c>
      <c r="H937" t="s">
        <v>71</v>
      </c>
      <c r="I937" t="s">
        <v>29</v>
      </c>
      <c r="J937" s="13">
        <v>46149</v>
      </c>
      <c r="K937" s="17" t="s">
        <v>57</v>
      </c>
      <c r="L937" s="13">
        <v>46179</v>
      </c>
      <c r="M937" t="s">
        <v>31</v>
      </c>
      <c r="N937" t="s">
        <v>100</v>
      </c>
      <c r="O937" s="13">
        <v>46158</v>
      </c>
      <c r="P937" s="13">
        <v>46161</v>
      </c>
      <c r="Q937">
        <f t="shared" ca="1" si="70"/>
        <v>40</v>
      </c>
      <c r="R937">
        <f t="shared" si="71"/>
        <v>9</v>
      </c>
      <c r="S937">
        <f t="shared" ca="1" si="72"/>
        <v>-10</v>
      </c>
      <c r="T937" t="str">
        <f t="shared" ca="1" si="73"/>
        <v>On Track</v>
      </c>
      <c r="U937" t="str">
        <f t="shared" ca="1" si="74"/>
        <v>Normal</v>
      </c>
      <c r="V937" t="s">
        <v>101</v>
      </c>
    </row>
    <row r="938" spans="1:22">
      <c r="A938" t="s">
        <v>2546</v>
      </c>
      <c r="B938" t="s">
        <v>208</v>
      </c>
      <c r="C938" t="s">
        <v>2547</v>
      </c>
      <c r="D938" s="16">
        <v>3151.6</v>
      </c>
      <c r="E938" t="s">
        <v>111</v>
      </c>
      <c r="F938" t="s">
        <v>26</v>
      </c>
      <c r="G938" t="s">
        <v>2548</v>
      </c>
      <c r="H938" t="s">
        <v>113</v>
      </c>
      <c r="I938" t="s">
        <v>29</v>
      </c>
      <c r="J938" s="13">
        <v>46155</v>
      </c>
      <c r="K938" s="17" t="s">
        <v>49</v>
      </c>
      <c r="L938" s="13">
        <v>46200</v>
      </c>
      <c r="M938" t="s">
        <v>31</v>
      </c>
      <c r="N938" t="s">
        <v>50</v>
      </c>
      <c r="O938" s="13">
        <v>46168</v>
      </c>
      <c r="P938" s="13">
        <v>46175</v>
      </c>
      <c r="Q938">
        <f t="shared" ca="1" si="70"/>
        <v>34</v>
      </c>
      <c r="R938">
        <f t="shared" si="71"/>
        <v>13</v>
      </c>
      <c r="S938">
        <f t="shared" ca="1" si="72"/>
        <v>11</v>
      </c>
      <c r="T938" t="str">
        <f t="shared" ca="1" si="73"/>
        <v>On Track</v>
      </c>
      <c r="U938" t="str">
        <f t="shared" ca="1" si="74"/>
        <v>Normal</v>
      </c>
      <c r="V938" t="s">
        <v>51</v>
      </c>
    </row>
    <row r="939" spans="1:22">
      <c r="A939" t="s">
        <v>2549</v>
      </c>
      <c r="B939" t="s">
        <v>208</v>
      </c>
      <c r="C939" t="s">
        <v>2550</v>
      </c>
      <c r="D939" s="16">
        <v>2438.36</v>
      </c>
      <c r="E939" t="s">
        <v>37</v>
      </c>
      <c r="F939" t="s">
        <v>26</v>
      </c>
      <c r="G939" t="s">
        <v>2551</v>
      </c>
      <c r="H939" t="s">
        <v>39</v>
      </c>
      <c r="I939" t="s">
        <v>29</v>
      </c>
      <c r="J939" s="13">
        <v>46162</v>
      </c>
      <c r="K939" s="17" t="s">
        <v>40</v>
      </c>
      <c r="L939" s="13">
        <v>46192</v>
      </c>
      <c r="M939" t="s">
        <v>31</v>
      </c>
      <c r="N939" t="s">
        <v>100</v>
      </c>
      <c r="O939" s="13">
        <v>46172</v>
      </c>
      <c r="P939" s="13">
        <v>46173</v>
      </c>
      <c r="Q939">
        <f t="shared" ca="1" si="70"/>
        <v>27</v>
      </c>
      <c r="R939">
        <f t="shared" si="71"/>
        <v>10</v>
      </c>
      <c r="S939">
        <f t="shared" ca="1" si="72"/>
        <v>3</v>
      </c>
      <c r="T939" t="str">
        <f t="shared" ca="1" si="73"/>
        <v>On Track</v>
      </c>
      <c r="U939" t="str">
        <f t="shared" ca="1" si="74"/>
        <v>Normal</v>
      </c>
      <c r="V939" t="s">
        <v>101</v>
      </c>
    </row>
    <row r="940" spans="1:22">
      <c r="A940" t="s">
        <v>2552</v>
      </c>
      <c r="B940" t="s">
        <v>124</v>
      </c>
      <c r="C940" t="s">
        <v>2553</v>
      </c>
      <c r="D940" s="16">
        <v>1831.48</v>
      </c>
      <c r="E940" t="s">
        <v>142</v>
      </c>
      <c r="F940" t="s">
        <v>26</v>
      </c>
      <c r="G940" t="s">
        <v>2554</v>
      </c>
      <c r="H940" t="s">
        <v>335</v>
      </c>
      <c r="I940" t="s">
        <v>29</v>
      </c>
      <c r="J940" s="13">
        <v>46174</v>
      </c>
      <c r="K940" s="17" t="s">
        <v>40</v>
      </c>
      <c r="L940" s="13">
        <v>46204</v>
      </c>
      <c r="M940" t="s">
        <v>31</v>
      </c>
      <c r="N940" t="s">
        <v>32</v>
      </c>
      <c r="O940" s="13">
        <v>46178</v>
      </c>
      <c r="P940" s="13">
        <v>46205</v>
      </c>
      <c r="Q940">
        <f t="shared" ca="1" si="70"/>
        <v>15</v>
      </c>
      <c r="R940">
        <f t="shared" si="71"/>
        <v>4</v>
      </c>
      <c r="S940">
        <f t="shared" ca="1" si="72"/>
        <v>15</v>
      </c>
      <c r="T940" t="str">
        <f t="shared" ca="1" si="73"/>
        <v>On Track</v>
      </c>
      <c r="U940" t="str">
        <f t="shared" ca="1" si="74"/>
        <v>Normal</v>
      </c>
      <c r="V940" t="s">
        <v>107</v>
      </c>
    </row>
    <row r="941" spans="1:22">
      <c r="A941" t="s">
        <v>2555</v>
      </c>
      <c r="B941" t="s">
        <v>172</v>
      </c>
      <c r="C941" t="s">
        <v>2556</v>
      </c>
      <c r="D941" s="16">
        <v>3761.68</v>
      </c>
      <c r="E941" t="s">
        <v>55</v>
      </c>
      <c r="F941" t="s">
        <v>26</v>
      </c>
      <c r="G941" t="s">
        <v>2557</v>
      </c>
      <c r="H941" t="s">
        <v>56</v>
      </c>
      <c r="I941" t="s">
        <v>29</v>
      </c>
      <c r="J941" s="13">
        <v>46170</v>
      </c>
      <c r="K941" s="17" t="s">
        <v>40</v>
      </c>
      <c r="L941" s="13">
        <v>46200</v>
      </c>
      <c r="M941" t="s">
        <v>65</v>
      </c>
      <c r="N941" t="s">
        <v>32</v>
      </c>
      <c r="Q941">
        <f t="shared" ca="1" si="70"/>
        <v>19</v>
      </c>
      <c r="R941" t="str">
        <f t="shared" si="71"/>
        <v/>
      </c>
      <c r="S941">
        <f t="shared" ca="1" si="72"/>
        <v>11</v>
      </c>
      <c r="T941" t="str">
        <f t="shared" ca="1" si="73"/>
        <v>On Track</v>
      </c>
      <c r="U941" t="str">
        <f t="shared" ca="1" si="74"/>
        <v>Normal</v>
      </c>
    </row>
    <row r="942" spans="1:22">
      <c r="A942" t="s">
        <v>2558</v>
      </c>
      <c r="B942" t="s">
        <v>251</v>
      </c>
      <c r="C942" t="s">
        <v>2559</v>
      </c>
      <c r="D942" s="16">
        <v>3145.01</v>
      </c>
      <c r="E942" t="s">
        <v>69</v>
      </c>
      <c r="F942" t="s">
        <v>26</v>
      </c>
      <c r="G942" t="s">
        <v>2560</v>
      </c>
      <c r="H942" t="s">
        <v>71</v>
      </c>
      <c r="I942" t="s">
        <v>29</v>
      </c>
      <c r="J942" s="13">
        <v>46170</v>
      </c>
      <c r="K942" s="17" t="s">
        <v>57</v>
      </c>
      <c r="L942" s="13">
        <v>46200</v>
      </c>
      <c r="M942" t="s">
        <v>145</v>
      </c>
      <c r="N942" t="s">
        <v>32</v>
      </c>
      <c r="O942" s="13">
        <v>46173</v>
      </c>
      <c r="Q942">
        <f t="shared" ca="1" si="70"/>
        <v>19</v>
      </c>
      <c r="R942">
        <f t="shared" si="71"/>
        <v>3</v>
      </c>
      <c r="S942">
        <f t="shared" ca="1" si="72"/>
        <v>11</v>
      </c>
      <c r="T942" t="str">
        <f t="shared" ca="1" si="73"/>
        <v>On Track</v>
      </c>
      <c r="U942" t="str">
        <f t="shared" ca="1" si="74"/>
        <v>Normal</v>
      </c>
    </row>
    <row r="943" spans="1:22">
      <c r="A943" t="s">
        <v>2561</v>
      </c>
      <c r="B943" t="s">
        <v>23</v>
      </c>
      <c r="C943" t="s">
        <v>2562</v>
      </c>
      <c r="D943" s="16">
        <v>68124.63</v>
      </c>
      <c r="E943" t="s">
        <v>25</v>
      </c>
      <c r="F943" t="s">
        <v>26</v>
      </c>
      <c r="G943" t="s">
        <v>2563</v>
      </c>
      <c r="H943" t="s">
        <v>121</v>
      </c>
      <c r="I943" t="s">
        <v>122</v>
      </c>
      <c r="J943" s="13">
        <v>46178</v>
      </c>
      <c r="K943" s="17" t="s">
        <v>30</v>
      </c>
      <c r="L943" s="13">
        <v>46193</v>
      </c>
      <c r="M943" t="s">
        <v>99</v>
      </c>
      <c r="N943" t="s">
        <v>100</v>
      </c>
      <c r="O943" s="13">
        <v>46189</v>
      </c>
      <c r="Q943">
        <f t="shared" ca="1" si="70"/>
        <v>11</v>
      </c>
      <c r="R943">
        <f t="shared" si="71"/>
        <v>11</v>
      </c>
      <c r="S943">
        <f t="shared" ca="1" si="72"/>
        <v>4</v>
      </c>
      <c r="T943" t="str">
        <f t="shared" ca="1" si="73"/>
        <v>On Track</v>
      </c>
      <c r="U943" t="str">
        <f t="shared" ca="1" si="74"/>
        <v>At Risk</v>
      </c>
      <c r="V943" t="s">
        <v>101</v>
      </c>
    </row>
    <row r="944" spans="1:22">
      <c r="A944" t="s">
        <v>2564</v>
      </c>
      <c r="B944" t="s">
        <v>109</v>
      </c>
      <c r="C944" t="s">
        <v>2565</v>
      </c>
      <c r="D944" s="16">
        <v>19953.419999999998</v>
      </c>
      <c r="E944" t="s">
        <v>142</v>
      </c>
      <c r="F944" t="s">
        <v>26</v>
      </c>
      <c r="G944" t="s">
        <v>2566</v>
      </c>
      <c r="H944" t="s">
        <v>144</v>
      </c>
      <c r="I944" t="s">
        <v>92</v>
      </c>
      <c r="J944" s="13">
        <v>46147</v>
      </c>
      <c r="K944" s="17" t="s">
        <v>57</v>
      </c>
      <c r="L944" s="13">
        <v>46177</v>
      </c>
      <c r="M944" t="s">
        <v>84</v>
      </c>
      <c r="N944" t="s">
        <v>32</v>
      </c>
      <c r="O944" s="13">
        <v>46157</v>
      </c>
      <c r="Q944">
        <f t="shared" ca="1" si="70"/>
        <v>42</v>
      </c>
      <c r="R944">
        <f t="shared" si="71"/>
        <v>10</v>
      </c>
      <c r="S944">
        <f t="shared" ca="1" si="72"/>
        <v>-12</v>
      </c>
      <c r="T944" t="str">
        <f t="shared" ca="1" si="73"/>
        <v>On Track</v>
      </c>
      <c r="U944" t="str">
        <f t="shared" ca="1" si="74"/>
        <v>At Risk</v>
      </c>
    </row>
    <row r="945" spans="1:22">
      <c r="A945" t="s">
        <v>2567</v>
      </c>
      <c r="B945" t="s">
        <v>109</v>
      </c>
      <c r="C945" t="s">
        <v>2568</v>
      </c>
      <c r="D945" s="16">
        <v>984.39</v>
      </c>
      <c r="E945" t="s">
        <v>126</v>
      </c>
      <c r="F945" t="s">
        <v>26</v>
      </c>
      <c r="G945" t="s">
        <v>2569</v>
      </c>
      <c r="H945" t="s">
        <v>241</v>
      </c>
      <c r="I945" t="s">
        <v>29</v>
      </c>
      <c r="J945" s="13">
        <v>46157</v>
      </c>
      <c r="K945" s="17" t="s">
        <v>57</v>
      </c>
      <c r="L945" s="13">
        <v>46187</v>
      </c>
      <c r="M945" t="s">
        <v>31</v>
      </c>
      <c r="N945" t="s">
        <v>100</v>
      </c>
      <c r="O945" s="13">
        <v>46170</v>
      </c>
      <c r="P945" s="13">
        <v>46175</v>
      </c>
      <c r="Q945">
        <f t="shared" ca="1" si="70"/>
        <v>32</v>
      </c>
      <c r="R945">
        <f t="shared" si="71"/>
        <v>13</v>
      </c>
      <c r="S945">
        <f t="shared" ca="1" si="72"/>
        <v>-2</v>
      </c>
      <c r="T945" t="str">
        <f t="shared" ca="1" si="73"/>
        <v>On Track</v>
      </c>
      <c r="U945" t="str">
        <f t="shared" ca="1" si="74"/>
        <v>Normal</v>
      </c>
      <c r="V945" t="s">
        <v>101</v>
      </c>
    </row>
    <row r="946" spans="1:22">
      <c r="A946" t="s">
        <v>2570</v>
      </c>
      <c r="B946" t="s">
        <v>35</v>
      </c>
      <c r="C946" t="s">
        <v>2571</v>
      </c>
      <c r="D946" s="16">
        <v>5824.56</v>
      </c>
      <c r="E946" t="s">
        <v>55</v>
      </c>
      <c r="F946" t="s">
        <v>26</v>
      </c>
      <c r="G946" t="s">
        <v>2572</v>
      </c>
      <c r="H946" t="s">
        <v>579</v>
      </c>
      <c r="I946" t="s">
        <v>92</v>
      </c>
      <c r="J946" s="13">
        <v>46158</v>
      </c>
      <c r="K946" s="17" t="s">
        <v>57</v>
      </c>
      <c r="L946" s="13">
        <v>46188</v>
      </c>
      <c r="M946" t="s">
        <v>99</v>
      </c>
      <c r="N946" t="s">
        <v>32</v>
      </c>
      <c r="O946" s="13">
        <v>46160</v>
      </c>
      <c r="Q946">
        <f t="shared" ca="1" si="70"/>
        <v>31</v>
      </c>
      <c r="R946">
        <f t="shared" si="71"/>
        <v>2</v>
      </c>
      <c r="S946">
        <f t="shared" ca="1" si="72"/>
        <v>-1</v>
      </c>
      <c r="T946" t="str">
        <f t="shared" ca="1" si="73"/>
        <v>On Track</v>
      </c>
      <c r="U946" t="str">
        <f t="shared" ca="1" si="74"/>
        <v>At Risk</v>
      </c>
    </row>
    <row r="947" spans="1:22">
      <c r="A947" t="s">
        <v>2573</v>
      </c>
      <c r="B947" t="s">
        <v>23</v>
      </c>
      <c r="C947" t="s">
        <v>2574</v>
      </c>
      <c r="D947" s="16">
        <v>3619.39</v>
      </c>
      <c r="E947" t="s">
        <v>55</v>
      </c>
      <c r="F947" t="s">
        <v>26</v>
      </c>
      <c r="G947" t="s">
        <v>2575</v>
      </c>
      <c r="H947" t="s">
        <v>56</v>
      </c>
      <c r="I947" t="s">
        <v>29</v>
      </c>
      <c r="J947" s="13">
        <v>46148</v>
      </c>
      <c r="K947" s="17" t="s">
        <v>30</v>
      </c>
      <c r="L947" s="13">
        <v>46163</v>
      </c>
      <c r="M947" t="s">
        <v>31</v>
      </c>
      <c r="N947" t="s">
        <v>32</v>
      </c>
      <c r="O947" s="13">
        <v>46155</v>
      </c>
      <c r="P947" s="13">
        <v>46161</v>
      </c>
      <c r="Q947">
        <f t="shared" ca="1" si="70"/>
        <v>41</v>
      </c>
      <c r="R947">
        <f t="shared" si="71"/>
        <v>7</v>
      </c>
      <c r="S947">
        <f t="shared" ca="1" si="72"/>
        <v>-26</v>
      </c>
      <c r="T947" t="str">
        <f t="shared" ca="1" si="73"/>
        <v>On Track</v>
      </c>
      <c r="U947" t="str">
        <f t="shared" ca="1" si="74"/>
        <v>Normal</v>
      </c>
      <c r="V947" t="s">
        <v>33</v>
      </c>
    </row>
    <row r="948" spans="1:22">
      <c r="A948" t="s">
        <v>2576</v>
      </c>
      <c r="B948" t="s">
        <v>67</v>
      </c>
      <c r="C948" t="s">
        <v>2577</v>
      </c>
      <c r="D948" s="16">
        <v>6863.36</v>
      </c>
      <c r="E948" t="s">
        <v>37</v>
      </c>
      <c r="F948" t="s">
        <v>26</v>
      </c>
      <c r="G948" t="s">
        <v>2578</v>
      </c>
      <c r="H948" t="s">
        <v>815</v>
      </c>
      <c r="I948" t="s">
        <v>92</v>
      </c>
      <c r="J948" s="13">
        <v>46156</v>
      </c>
      <c r="K948" s="17" t="s">
        <v>49</v>
      </c>
      <c r="L948" s="13">
        <v>46201</v>
      </c>
      <c r="M948" t="s">
        <v>31</v>
      </c>
      <c r="N948" t="s">
        <v>32</v>
      </c>
      <c r="O948" s="13">
        <v>46157</v>
      </c>
      <c r="P948" s="13">
        <v>46161</v>
      </c>
      <c r="Q948">
        <f t="shared" ca="1" si="70"/>
        <v>33</v>
      </c>
      <c r="R948">
        <f t="shared" si="71"/>
        <v>1</v>
      </c>
      <c r="S948">
        <f t="shared" ca="1" si="72"/>
        <v>12</v>
      </c>
      <c r="T948" t="str">
        <f t="shared" ca="1" si="73"/>
        <v>On Track</v>
      </c>
      <c r="U948" t="str">
        <f t="shared" ca="1" si="74"/>
        <v>Normal</v>
      </c>
      <c r="V948" t="s">
        <v>33</v>
      </c>
    </row>
    <row r="949" spans="1:22">
      <c r="A949" t="s">
        <v>2579</v>
      </c>
      <c r="B949" t="s">
        <v>53</v>
      </c>
      <c r="C949" t="s">
        <v>2580</v>
      </c>
      <c r="D949" s="16">
        <v>65545.98</v>
      </c>
      <c r="E949" t="s">
        <v>156</v>
      </c>
      <c r="F949" t="s">
        <v>26</v>
      </c>
      <c r="G949" t="s">
        <v>2581</v>
      </c>
      <c r="H949" t="s">
        <v>121</v>
      </c>
      <c r="I949" t="s">
        <v>122</v>
      </c>
      <c r="J949" s="13">
        <v>46149</v>
      </c>
      <c r="K949" s="17" t="s">
        <v>57</v>
      </c>
      <c r="L949" s="13">
        <v>46179</v>
      </c>
      <c r="M949" t="s">
        <v>31</v>
      </c>
      <c r="N949" t="s">
        <v>100</v>
      </c>
      <c r="O949" s="13">
        <v>46165</v>
      </c>
      <c r="P949" s="13">
        <v>46171</v>
      </c>
      <c r="Q949">
        <f t="shared" ca="1" si="70"/>
        <v>40</v>
      </c>
      <c r="R949">
        <f t="shared" si="71"/>
        <v>16</v>
      </c>
      <c r="S949">
        <f t="shared" ca="1" si="72"/>
        <v>-10</v>
      </c>
      <c r="T949" t="str">
        <f t="shared" ca="1" si="73"/>
        <v>On Track</v>
      </c>
      <c r="U949" t="str">
        <f t="shared" ca="1" si="74"/>
        <v>Normal</v>
      </c>
      <c r="V949" t="s">
        <v>101</v>
      </c>
    </row>
    <row r="950" spans="1:22">
      <c r="A950" t="s">
        <v>2582</v>
      </c>
      <c r="B950" t="s">
        <v>35</v>
      </c>
      <c r="C950" t="s">
        <v>2583</v>
      </c>
      <c r="D950" s="16">
        <v>4768.8500000000004</v>
      </c>
      <c r="E950" t="s">
        <v>126</v>
      </c>
      <c r="F950" t="s">
        <v>38</v>
      </c>
      <c r="H950" t="s">
        <v>241</v>
      </c>
      <c r="I950" t="s">
        <v>29</v>
      </c>
      <c r="J950" s="13">
        <v>46167</v>
      </c>
      <c r="K950" s="17" t="s">
        <v>30</v>
      </c>
      <c r="L950" s="13">
        <v>46182</v>
      </c>
      <c r="M950" t="s">
        <v>31</v>
      </c>
      <c r="N950" t="s">
        <v>32</v>
      </c>
      <c r="O950" s="13">
        <v>46174</v>
      </c>
      <c r="P950" s="13">
        <v>46178</v>
      </c>
      <c r="Q950">
        <f t="shared" ca="1" si="70"/>
        <v>22</v>
      </c>
      <c r="R950">
        <f t="shared" si="71"/>
        <v>7</v>
      </c>
      <c r="S950">
        <f t="shared" ca="1" si="72"/>
        <v>-7</v>
      </c>
      <c r="T950" t="str">
        <f t="shared" ca="1" si="73"/>
        <v>On Track</v>
      </c>
      <c r="U950" t="str">
        <f t="shared" ca="1" si="74"/>
        <v>Normal</v>
      </c>
      <c r="V950" t="s">
        <v>33</v>
      </c>
    </row>
    <row r="951" spans="1:22">
      <c r="A951" t="s">
        <v>2584</v>
      </c>
      <c r="B951" t="s">
        <v>251</v>
      </c>
      <c r="C951" t="s">
        <v>2585</v>
      </c>
      <c r="D951" s="16">
        <v>1663.27</v>
      </c>
      <c r="E951" t="s">
        <v>37</v>
      </c>
      <c r="F951" t="s">
        <v>26</v>
      </c>
      <c r="G951" t="s">
        <v>2586</v>
      </c>
      <c r="H951" t="s">
        <v>39</v>
      </c>
      <c r="I951" t="s">
        <v>29</v>
      </c>
      <c r="J951" s="13">
        <v>46149</v>
      </c>
      <c r="K951" s="17" t="s">
        <v>30</v>
      </c>
      <c r="L951" s="13">
        <v>46164</v>
      </c>
      <c r="M951" t="s">
        <v>145</v>
      </c>
      <c r="N951" t="s">
        <v>32</v>
      </c>
      <c r="O951" s="13">
        <v>46153</v>
      </c>
      <c r="Q951">
        <f t="shared" ca="1" si="70"/>
        <v>40</v>
      </c>
      <c r="R951">
        <f t="shared" si="71"/>
        <v>4</v>
      </c>
      <c r="S951">
        <f t="shared" ca="1" si="72"/>
        <v>-25</v>
      </c>
      <c r="T951" t="str">
        <f t="shared" ca="1" si="73"/>
        <v>On Track</v>
      </c>
      <c r="U951" t="str">
        <f t="shared" ca="1" si="74"/>
        <v>At Risk</v>
      </c>
    </row>
    <row r="952" spans="1:22">
      <c r="A952" t="s">
        <v>2587</v>
      </c>
      <c r="B952" t="s">
        <v>115</v>
      </c>
      <c r="C952" t="s">
        <v>2588</v>
      </c>
      <c r="D952" s="16">
        <v>2084.54</v>
      </c>
      <c r="E952" t="s">
        <v>126</v>
      </c>
      <c r="F952" t="s">
        <v>38</v>
      </c>
      <c r="H952" t="s">
        <v>241</v>
      </c>
      <c r="I952" t="s">
        <v>29</v>
      </c>
      <c r="J952" s="13">
        <v>46177</v>
      </c>
      <c r="K952" s="17" t="s">
        <v>57</v>
      </c>
      <c r="L952" s="13">
        <v>46207</v>
      </c>
      <c r="M952" t="s">
        <v>41</v>
      </c>
      <c r="N952" t="s">
        <v>32</v>
      </c>
      <c r="Q952">
        <f t="shared" ca="1" si="70"/>
        <v>12</v>
      </c>
      <c r="R952" t="str">
        <f t="shared" si="71"/>
        <v/>
      </c>
      <c r="S952">
        <f t="shared" ca="1" si="72"/>
        <v>18</v>
      </c>
      <c r="T952" t="str">
        <f t="shared" ca="1" si="73"/>
        <v>Overdue</v>
      </c>
      <c r="U952" t="str">
        <f t="shared" ca="1" si="74"/>
        <v>Normal</v>
      </c>
      <c r="V952" t="s">
        <v>42</v>
      </c>
    </row>
    <row r="953" spans="1:22">
      <c r="A953" t="s">
        <v>2589</v>
      </c>
      <c r="B953" t="s">
        <v>222</v>
      </c>
      <c r="C953" t="s">
        <v>2590</v>
      </c>
      <c r="D953" s="16">
        <v>2822.17</v>
      </c>
      <c r="E953" t="s">
        <v>302</v>
      </c>
      <c r="F953" t="s">
        <v>26</v>
      </c>
      <c r="G953" t="s">
        <v>2591</v>
      </c>
      <c r="H953" t="s">
        <v>304</v>
      </c>
      <c r="I953" t="s">
        <v>29</v>
      </c>
      <c r="J953" s="13">
        <v>46161</v>
      </c>
      <c r="K953" s="17" t="s">
        <v>57</v>
      </c>
      <c r="L953" s="13">
        <v>46191</v>
      </c>
      <c r="M953" t="s">
        <v>65</v>
      </c>
      <c r="N953" t="s">
        <v>50</v>
      </c>
      <c r="Q953">
        <f t="shared" ca="1" si="70"/>
        <v>28</v>
      </c>
      <c r="R953" t="str">
        <f t="shared" si="71"/>
        <v/>
      </c>
      <c r="S953">
        <f t="shared" ca="1" si="72"/>
        <v>2</v>
      </c>
      <c r="T953" t="str">
        <f t="shared" ca="1" si="73"/>
        <v>On Track</v>
      </c>
      <c r="U953" t="str">
        <f t="shared" ca="1" si="74"/>
        <v>At Risk</v>
      </c>
      <c r="V953" t="s">
        <v>51</v>
      </c>
    </row>
    <row r="954" spans="1:22">
      <c r="A954" t="s">
        <v>2592</v>
      </c>
      <c r="B954" t="s">
        <v>73</v>
      </c>
      <c r="C954" t="s">
        <v>2593</v>
      </c>
      <c r="D954" s="16">
        <v>2590.66</v>
      </c>
      <c r="E954" t="s">
        <v>62</v>
      </c>
      <c r="F954" t="s">
        <v>38</v>
      </c>
      <c r="H954" t="s">
        <v>64</v>
      </c>
      <c r="I954" t="s">
        <v>29</v>
      </c>
      <c r="J954" s="13">
        <v>46149</v>
      </c>
      <c r="K954" s="17" t="s">
        <v>30</v>
      </c>
      <c r="L954" s="13">
        <v>46164</v>
      </c>
      <c r="M954" t="s">
        <v>31</v>
      </c>
      <c r="N954" t="s">
        <v>58</v>
      </c>
      <c r="O954" s="13">
        <v>46161</v>
      </c>
      <c r="P954" s="13">
        <v>46163</v>
      </c>
      <c r="Q954">
        <f t="shared" ca="1" si="70"/>
        <v>40</v>
      </c>
      <c r="R954">
        <f t="shared" si="71"/>
        <v>12</v>
      </c>
      <c r="S954">
        <f t="shared" ca="1" si="72"/>
        <v>-25</v>
      </c>
      <c r="T954" t="str">
        <f t="shared" ca="1" si="73"/>
        <v>On Track</v>
      </c>
      <c r="U954" t="str">
        <f t="shared" ca="1" si="74"/>
        <v>Normal</v>
      </c>
      <c r="V954" t="s">
        <v>59</v>
      </c>
    </row>
    <row r="955" spans="1:22">
      <c r="A955" t="s">
        <v>2594</v>
      </c>
      <c r="B955" t="s">
        <v>124</v>
      </c>
      <c r="C955" t="s">
        <v>2595</v>
      </c>
      <c r="D955" s="16">
        <v>2180.0300000000002</v>
      </c>
      <c r="E955" t="s">
        <v>25</v>
      </c>
      <c r="F955" t="s">
        <v>26</v>
      </c>
      <c r="G955" t="s">
        <v>2596</v>
      </c>
      <c r="H955" t="s">
        <v>28</v>
      </c>
      <c r="I955" t="s">
        <v>29</v>
      </c>
      <c r="J955" s="13">
        <v>46177</v>
      </c>
      <c r="K955" s="17" t="s">
        <v>40</v>
      </c>
      <c r="L955" s="13">
        <v>46207</v>
      </c>
      <c r="M955" t="s">
        <v>99</v>
      </c>
      <c r="N955" t="s">
        <v>32</v>
      </c>
      <c r="O955" s="13">
        <v>46187</v>
      </c>
      <c r="Q955">
        <f t="shared" ca="1" si="70"/>
        <v>12</v>
      </c>
      <c r="R955">
        <f t="shared" si="71"/>
        <v>10</v>
      </c>
      <c r="S955">
        <f t="shared" ca="1" si="72"/>
        <v>18</v>
      </c>
      <c r="T955" t="str">
        <f t="shared" ca="1" si="73"/>
        <v>On Track</v>
      </c>
      <c r="U955" t="str">
        <f t="shared" ca="1" si="74"/>
        <v>Normal</v>
      </c>
    </row>
    <row r="956" spans="1:22">
      <c r="A956" t="s">
        <v>2597</v>
      </c>
      <c r="B956" t="s">
        <v>53</v>
      </c>
      <c r="C956" t="s">
        <v>2598</v>
      </c>
      <c r="D956" s="16">
        <v>75536.039999999994</v>
      </c>
      <c r="E956" t="s">
        <v>55</v>
      </c>
      <c r="F956" t="s">
        <v>38</v>
      </c>
      <c r="H956" t="s">
        <v>121</v>
      </c>
      <c r="I956" t="s">
        <v>122</v>
      </c>
      <c r="J956" s="13">
        <v>46161</v>
      </c>
      <c r="K956" s="17" t="s">
        <v>49</v>
      </c>
      <c r="L956" s="13">
        <v>46206</v>
      </c>
      <c r="M956" t="s">
        <v>31</v>
      </c>
      <c r="N956" t="s">
        <v>32</v>
      </c>
      <c r="O956" s="13">
        <v>46168</v>
      </c>
      <c r="P956" s="13">
        <v>46174</v>
      </c>
      <c r="Q956">
        <f t="shared" ca="1" si="70"/>
        <v>28</v>
      </c>
      <c r="R956">
        <f t="shared" si="71"/>
        <v>7</v>
      </c>
      <c r="S956">
        <f t="shared" ca="1" si="72"/>
        <v>17</v>
      </c>
      <c r="T956" t="str">
        <f t="shared" ca="1" si="73"/>
        <v>On Track</v>
      </c>
      <c r="U956" t="str">
        <f t="shared" ca="1" si="74"/>
        <v>Normal</v>
      </c>
      <c r="V956" t="s">
        <v>33</v>
      </c>
    </row>
    <row r="957" spans="1:22">
      <c r="A957" t="s">
        <v>2599</v>
      </c>
      <c r="B957" t="s">
        <v>187</v>
      </c>
      <c r="C957" t="s">
        <v>2600</v>
      </c>
      <c r="D957" s="16">
        <v>3000.56</v>
      </c>
      <c r="E957" t="s">
        <v>69</v>
      </c>
      <c r="F957" t="s">
        <v>26</v>
      </c>
      <c r="G957" t="s">
        <v>2601</v>
      </c>
      <c r="H957" t="s">
        <v>71</v>
      </c>
      <c r="I957" t="s">
        <v>29</v>
      </c>
      <c r="J957" s="13">
        <v>46165</v>
      </c>
      <c r="K957" s="17" t="s">
        <v>57</v>
      </c>
      <c r="L957" s="13">
        <v>46195</v>
      </c>
      <c r="M957" t="s">
        <v>31</v>
      </c>
      <c r="N957" t="s">
        <v>32</v>
      </c>
      <c r="O957" s="13">
        <v>46173</v>
      </c>
      <c r="P957" s="13">
        <v>46177</v>
      </c>
      <c r="Q957">
        <f t="shared" ca="1" si="70"/>
        <v>24</v>
      </c>
      <c r="R957">
        <f t="shared" si="71"/>
        <v>8</v>
      </c>
      <c r="S957">
        <f t="shared" ca="1" si="72"/>
        <v>6</v>
      </c>
      <c r="T957" t="str">
        <f t="shared" ca="1" si="73"/>
        <v>On Track</v>
      </c>
      <c r="U957" t="str">
        <f t="shared" ca="1" si="74"/>
        <v>Normal</v>
      </c>
      <c r="V957" t="s">
        <v>33</v>
      </c>
    </row>
    <row r="958" spans="1:22">
      <c r="A958" t="s">
        <v>2602</v>
      </c>
      <c r="B958" t="s">
        <v>222</v>
      </c>
      <c r="C958" t="s">
        <v>2603</v>
      </c>
      <c r="D958" s="16">
        <v>4695.24</v>
      </c>
      <c r="E958" t="s">
        <v>62</v>
      </c>
      <c r="F958" t="s">
        <v>26</v>
      </c>
      <c r="G958" t="s">
        <v>2604</v>
      </c>
      <c r="H958" t="s">
        <v>64</v>
      </c>
      <c r="I958" t="s">
        <v>29</v>
      </c>
      <c r="J958" s="13">
        <v>46156</v>
      </c>
      <c r="K958" s="17" t="s">
        <v>30</v>
      </c>
      <c r="L958" s="13">
        <v>46171</v>
      </c>
      <c r="M958" t="s">
        <v>31</v>
      </c>
      <c r="N958" t="s">
        <v>32</v>
      </c>
      <c r="O958" s="13">
        <v>46163</v>
      </c>
      <c r="P958" s="13">
        <v>46168</v>
      </c>
      <c r="Q958">
        <f t="shared" ca="1" si="70"/>
        <v>33</v>
      </c>
      <c r="R958">
        <f t="shared" si="71"/>
        <v>7</v>
      </c>
      <c r="S958">
        <f t="shared" ca="1" si="72"/>
        <v>-18</v>
      </c>
      <c r="T958" t="str">
        <f t="shared" ca="1" si="73"/>
        <v>On Track</v>
      </c>
      <c r="U958" t="str">
        <f t="shared" ca="1" si="74"/>
        <v>Normal</v>
      </c>
      <c r="V958" t="s">
        <v>33</v>
      </c>
    </row>
    <row r="959" spans="1:22">
      <c r="A959" t="s">
        <v>2605</v>
      </c>
      <c r="B959" t="s">
        <v>187</v>
      </c>
      <c r="C959" t="s">
        <v>2606</v>
      </c>
      <c r="D959" s="16">
        <v>3145.36</v>
      </c>
      <c r="E959" t="s">
        <v>46</v>
      </c>
      <c r="F959" t="s">
        <v>38</v>
      </c>
      <c r="H959" t="s">
        <v>48</v>
      </c>
      <c r="I959" t="s">
        <v>29</v>
      </c>
      <c r="J959" s="13">
        <v>46166</v>
      </c>
      <c r="K959" s="17" t="s">
        <v>30</v>
      </c>
      <c r="L959" s="13">
        <v>46181</v>
      </c>
      <c r="M959" t="s">
        <v>41</v>
      </c>
      <c r="N959" t="s">
        <v>213</v>
      </c>
      <c r="Q959">
        <f t="shared" ca="1" si="70"/>
        <v>23</v>
      </c>
      <c r="R959" t="str">
        <f t="shared" si="71"/>
        <v/>
      </c>
      <c r="S959">
        <f t="shared" ca="1" si="72"/>
        <v>-8</v>
      </c>
      <c r="T959" t="str">
        <f t="shared" ca="1" si="73"/>
        <v>Overdue</v>
      </c>
      <c r="U959" t="str">
        <f t="shared" ca="1" si="74"/>
        <v>At Risk</v>
      </c>
      <c r="V959" t="s">
        <v>214</v>
      </c>
    </row>
    <row r="960" spans="1:22">
      <c r="A960" t="s">
        <v>2607</v>
      </c>
      <c r="B960" t="s">
        <v>115</v>
      </c>
      <c r="C960" t="s">
        <v>2608</v>
      </c>
      <c r="D960" s="16">
        <v>3091.48</v>
      </c>
      <c r="E960" t="s">
        <v>69</v>
      </c>
      <c r="F960" t="s">
        <v>26</v>
      </c>
      <c r="G960" t="s">
        <v>2609</v>
      </c>
      <c r="H960" t="s">
        <v>71</v>
      </c>
      <c r="I960" t="s">
        <v>29</v>
      </c>
      <c r="J960" s="13">
        <v>46179</v>
      </c>
      <c r="K960" s="17" t="s">
        <v>57</v>
      </c>
      <c r="L960" s="13">
        <v>46209</v>
      </c>
      <c r="M960" t="s">
        <v>31</v>
      </c>
      <c r="N960" t="s">
        <v>32</v>
      </c>
      <c r="O960" s="13">
        <v>46182</v>
      </c>
      <c r="P960" s="13">
        <v>46184</v>
      </c>
      <c r="Q960">
        <f t="shared" ca="1" si="70"/>
        <v>10</v>
      </c>
      <c r="R960">
        <f t="shared" si="71"/>
        <v>3</v>
      </c>
      <c r="S960">
        <f t="shared" ca="1" si="72"/>
        <v>20</v>
      </c>
      <c r="T960" t="str">
        <f t="shared" ca="1" si="73"/>
        <v>On Track</v>
      </c>
      <c r="U960" t="str">
        <f t="shared" ca="1" si="74"/>
        <v>Normal</v>
      </c>
      <c r="V960" t="s">
        <v>33</v>
      </c>
    </row>
    <row r="961" spans="1:22">
      <c r="A961" t="s">
        <v>2610</v>
      </c>
      <c r="B961" t="s">
        <v>271</v>
      </c>
      <c r="C961" t="s">
        <v>2611</v>
      </c>
      <c r="D961" s="16">
        <v>826.5</v>
      </c>
      <c r="E961" t="s">
        <v>156</v>
      </c>
      <c r="F961" t="s">
        <v>26</v>
      </c>
      <c r="G961" t="s">
        <v>2612</v>
      </c>
      <c r="H961" t="s">
        <v>157</v>
      </c>
      <c r="I961" t="s">
        <v>29</v>
      </c>
      <c r="J961" s="13">
        <v>46168</v>
      </c>
      <c r="K961" s="17" t="s">
        <v>49</v>
      </c>
      <c r="L961" s="13">
        <v>46213</v>
      </c>
      <c r="M961" t="s">
        <v>65</v>
      </c>
      <c r="N961" t="s">
        <v>32</v>
      </c>
      <c r="Q961">
        <f t="shared" ca="1" si="70"/>
        <v>21</v>
      </c>
      <c r="R961" t="str">
        <f t="shared" si="71"/>
        <v/>
      </c>
      <c r="S961">
        <f t="shared" ca="1" si="72"/>
        <v>24</v>
      </c>
      <c r="T961" t="str">
        <f t="shared" ca="1" si="73"/>
        <v>On Track</v>
      </c>
      <c r="U961" t="str">
        <f t="shared" ca="1" si="74"/>
        <v>Normal</v>
      </c>
    </row>
    <row r="962" spans="1:22">
      <c r="A962" t="s">
        <v>2613</v>
      </c>
      <c r="B962" t="s">
        <v>187</v>
      </c>
      <c r="C962" t="s">
        <v>2614</v>
      </c>
      <c r="D962" s="16">
        <v>9081.48</v>
      </c>
      <c r="E962" t="s">
        <v>111</v>
      </c>
      <c r="F962" t="s">
        <v>26</v>
      </c>
      <c r="G962" t="s">
        <v>2615</v>
      </c>
      <c r="H962" t="s">
        <v>122</v>
      </c>
      <c r="I962" t="s">
        <v>92</v>
      </c>
      <c r="J962" s="13">
        <v>46157</v>
      </c>
      <c r="K962" s="17" t="s">
        <v>30</v>
      </c>
      <c r="L962" s="13">
        <v>46172</v>
      </c>
      <c r="M962" t="s">
        <v>31</v>
      </c>
      <c r="N962" t="s">
        <v>100</v>
      </c>
      <c r="O962" s="13">
        <v>46164</v>
      </c>
      <c r="P962" s="13">
        <v>46171</v>
      </c>
      <c r="Q962">
        <f t="shared" ref="Q962:Q1025" ca="1" si="75">IF(J962="","",TODAY()-J962)</f>
        <v>32</v>
      </c>
      <c r="R962">
        <f t="shared" ref="R962:R1025" si="76">IF(O962="","",O962-J962)</f>
        <v>7</v>
      </c>
      <c r="S962">
        <f t="shared" ref="S962:S1025" ca="1" si="77">IF(L962="","",L962-TODAY())</f>
        <v>-17</v>
      </c>
      <c r="T962" t="str">
        <f t="shared" ref="T962:T1025" ca="1" si="78">IF(AND(M962="Pending Approval",Q962&gt;5),"Overdue","On Track")</f>
        <v>On Track</v>
      </c>
      <c r="U962" t="str">
        <f t="shared" ref="U962:U1025" ca="1" si="79">IF(AND(M962&lt;&gt;"Paid",S962&lt;=5),"At Risk","Normal")</f>
        <v>Normal</v>
      </c>
      <c r="V962" t="s">
        <v>101</v>
      </c>
    </row>
    <row r="963" spans="1:22">
      <c r="A963" t="s">
        <v>2616</v>
      </c>
      <c r="B963" t="s">
        <v>73</v>
      </c>
      <c r="C963" t="s">
        <v>2617</v>
      </c>
      <c r="D963" s="16">
        <v>6017.69</v>
      </c>
      <c r="E963" t="s">
        <v>25</v>
      </c>
      <c r="F963" t="s">
        <v>26</v>
      </c>
      <c r="G963" t="s">
        <v>2618</v>
      </c>
      <c r="H963" t="s">
        <v>149</v>
      </c>
      <c r="I963" t="s">
        <v>92</v>
      </c>
      <c r="J963" s="13">
        <v>46171</v>
      </c>
      <c r="K963" s="17" t="s">
        <v>40</v>
      </c>
      <c r="L963" s="13">
        <v>46201</v>
      </c>
      <c r="M963" t="s">
        <v>31</v>
      </c>
      <c r="N963" t="s">
        <v>32</v>
      </c>
      <c r="O963" s="13">
        <v>46176</v>
      </c>
      <c r="P963" s="13">
        <v>46180</v>
      </c>
      <c r="Q963">
        <f t="shared" ca="1" si="75"/>
        <v>18</v>
      </c>
      <c r="R963">
        <f t="shared" si="76"/>
        <v>5</v>
      </c>
      <c r="S963">
        <f t="shared" ca="1" si="77"/>
        <v>12</v>
      </c>
      <c r="T963" t="str">
        <f t="shared" ca="1" si="78"/>
        <v>On Track</v>
      </c>
      <c r="U963" t="str">
        <f t="shared" ca="1" si="79"/>
        <v>Normal</v>
      </c>
      <c r="V963" t="s">
        <v>33</v>
      </c>
    </row>
    <row r="964" spans="1:22">
      <c r="A964" t="s">
        <v>2619</v>
      </c>
      <c r="B964" t="s">
        <v>208</v>
      </c>
      <c r="C964" t="s">
        <v>2620</v>
      </c>
      <c r="D964" s="16">
        <v>1668.52</v>
      </c>
      <c r="E964" t="s">
        <v>69</v>
      </c>
      <c r="F964" t="s">
        <v>26</v>
      </c>
      <c r="G964" t="s">
        <v>2621</v>
      </c>
      <c r="H964" t="s">
        <v>71</v>
      </c>
      <c r="I964" t="s">
        <v>29</v>
      </c>
      <c r="J964" s="13">
        <v>46149</v>
      </c>
      <c r="K964" s="17" t="s">
        <v>57</v>
      </c>
      <c r="L964" s="13">
        <v>46179</v>
      </c>
      <c r="M964" t="s">
        <v>31</v>
      </c>
      <c r="N964" t="s">
        <v>100</v>
      </c>
      <c r="O964" s="13">
        <v>46162</v>
      </c>
      <c r="P964" s="13">
        <v>46166</v>
      </c>
      <c r="Q964">
        <f t="shared" ca="1" si="75"/>
        <v>40</v>
      </c>
      <c r="R964">
        <f t="shared" si="76"/>
        <v>13</v>
      </c>
      <c r="S964">
        <f t="shared" ca="1" si="77"/>
        <v>-10</v>
      </c>
      <c r="T964" t="str">
        <f t="shared" ca="1" si="78"/>
        <v>On Track</v>
      </c>
      <c r="U964" t="str">
        <f t="shared" ca="1" si="79"/>
        <v>Normal</v>
      </c>
      <c r="V964" t="s">
        <v>101</v>
      </c>
    </row>
    <row r="965" spans="1:22">
      <c r="A965" t="s">
        <v>2622</v>
      </c>
      <c r="B965" t="s">
        <v>124</v>
      </c>
      <c r="C965" t="s">
        <v>2623</v>
      </c>
      <c r="D965" s="16">
        <v>1389.95</v>
      </c>
      <c r="E965" t="s">
        <v>62</v>
      </c>
      <c r="F965" t="s">
        <v>26</v>
      </c>
      <c r="G965" t="s">
        <v>2624</v>
      </c>
      <c r="H965" t="s">
        <v>64</v>
      </c>
      <c r="I965" t="s">
        <v>29</v>
      </c>
      <c r="J965" s="13">
        <v>46171</v>
      </c>
      <c r="K965" s="17" t="s">
        <v>49</v>
      </c>
      <c r="L965" s="13">
        <v>46216</v>
      </c>
      <c r="M965" t="s">
        <v>65</v>
      </c>
      <c r="N965" t="s">
        <v>32</v>
      </c>
      <c r="Q965">
        <f t="shared" ca="1" si="75"/>
        <v>18</v>
      </c>
      <c r="R965" t="str">
        <f t="shared" si="76"/>
        <v/>
      </c>
      <c r="S965">
        <f t="shared" ca="1" si="77"/>
        <v>27</v>
      </c>
      <c r="T965" t="str">
        <f t="shared" ca="1" si="78"/>
        <v>On Track</v>
      </c>
      <c r="U965" t="str">
        <f t="shared" ca="1" si="79"/>
        <v>Normal</v>
      </c>
    </row>
    <row r="966" spans="1:22">
      <c r="A966" t="s">
        <v>2625</v>
      </c>
      <c r="B966" t="s">
        <v>118</v>
      </c>
      <c r="C966" t="s">
        <v>2626</v>
      </c>
      <c r="D966" s="16">
        <v>9168.7099999999991</v>
      </c>
      <c r="E966" t="s">
        <v>142</v>
      </c>
      <c r="F966" t="s">
        <v>26</v>
      </c>
      <c r="G966" t="s">
        <v>2627</v>
      </c>
      <c r="H966" t="s">
        <v>144</v>
      </c>
      <c r="I966" t="s">
        <v>92</v>
      </c>
      <c r="J966" s="13">
        <v>46168</v>
      </c>
      <c r="K966" s="17" t="s">
        <v>49</v>
      </c>
      <c r="L966" s="13">
        <v>46213</v>
      </c>
      <c r="M966" t="s">
        <v>31</v>
      </c>
      <c r="N966" t="s">
        <v>32</v>
      </c>
      <c r="O966" s="13">
        <v>46169</v>
      </c>
      <c r="P966" s="13">
        <v>46172</v>
      </c>
      <c r="Q966">
        <f t="shared" ca="1" si="75"/>
        <v>21</v>
      </c>
      <c r="R966">
        <f t="shared" si="76"/>
        <v>1</v>
      </c>
      <c r="S966">
        <f t="shared" ca="1" si="77"/>
        <v>24</v>
      </c>
      <c r="T966" t="str">
        <f t="shared" ca="1" si="78"/>
        <v>On Track</v>
      </c>
      <c r="U966" t="str">
        <f t="shared" ca="1" si="79"/>
        <v>Normal</v>
      </c>
      <c r="V966" t="s">
        <v>33</v>
      </c>
    </row>
    <row r="967" spans="1:22">
      <c r="A967" t="s">
        <v>2628</v>
      </c>
      <c r="B967" t="s">
        <v>172</v>
      </c>
      <c r="C967" t="s">
        <v>2629</v>
      </c>
      <c r="D967" s="16">
        <v>1744.45</v>
      </c>
      <c r="E967" t="s">
        <v>302</v>
      </c>
      <c r="F967" t="s">
        <v>38</v>
      </c>
      <c r="H967" t="s">
        <v>304</v>
      </c>
      <c r="I967" t="s">
        <v>29</v>
      </c>
      <c r="J967" s="13">
        <v>46160</v>
      </c>
      <c r="K967" s="17" t="s">
        <v>30</v>
      </c>
      <c r="L967" s="13">
        <v>46175</v>
      </c>
      <c r="M967" t="s">
        <v>84</v>
      </c>
      <c r="N967" t="s">
        <v>50</v>
      </c>
      <c r="O967" s="13">
        <v>46166</v>
      </c>
      <c r="Q967">
        <f t="shared" ca="1" si="75"/>
        <v>29</v>
      </c>
      <c r="R967">
        <f t="shared" si="76"/>
        <v>6</v>
      </c>
      <c r="S967">
        <f t="shared" ca="1" si="77"/>
        <v>-14</v>
      </c>
      <c r="T967" t="str">
        <f t="shared" ca="1" si="78"/>
        <v>On Track</v>
      </c>
      <c r="U967" t="str">
        <f t="shared" ca="1" si="79"/>
        <v>At Risk</v>
      </c>
      <c r="V967" t="s">
        <v>51</v>
      </c>
    </row>
    <row r="968" spans="1:22">
      <c r="A968" t="s">
        <v>2630</v>
      </c>
      <c r="B968" t="s">
        <v>23</v>
      </c>
      <c r="C968" t="s">
        <v>2631</v>
      </c>
      <c r="D968" s="16">
        <v>82721.14</v>
      </c>
      <c r="E968" t="s">
        <v>302</v>
      </c>
      <c r="F968" t="s">
        <v>38</v>
      </c>
      <c r="H968" t="s">
        <v>121</v>
      </c>
      <c r="I968" t="s">
        <v>122</v>
      </c>
      <c r="J968" s="13">
        <v>46174</v>
      </c>
      <c r="K968" s="17" t="s">
        <v>40</v>
      </c>
      <c r="L968" s="13">
        <v>46204</v>
      </c>
      <c r="M968" t="s">
        <v>99</v>
      </c>
      <c r="N968" t="s">
        <v>32</v>
      </c>
      <c r="O968" s="13">
        <v>46179</v>
      </c>
      <c r="Q968">
        <f t="shared" ca="1" si="75"/>
        <v>15</v>
      </c>
      <c r="R968">
        <f t="shared" si="76"/>
        <v>5</v>
      </c>
      <c r="S968">
        <f t="shared" ca="1" si="77"/>
        <v>15</v>
      </c>
      <c r="T968" t="str">
        <f t="shared" ca="1" si="78"/>
        <v>On Track</v>
      </c>
      <c r="U968" t="str">
        <f t="shared" ca="1" si="79"/>
        <v>Normal</v>
      </c>
    </row>
    <row r="969" spans="1:22">
      <c r="A969" t="s">
        <v>2632</v>
      </c>
      <c r="B969" t="s">
        <v>109</v>
      </c>
      <c r="C969" t="s">
        <v>2633</v>
      </c>
      <c r="D969" s="16">
        <v>1054.93</v>
      </c>
      <c r="E969" t="s">
        <v>46</v>
      </c>
      <c r="F969" t="s">
        <v>38</v>
      </c>
      <c r="H969" t="s">
        <v>48</v>
      </c>
      <c r="I969" t="s">
        <v>29</v>
      </c>
      <c r="J969" s="13">
        <v>46149</v>
      </c>
      <c r="K969" s="17" t="s">
        <v>40</v>
      </c>
      <c r="L969" s="13">
        <v>46179</v>
      </c>
      <c r="M969" t="s">
        <v>31</v>
      </c>
      <c r="N969" t="s">
        <v>50</v>
      </c>
      <c r="O969" s="13">
        <v>46158</v>
      </c>
      <c r="P969" s="13">
        <v>46159</v>
      </c>
      <c r="Q969">
        <f t="shared" ca="1" si="75"/>
        <v>40</v>
      </c>
      <c r="R969">
        <f t="shared" si="76"/>
        <v>9</v>
      </c>
      <c r="S969">
        <f t="shared" ca="1" si="77"/>
        <v>-10</v>
      </c>
      <c r="T969" t="str">
        <f t="shared" ca="1" si="78"/>
        <v>On Track</v>
      </c>
      <c r="U969" t="str">
        <f t="shared" ca="1" si="79"/>
        <v>Normal</v>
      </c>
      <c r="V969" t="s">
        <v>51</v>
      </c>
    </row>
    <row r="970" spans="1:22">
      <c r="A970" t="s">
        <v>2634</v>
      </c>
      <c r="B970" t="s">
        <v>53</v>
      </c>
      <c r="C970" t="s">
        <v>2635</v>
      </c>
      <c r="D970" s="16">
        <v>4129.22</v>
      </c>
      <c r="E970" t="s">
        <v>78</v>
      </c>
      <c r="F970" t="s">
        <v>38</v>
      </c>
      <c r="H970" t="s">
        <v>80</v>
      </c>
      <c r="I970" t="s">
        <v>29</v>
      </c>
      <c r="J970" s="13">
        <v>46145</v>
      </c>
      <c r="K970" s="17" t="s">
        <v>49</v>
      </c>
      <c r="L970" s="13">
        <v>46190</v>
      </c>
      <c r="M970" t="s">
        <v>31</v>
      </c>
      <c r="N970" t="s">
        <v>50</v>
      </c>
      <c r="O970" s="13">
        <v>46160</v>
      </c>
      <c r="P970" s="13">
        <v>46163</v>
      </c>
      <c r="Q970">
        <f t="shared" ca="1" si="75"/>
        <v>44</v>
      </c>
      <c r="R970">
        <f t="shared" si="76"/>
        <v>15</v>
      </c>
      <c r="S970">
        <f t="shared" ca="1" si="77"/>
        <v>1</v>
      </c>
      <c r="T970" t="str">
        <f t="shared" ca="1" si="78"/>
        <v>On Track</v>
      </c>
      <c r="U970" t="str">
        <f t="shared" ca="1" si="79"/>
        <v>Normal</v>
      </c>
      <c r="V970" t="s">
        <v>51</v>
      </c>
    </row>
    <row r="971" spans="1:22">
      <c r="A971" t="s">
        <v>2636</v>
      </c>
      <c r="B971" t="s">
        <v>94</v>
      </c>
      <c r="C971" t="s">
        <v>2637</v>
      </c>
      <c r="D971" s="16">
        <v>4061.61</v>
      </c>
      <c r="E971" t="s">
        <v>111</v>
      </c>
      <c r="F971" t="s">
        <v>38</v>
      </c>
      <c r="H971" t="s">
        <v>113</v>
      </c>
      <c r="I971" t="s">
        <v>29</v>
      </c>
      <c r="J971" s="13">
        <v>46148</v>
      </c>
      <c r="K971" s="17" t="s">
        <v>57</v>
      </c>
      <c r="L971" s="13">
        <v>46178</v>
      </c>
      <c r="M971" t="s">
        <v>31</v>
      </c>
      <c r="N971" t="s">
        <v>50</v>
      </c>
      <c r="O971" s="13">
        <v>46157</v>
      </c>
      <c r="P971" s="13">
        <v>46158</v>
      </c>
      <c r="Q971">
        <f t="shared" ca="1" si="75"/>
        <v>41</v>
      </c>
      <c r="R971">
        <f t="shared" si="76"/>
        <v>9</v>
      </c>
      <c r="S971">
        <f t="shared" ca="1" si="77"/>
        <v>-11</v>
      </c>
      <c r="T971" t="str">
        <f t="shared" ca="1" si="78"/>
        <v>On Track</v>
      </c>
      <c r="U971" t="str">
        <f t="shared" ca="1" si="79"/>
        <v>Normal</v>
      </c>
      <c r="V971" t="s">
        <v>51</v>
      </c>
    </row>
    <row r="972" spans="1:22">
      <c r="A972" t="s">
        <v>2638</v>
      </c>
      <c r="B972" t="s">
        <v>187</v>
      </c>
      <c r="C972" t="s">
        <v>2639</v>
      </c>
      <c r="D972" s="16">
        <v>2112.09</v>
      </c>
      <c r="E972" t="s">
        <v>126</v>
      </c>
      <c r="F972" t="s">
        <v>38</v>
      </c>
      <c r="H972" t="s">
        <v>241</v>
      </c>
      <c r="I972" t="s">
        <v>29</v>
      </c>
      <c r="J972" s="13">
        <v>46144</v>
      </c>
      <c r="K972" s="17" t="s">
        <v>49</v>
      </c>
      <c r="L972" s="13">
        <v>46189</v>
      </c>
      <c r="M972" t="s">
        <v>31</v>
      </c>
      <c r="N972" t="s">
        <v>32</v>
      </c>
      <c r="O972" s="13">
        <v>46157</v>
      </c>
      <c r="P972" s="13">
        <v>46163</v>
      </c>
      <c r="Q972">
        <f t="shared" ca="1" si="75"/>
        <v>45</v>
      </c>
      <c r="R972">
        <f t="shared" si="76"/>
        <v>13</v>
      </c>
      <c r="S972">
        <f t="shared" ca="1" si="77"/>
        <v>0</v>
      </c>
      <c r="T972" t="str">
        <f t="shared" ca="1" si="78"/>
        <v>On Track</v>
      </c>
      <c r="U972" t="str">
        <f t="shared" ca="1" si="79"/>
        <v>Normal</v>
      </c>
      <c r="V972" t="s">
        <v>33</v>
      </c>
    </row>
    <row r="973" spans="1:22">
      <c r="A973" t="s">
        <v>2640</v>
      </c>
      <c r="B973" t="s">
        <v>115</v>
      </c>
      <c r="C973" t="s">
        <v>2641</v>
      </c>
      <c r="D973" s="16">
        <v>4426.95</v>
      </c>
      <c r="E973" t="s">
        <v>62</v>
      </c>
      <c r="F973" t="s">
        <v>26</v>
      </c>
      <c r="G973" t="s">
        <v>2642</v>
      </c>
      <c r="H973" t="s">
        <v>64</v>
      </c>
      <c r="I973" t="s">
        <v>29</v>
      </c>
      <c r="J973" s="13">
        <v>46155</v>
      </c>
      <c r="K973" s="17" t="s">
        <v>49</v>
      </c>
      <c r="L973" s="13">
        <v>46200</v>
      </c>
      <c r="M973" t="s">
        <v>31</v>
      </c>
      <c r="N973" t="s">
        <v>32</v>
      </c>
      <c r="O973" s="13">
        <v>46157</v>
      </c>
      <c r="P973" s="13">
        <v>46164</v>
      </c>
      <c r="Q973">
        <f t="shared" ca="1" si="75"/>
        <v>34</v>
      </c>
      <c r="R973">
        <f t="shared" si="76"/>
        <v>2</v>
      </c>
      <c r="S973">
        <f t="shared" ca="1" si="77"/>
        <v>11</v>
      </c>
      <c r="T973" t="str">
        <f t="shared" ca="1" si="78"/>
        <v>On Track</v>
      </c>
      <c r="U973" t="str">
        <f t="shared" ca="1" si="79"/>
        <v>Normal</v>
      </c>
      <c r="V973" t="s">
        <v>33</v>
      </c>
    </row>
    <row r="974" spans="1:22">
      <c r="A974" t="s">
        <v>2643</v>
      </c>
      <c r="B974" t="s">
        <v>172</v>
      </c>
      <c r="C974" t="s">
        <v>2644</v>
      </c>
      <c r="D974" s="16">
        <v>619.79999999999995</v>
      </c>
      <c r="E974" t="s">
        <v>111</v>
      </c>
      <c r="F974" t="s">
        <v>38</v>
      </c>
      <c r="H974" t="s">
        <v>113</v>
      </c>
      <c r="I974" t="s">
        <v>29</v>
      </c>
      <c r="J974" s="13">
        <v>46159</v>
      </c>
      <c r="K974" s="17" t="s">
        <v>49</v>
      </c>
      <c r="L974" s="13">
        <v>46204</v>
      </c>
      <c r="M974" t="s">
        <v>31</v>
      </c>
      <c r="N974" t="s">
        <v>50</v>
      </c>
      <c r="O974" s="13">
        <v>46170</v>
      </c>
      <c r="P974" s="13">
        <v>46176</v>
      </c>
      <c r="Q974">
        <f t="shared" ca="1" si="75"/>
        <v>30</v>
      </c>
      <c r="R974">
        <f t="shared" si="76"/>
        <v>11</v>
      </c>
      <c r="S974">
        <f t="shared" ca="1" si="77"/>
        <v>15</v>
      </c>
      <c r="T974" t="str">
        <f t="shared" ca="1" si="78"/>
        <v>On Track</v>
      </c>
      <c r="U974" t="str">
        <f t="shared" ca="1" si="79"/>
        <v>Normal</v>
      </c>
      <c r="V974" t="s">
        <v>51</v>
      </c>
    </row>
    <row r="975" spans="1:22">
      <c r="A975" t="s">
        <v>2645</v>
      </c>
      <c r="B975" t="s">
        <v>271</v>
      </c>
      <c r="C975" t="s">
        <v>2646</v>
      </c>
      <c r="D975" s="16">
        <v>1685.71</v>
      </c>
      <c r="E975" t="s">
        <v>156</v>
      </c>
      <c r="F975" t="s">
        <v>26</v>
      </c>
      <c r="G975" t="s">
        <v>2647</v>
      </c>
      <c r="H975" t="s">
        <v>157</v>
      </c>
      <c r="I975" t="s">
        <v>29</v>
      </c>
      <c r="J975" s="13">
        <v>46161</v>
      </c>
      <c r="K975" s="17" t="s">
        <v>57</v>
      </c>
      <c r="L975" s="13">
        <v>46191</v>
      </c>
      <c r="M975" t="s">
        <v>31</v>
      </c>
      <c r="N975" t="s">
        <v>32</v>
      </c>
      <c r="O975" s="13">
        <v>46166</v>
      </c>
      <c r="P975" s="13">
        <v>46170</v>
      </c>
      <c r="Q975">
        <f t="shared" ca="1" si="75"/>
        <v>28</v>
      </c>
      <c r="R975">
        <f t="shared" si="76"/>
        <v>5</v>
      </c>
      <c r="S975">
        <f t="shared" ca="1" si="77"/>
        <v>2</v>
      </c>
      <c r="T975" t="str">
        <f t="shared" ca="1" si="78"/>
        <v>On Track</v>
      </c>
      <c r="U975" t="str">
        <f t="shared" ca="1" si="79"/>
        <v>Normal</v>
      </c>
      <c r="V975" t="s">
        <v>33</v>
      </c>
    </row>
    <row r="976" spans="1:22">
      <c r="A976" t="s">
        <v>2648</v>
      </c>
      <c r="B976" t="s">
        <v>137</v>
      </c>
      <c r="C976" t="s">
        <v>2649</v>
      </c>
      <c r="D976" s="16">
        <v>1904.44</v>
      </c>
      <c r="E976" t="s">
        <v>62</v>
      </c>
      <c r="F976" t="s">
        <v>38</v>
      </c>
      <c r="H976" t="s">
        <v>64</v>
      </c>
      <c r="I976" t="s">
        <v>29</v>
      </c>
      <c r="J976" s="13">
        <v>46177</v>
      </c>
      <c r="K976" s="17" t="s">
        <v>40</v>
      </c>
      <c r="L976" s="13">
        <v>46207</v>
      </c>
      <c r="M976" t="s">
        <v>41</v>
      </c>
      <c r="N976" t="s">
        <v>50</v>
      </c>
      <c r="Q976">
        <f t="shared" ca="1" si="75"/>
        <v>12</v>
      </c>
      <c r="R976" t="str">
        <f t="shared" si="76"/>
        <v/>
      </c>
      <c r="S976">
        <f t="shared" ca="1" si="77"/>
        <v>18</v>
      </c>
      <c r="T976" t="str">
        <f t="shared" ca="1" si="78"/>
        <v>Overdue</v>
      </c>
      <c r="U976" t="str">
        <f t="shared" ca="1" si="79"/>
        <v>Normal</v>
      </c>
      <c r="V976" t="s">
        <v>51</v>
      </c>
    </row>
    <row r="977" spans="1:22">
      <c r="A977" t="s">
        <v>2650</v>
      </c>
      <c r="B977" t="s">
        <v>67</v>
      </c>
      <c r="C977" t="s">
        <v>2651</v>
      </c>
      <c r="D977" s="16">
        <v>3444.95</v>
      </c>
      <c r="E977" t="s">
        <v>37</v>
      </c>
      <c r="F977" t="s">
        <v>26</v>
      </c>
      <c r="G977" t="s">
        <v>2652</v>
      </c>
      <c r="H977" t="s">
        <v>39</v>
      </c>
      <c r="I977" t="s">
        <v>29</v>
      </c>
      <c r="J977" s="13">
        <v>46187</v>
      </c>
      <c r="K977" s="17" t="s">
        <v>49</v>
      </c>
      <c r="L977" s="13">
        <v>46232</v>
      </c>
      <c r="M977" t="s">
        <v>41</v>
      </c>
      <c r="N977" t="s">
        <v>32</v>
      </c>
      <c r="Q977">
        <f t="shared" ca="1" si="75"/>
        <v>2</v>
      </c>
      <c r="R977" t="str">
        <f t="shared" si="76"/>
        <v/>
      </c>
      <c r="S977">
        <f t="shared" ca="1" si="77"/>
        <v>43</v>
      </c>
      <c r="T977" t="str">
        <f t="shared" ca="1" si="78"/>
        <v>On Track</v>
      </c>
      <c r="U977" t="str">
        <f t="shared" ca="1" si="79"/>
        <v>Normal</v>
      </c>
      <c r="V977" t="s">
        <v>42</v>
      </c>
    </row>
    <row r="978" spans="1:22">
      <c r="A978" t="s">
        <v>2653</v>
      </c>
      <c r="B978" t="s">
        <v>172</v>
      </c>
      <c r="C978" t="s">
        <v>2654</v>
      </c>
      <c r="D978" s="16">
        <v>1436.85</v>
      </c>
      <c r="E978" t="s">
        <v>156</v>
      </c>
      <c r="F978" t="s">
        <v>38</v>
      </c>
      <c r="H978" t="s">
        <v>157</v>
      </c>
      <c r="I978" t="s">
        <v>29</v>
      </c>
      <c r="J978" s="13">
        <v>46177</v>
      </c>
      <c r="K978" s="17" t="s">
        <v>57</v>
      </c>
      <c r="L978" s="13">
        <v>46207</v>
      </c>
      <c r="M978" t="s">
        <v>145</v>
      </c>
      <c r="N978" t="s">
        <v>32</v>
      </c>
      <c r="O978" s="13">
        <v>46186</v>
      </c>
      <c r="Q978">
        <f t="shared" ca="1" si="75"/>
        <v>12</v>
      </c>
      <c r="R978">
        <f t="shared" si="76"/>
        <v>9</v>
      </c>
      <c r="S978">
        <f t="shared" ca="1" si="77"/>
        <v>18</v>
      </c>
      <c r="T978" t="str">
        <f t="shared" ca="1" si="78"/>
        <v>On Track</v>
      </c>
      <c r="U978" t="str">
        <f t="shared" ca="1" si="79"/>
        <v>Normal</v>
      </c>
    </row>
    <row r="979" spans="1:22">
      <c r="A979" t="s">
        <v>2655</v>
      </c>
      <c r="B979" t="s">
        <v>115</v>
      </c>
      <c r="C979" t="s">
        <v>2656</v>
      </c>
      <c r="D979" s="16">
        <v>725.99</v>
      </c>
      <c r="E979" t="s">
        <v>302</v>
      </c>
      <c r="F979" t="s">
        <v>26</v>
      </c>
      <c r="G979" t="s">
        <v>2657</v>
      </c>
      <c r="H979" t="s">
        <v>304</v>
      </c>
      <c r="I979" t="s">
        <v>29</v>
      </c>
      <c r="J979" s="13">
        <v>46144</v>
      </c>
      <c r="K979" s="17" t="s">
        <v>57</v>
      </c>
      <c r="L979" s="13">
        <v>46174</v>
      </c>
      <c r="M979" t="s">
        <v>31</v>
      </c>
      <c r="N979" t="s">
        <v>32</v>
      </c>
      <c r="O979" s="13">
        <v>46151</v>
      </c>
      <c r="P979" s="13">
        <v>46152</v>
      </c>
      <c r="Q979">
        <f t="shared" ca="1" si="75"/>
        <v>45</v>
      </c>
      <c r="R979">
        <f t="shared" si="76"/>
        <v>7</v>
      </c>
      <c r="S979">
        <f t="shared" ca="1" si="77"/>
        <v>-15</v>
      </c>
      <c r="T979" t="str">
        <f t="shared" ca="1" si="78"/>
        <v>On Track</v>
      </c>
      <c r="U979" t="str">
        <f t="shared" ca="1" si="79"/>
        <v>Normal</v>
      </c>
      <c r="V979" t="s">
        <v>33</v>
      </c>
    </row>
    <row r="980" spans="1:22">
      <c r="A980" t="s">
        <v>2658</v>
      </c>
      <c r="B980" t="s">
        <v>103</v>
      </c>
      <c r="C980" t="s">
        <v>2659</v>
      </c>
      <c r="D980" s="16">
        <v>2737.84</v>
      </c>
      <c r="E980" t="s">
        <v>156</v>
      </c>
      <c r="F980" t="s">
        <v>38</v>
      </c>
      <c r="H980" t="s">
        <v>157</v>
      </c>
      <c r="I980" t="s">
        <v>29</v>
      </c>
      <c r="J980" s="13">
        <v>46172</v>
      </c>
      <c r="K980" s="17" t="s">
        <v>40</v>
      </c>
      <c r="L980" s="13">
        <v>46202</v>
      </c>
      <c r="M980" t="s">
        <v>65</v>
      </c>
      <c r="N980" t="s">
        <v>32</v>
      </c>
      <c r="Q980">
        <f t="shared" ca="1" si="75"/>
        <v>17</v>
      </c>
      <c r="R980" t="str">
        <f t="shared" si="76"/>
        <v/>
      </c>
      <c r="S980">
        <f t="shared" ca="1" si="77"/>
        <v>13</v>
      </c>
      <c r="T980" t="str">
        <f t="shared" ca="1" si="78"/>
        <v>On Track</v>
      </c>
      <c r="U980" t="str">
        <f t="shared" ca="1" si="79"/>
        <v>Normal</v>
      </c>
    </row>
    <row r="981" spans="1:22">
      <c r="A981" t="s">
        <v>2660</v>
      </c>
      <c r="B981" t="s">
        <v>76</v>
      </c>
      <c r="C981" t="s">
        <v>2661</v>
      </c>
      <c r="D981" s="16">
        <v>2445.64</v>
      </c>
      <c r="E981" t="s">
        <v>142</v>
      </c>
      <c r="F981" t="s">
        <v>26</v>
      </c>
      <c r="G981" t="s">
        <v>2662</v>
      </c>
      <c r="H981" t="s">
        <v>335</v>
      </c>
      <c r="I981" t="s">
        <v>29</v>
      </c>
      <c r="J981" s="13">
        <v>46158</v>
      </c>
      <c r="K981" s="17" t="s">
        <v>30</v>
      </c>
      <c r="L981" s="13">
        <v>46173</v>
      </c>
      <c r="M981" t="s">
        <v>65</v>
      </c>
      <c r="N981" t="s">
        <v>32</v>
      </c>
      <c r="Q981">
        <f t="shared" ca="1" si="75"/>
        <v>31</v>
      </c>
      <c r="R981" t="str">
        <f t="shared" si="76"/>
        <v/>
      </c>
      <c r="S981">
        <f t="shared" ca="1" si="77"/>
        <v>-16</v>
      </c>
      <c r="T981" t="str">
        <f t="shared" ca="1" si="78"/>
        <v>On Track</v>
      </c>
      <c r="U981" t="str">
        <f t="shared" ca="1" si="79"/>
        <v>At Risk</v>
      </c>
    </row>
    <row r="982" spans="1:22">
      <c r="A982" t="s">
        <v>2663</v>
      </c>
      <c r="B982" t="s">
        <v>115</v>
      </c>
      <c r="C982" t="s">
        <v>2664</v>
      </c>
      <c r="D982" s="16">
        <v>1007.05</v>
      </c>
      <c r="E982" t="s">
        <v>302</v>
      </c>
      <c r="F982" t="s">
        <v>26</v>
      </c>
      <c r="G982" t="s">
        <v>2665</v>
      </c>
      <c r="H982" t="s">
        <v>304</v>
      </c>
      <c r="I982" t="s">
        <v>29</v>
      </c>
      <c r="J982" s="13">
        <v>46188</v>
      </c>
      <c r="K982" s="17" t="s">
        <v>57</v>
      </c>
      <c r="L982" s="13">
        <v>46218</v>
      </c>
      <c r="M982" t="s">
        <v>65</v>
      </c>
      <c r="N982" t="s">
        <v>100</v>
      </c>
      <c r="Q982">
        <f t="shared" ca="1" si="75"/>
        <v>1</v>
      </c>
      <c r="R982" t="str">
        <f t="shared" si="76"/>
        <v/>
      </c>
      <c r="S982">
        <f t="shared" ca="1" si="77"/>
        <v>29</v>
      </c>
      <c r="T982" t="str">
        <f t="shared" ca="1" si="78"/>
        <v>On Track</v>
      </c>
      <c r="U982" t="str">
        <f t="shared" ca="1" si="79"/>
        <v>Normal</v>
      </c>
      <c r="V982" t="s">
        <v>101</v>
      </c>
    </row>
    <row r="983" spans="1:22">
      <c r="A983" t="s">
        <v>2666</v>
      </c>
      <c r="B983" t="s">
        <v>82</v>
      </c>
      <c r="C983" t="s">
        <v>2667</v>
      </c>
      <c r="D983" s="16">
        <v>3734.5</v>
      </c>
      <c r="E983" t="s">
        <v>25</v>
      </c>
      <c r="F983" t="s">
        <v>38</v>
      </c>
      <c r="H983" t="s">
        <v>28</v>
      </c>
      <c r="I983" t="s">
        <v>29</v>
      </c>
      <c r="J983" s="13">
        <v>46173</v>
      </c>
      <c r="K983" s="17" t="s">
        <v>40</v>
      </c>
      <c r="L983" s="13">
        <v>46203</v>
      </c>
      <c r="M983" t="s">
        <v>99</v>
      </c>
      <c r="N983" t="s">
        <v>58</v>
      </c>
      <c r="O983" s="13">
        <v>46188</v>
      </c>
      <c r="Q983">
        <f t="shared" ca="1" si="75"/>
        <v>16</v>
      </c>
      <c r="R983">
        <f t="shared" si="76"/>
        <v>15</v>
      </c>
      <c r="S983">
        <f t="shared" ca="1" si="77"/>
        <v>14</v>
      </c>
      <c r="T983" t="str">
        <f t="shared" ca="1" si="78"/>
        <v>On Track</v>
      </c>
      <c r="U983" t="str">
        <f t="shared" ca="1" si="79"/>
        <v>Normal</v>
      </c>
      <c r="V983" t="s">
        <v>59</v>
      </c>
    </row>
    <row r="984" spans="1:22">
      <c r="A984" t="s">
        <v>2668</v>
      </c>
      <c r="B984" t="s">
        <v>172</v>
      </c>
      <c r="C984" t="s">
        <v>2669</v>
      </c>
      <c r="D984" s="16">
        <v>1363.53</v>
      </c>
      <c r="E984" t="s">
        <v>55</v>
      </c>
      <c r="F984" t="s">
        <v>38</v>
      </c>
      <c r="H984" t="s">
        <v>56</v>
      </c>
      <c r="I984" t="s">
        <v>29</v>
      </c>
      <c r="J984" s="13">
        <v>46167</v>
      </c>
      <c r="K984" s="17" t="s">
        <v>30</v>
      </c>
      <c r="L984" s="13">
        <v>46182</v>
      </c>
      <c r="M984" t="s">
        <v>31</v>
      </c>
      <c r="N984" t="s">
        <v>32</v>
      </c>
      <c r="O984" s="13">
        <v>46179</v>
      </c>
      <c r="P984" s="13">
        <v>46183</v>
      </c>
      <c r="Q984">
        <f t="shared" ca="1" si="75"/>
        <v>22</v>
      </c>
      <c r="R984">
        <f t="shared" si="76"/>
        <v>12</v>
      </c>
      <c r="S984">
        <f t="shared" ca="1" si="77"/>
        <v>-7</v>
      </c>
      <c r="T984" t="str">
        <f t="shared" ca="1" si="78"/>
        <v>On Track</v>
      </c>
      <c r="U984" t="str">
        <f t="shared" ca="1" si="79"/>
        <v>Normal</v>
      </c>
      <c r="V984" t="s">
        <v>33</v>
      </c>
    </row>
    <row r="985" spans="1:22">
      <c r="A985" t="s">
        <v>2670</v>
      </c>
      <c r="B985" t="s">
        <v>208</v>
      </c>
      <c r="C985" t="s">
        <v>2671</v>
      </c>
      <c r="D985" s="16">
        <v>3721.91</v>
      </c>
      <c r="E985" t="s">
        <v>62</v>
      </c>
      <c r="F985" t="s">
        <v>26</v>
      </c>
      <c r="G985" t="s">
        <v>2672</v>
      </c>
      <c r="H985" t="s">
        <v>64</v>
      </c>
      <c r="I985" t="s">
        <v>29</v>
      </c>
      <c r="J985" s="13">
        <v>46164</v>
      </c>
      <c r="K985" s="17" t="s">
        <v>57</v>
      </c>
      <c r="L985" s="13">
        <v>46194</v>
      </c>
      <c r="M985" t="s">
        <v>41</v>
      </c>
      <c r="N985" t="s">
        <v>32</v>
      </c>
      <c r="Q985">
        <f t="shared" ca="1" si="75"/>
        <v>25</v>
      </c>
      <c r="R985" t="str">
        <f t="shared" si="76"/>
        <v/>
      </c>
      <c r="S985">
        <f t="shared" ca="1" si="77"/>
        <v>5</v>
      </c>
      <c r="T985" t="str">
        <f t="shared" ca="1" si="78"/>
        <v>Overdue</v>
      </c>
      <c r="U985" t="str">
        <f t="shared" ca="1" si="79"/>
        <v>At Risk</v>
      </c>
      <c r="V985" t="s">
        <v>42</v>
      </c>
    </row>
    <row r="986" spans="1:22">
      <c r="A986" t="s">
        <v>2673</v>
      </c>
      <c r="B986" t="s">
        <v>118</v>
      </c>
      <c r="C986" t="s">
        <v>2674</v>
      </c>
      <c r="D986" s="16">
        <v>16640.310000000001</v>
      </c>
      <c r="E986" t="s">
        <v>69</v>
      </c>
      <c r="F986" t="s">
        <v>26</v>
      </c>
      <c r="G986" t="s">
        <v>2675</v>
      </c>
      <c r="H986" t="s">
        <v>178</v>
      </c>
      <c r="I986" t="s">
        <v>92</v>
      </c>
      <c r="J986" s="13">
        <v>46175</v>
      </c>
      <c r="K986" s="17" t="s">
        <v>30</v>
      </c>
      <c r="L986" s="13">
        <v>46190</v>
      </c>
      <c r="M986" t="s">
        <v>41</v>
      </c>
      <c r="N986" t="s">
        <v>32</v>
      </c>
      <c r="Q986">
        <f t="shared" ca="1" si="75"/>
        <v>14</v>
      </c>
      <c r="R986" t="str">
        <f t="shared" si="76"/>
        <v/>
      </c>
      <c r="S986">
        <f t="shared" ca="1" si="77"/>
        <v>1</v>
      </c>
      <c r="T986" t="str">
        <f t="shared" ca="1" si="78"/>
        <v>Overdue</v>
      </c>
      <c r="U986" t="str">
        <f t="shared" ca="1" si="79"/>
        <v>At Risk</v>
      </c>
      <c r="V986" t="s">
        <v>42</v>
      </c>
    </row>
    <row r="987" spans="1:22">
      <c r="A987" t="s">
        <v>2676</v>
      </c>
      <c r="B987" t="s">
        <v>103</v>
      </c>
      <c r="C987" t="s">
        <v>2677</v>
      </c>
      <c r="D987" s="16">
        <v>257.24</v>
      </c>
      <c r="E987" t="s">
        <v>142</v>
      </c>
      <c r="F987" t="s">
        <v>26</v>
      </c>
      <c r="G987" t="s">
        <v>2678</v>
      </c>
      <c r="H987" t="s">
        <v>335</v>
      </c>
      <c r="I987" t="s">
        <v>29</v>
      </c>
      <c r="J987" s="13">
        <v>46148</v>
      </c>
      <c r="K987" s="17" t="s">
        <v>57</v>
      </c>
      <c r="L987" s="13">
        <v>46178</v>
      </c>
      <c r="M987" t="s">
        <v>31</v>
      </c>
      <c r="N987" t="s">
        <v>32</v>
      </c>
      <c r="O987" s="13">
        <v>46152</v>
      </c>
      <c r="P987" s="13">
        <v>46155</v>
      </c>
      <c r="Q987">
        <f t="shared" ca="1" si="75"/>
        <v>41</v>
      </c>
      <c r="R987">
        <f t="shared" si="76"/>
        <v>4</v>
      </c>
      <c r="S987">
        <f t="shared" ca="1" si="77"/>
        <v>-11</v>
      </c>
      <c r="T987" t="str">
        <f t="shared" ca="1" si="78"/>
        <v>On Track</v>
      </c>
      <c r="U987" t="str">
        <f t="shared" ca="1" si="79"/>
        <v>Normal</v>
      </c>
      <c r="V987" t="s">
        <v>33</v>
      </c>
    </row>
    <row r="988" spans="1:22">
      <c r="A988" t="s">
        <v>2679</v>
      </c>
      <c r="B988" t="s">
        <v>137</v>
      </c>
      <c r="C988" t="s">
        <v>2680</v>
      </c>
      <c r="D988" s="16">
        <v>1068.43</v>
      </c>
      <c r="E988" t="s">
        <v>142</v>
      </c>
      <c r="F988" t="s">
        <v>26</v>
      </c>
      <c r="G988" t="s">
        <v>2681</v>
      </c>
      <c r="H988" t="s">
        <v>335</v>
      </c>
      <c r="I988" t="s">
        <v>29</v>
      </c>
      <c r="J988" s="13">
        <v>46168</v>
      </c>
      <c r="K988" s="17" t="s">
        <v>40</v>
      </c>
      <c r="L988" s="13">
        <v>46198</v>
      </c>
      <c r="M988" t="s">
        <v>31</v>
      </c>
      <c r="N988" t="s">
        <v>32</v>
      </c>
      <c r="O988" s="13">
        <v>46175</v>
      </c>
      <c r="P988" s="13">
        <v>46179</v>
      </c>
      <c r="Q988">
        <f t="shared" ca="1" si="75"/>
        <v>21</v>
      </c>
      <c r="R988">
        <f t="shared" si="76"/>
        <v>7</v>
      </c>
      <c r="S988">
        <f t="shared" ca="1" si="77"/>
        <v>9</v>
      </c>
      <c r="T988" t="str">
        <f t="shared" ca="1" si="78"/>
        <v>On Track</v>
      </c>
      <c r="U988" t="str">
        <f t="shared" ca="1" si="79"/>
        <v>Normal</v>
      </c>
      <c r="V988" t="s">
        <v>33</v>
      </c>
    </row>
    <row r="989" spans="1:22">
      <c r="A989" t="s">
        <v>2682</v>
      </c>
      <c r="B989" t="s">
        <v>35</v>
      </c>
      <c r="C989" t="s">
        <v>2683</v>
      </c>
      <c r="D989" s="16">
        <v>626.01</v>
      </c>
      <c r="E989" t="s">
        <v>25</v>
      </c>
      <c r="F989" t="s">
        <v>38</v>
      </c>
      <c r="H989" t="s">
        <v>28</v>
      </c>
      <c r="I989" t="s">
        <v>29</v>
      </c>
      <c r="J989" s="13">
        <v>46150</v>
      </c>
      <c r="K989" s="17" t="s">
        <v>40</v>
      </c>
      <c r="L989" s="13">
        <v>46180</v>
      </c>
      <c r="M989" t="s">
        <v>31</v>
      </c>
      <c r="N989" t="s">
        <v>58</v>
      </c>
      <c r="O989" s="13">
        <v>46161</v>
      </c>
      <c r="P989" s="13">
        <v>46166</v>
      </c>
      <c r="Q989">
        <f t="shared" ca="1" si="75"/>
        <v>39</v>
      </c>
      <c r="R989">
        <f t="shared" si="76"/>
        <v>11</v>
      </c>
      <c r="S989">
        <f t="shared" ca="1" si="77"/>
        <v>-9</v>
      </c>
      <c r="T989" t="str">
        <f t="shared" ca="1" si="78"/>
        <v>On Track</v>
      </c>
      <c r="U989" t="str">
        <f t="shared" ca="1" si="79"/>
        <v>Normal</v>
      </c>
      <c r="V989" t="s">
        <v>59</v>
      </c>
    </row>
    <row r="990" spans="1:22">
      <c r="A990" t="s">
        <v>2684</v>
      </c>
      <c r="B990" t="s">
        <v>118</v>
      </c>
      <c r="C990" t="s">
        <v>2685</v>
      </c>
      <c r="D990" s="16">
        <v>3224.87</v>
      </c>
      <c r="E990" t="s">
        <v>62</v>
      </c>
      <c r="F990" t="s">
        <v>38</v>
      </c>
      <c r="H990" t="s">
        <v>64</v>
      </c>
      <c r="I990" t="s">
        <v>29</v>
      </c>
      <c r="J990" s="13">
        <v>46171</v>
      </c>
      <c r="K990" s="17" t="s">
        <v>30</v>
      </c>
      <c r="L990" s="13">
        <v>46186</v>
      </c>
      <c r="M990" t="s">
        <v>145</v>
      </c>
      <c r="N990" t="s">
        <v>32</v>
      </c>
      <c r="O990" s="13">
        <v>46178</v>
      </c>
      <c r="Q990">
        <f t="shared" ca="1" si="75"/>
        <v>18</v>
      </c>
      <c r="R990">
        <f t="shared" si="76"/>
        <v>7</v>
      </c>
      <c r="S990">
        <f t="shared" ca="1" si="77"/>
        <v>-3</v>
      </c>
      <c r="T990" t="str">
        <f t="shared" ca="1" si="78"/>
        <v>On Track</v>
      </c>
      <c r="U990" t="str">
        <f t="shared" ca="1" si="79"/>
        <v>At Risk</v>
      </c>
    </row>
    <row r="991" spans="1:22">
      <c r="A991" t="s">
        <v>2686</v>
      </c>
      <c r="B991" t="s">
        <v>251</v>
      </c>
      <c r="C991" t="s">
        <v>2687</v>
      </c>
      <c r="D991" s="16">
        <v>2684.36</v>
      </c>
      <c r="E991" t="s">
        <v>69</v>
      </c>
      <c r="F991" t="s">
        <v>26</v>
      </c>
      <c r="G991" t="s">
        <v>2688</v>
      </c>
      <c r="H991" t="s">
        <v>71</v>
      </c>
      <c r="I991" t="s">
        <v>29</v>
      </c>
      <c r="J991" s="13">
        <v>46155</v>
      </c>
      <c r="K991" s="17" t="s">
        <v>40</v>
      </c>
      <c r="L991" s="13">
        <v>46185</v>
      </c>
      <c r="M991" t="s">
        <v>145</v>
      </c>
      <c r="N991" t="s">
        <v>32</v>
      </c>
      <c r="O991" s="13">
        <v>46162</v>
      </c>
      <c r="Q991">
        <f t="shared" ca="1" si="75"/>
        <v>34</v>
      </c>
      <c r="R991">
        <f t="shared" si="76"/>
        <v>7</v>
      </c>
      <c r="S991">
        <f t="shared" ca="1" si="77"/>
        <v>-4</v>
      </c>
      <c r="T991" t="str">
        <f t="shared" ca="1" si="78"/>
        <v>On Track</v>
      </c>
      <c r="U991" t="str">
        <f t="shared" ca="1" si="79"/>
        <v>At Risk</v>
      </c>
    </row>
    <row r="992" spans="1:22">
      <c r="A992" t="s">
        <v>2689</v>
      </c>
      <c r="B992" t="s">
        <v>222</v>
      </c>
      <c r="C992" t="s">
        <v>2690</v>
      </c>
      <c r="D992" s="16">
        <v>4500.51</v>
      </c>
      <c r="E992" t="s">
        <v>302</v>
      </c>
      <c r="F992" t="s">
        <v>26</v>
      </c>
      <c r="G992" t="s">
        <v>2691</v>
      </c>
      <c r="H992" t="s">
        <v>304</v>
      </c>
      <c r="I992" t="s">
        <v>29</v>
      </c>
      <c r="J992" s="13">
        <v>46176</v>
      </c>
      <c r="K992" s="17" t="s">
        <v>40</v>
      </c>
      <c r="L992" s="13">
        <v>46206</v>
      </c>
      <c r="M992" t="s">
        <v>31</v>
      </c>
      <c r="N992" t="s">
        <v>32</v>
      </c>
      <c r="O992" s="13">
        <v>46185</v>
      </c>
      <c r="P992" s="13">
        <v>46186</v>
      </c>
      <c r="Q992">
        <f t="shared" ca="1" si="75"/>
        <v>13</v>
      </c>
      <c r="R992">
        <f t="shared" si="76"/>
        <v>9</v>
      </c>
      <c r="S992">
        <f t="shared" ca="1" si="77"/>
        <v>17</v>
      </c>
      <c r="T992" t="str">
        <f t="shared" ca="1" si="78"/>
        <v>On Track</v>
      </c>
      <c r="U992" t="str">
        <f t="shared" ca="1" si="79"/>
        <v>Normal</v>
      </c>
      <c r="V992" t="s">
        <v>33</v>
      </c>
    </row>
    <row r="993" spans="1:22">
      <c r="A993" t="s">
        <v>2692</v>
      </c>
      <c r="B993" t="s">
        <v>124</v>
      </c>
      <c r="C993" t="s">
        <v>2693</v>
      </c>
      <c r="D993" s="16">
        <v>2976.94</v>
      </c>
      <c r="E993" t="s">
        <v>142</v>
      </c>
      <c r="F993" t="s">
        <v>26</v>
      </c>
      <c r="G993" t="s">
        <v>1448</v>
      </c>
      <c r="H993" t="s">
        <v>335</v>
      </c>
      <c r="I993" t="s">
        <v>29</v>
      </c>
      <c r="J993" s="13">
        <v>46165</v>
      </c>
      <c r="K993" s="17" t="s">
        <v>49</v>
      </c>
      <c r="L993" s="13">
        <v>46210</v>
      </c>
      <c r="M993" t="s">
        <v>31</v>
      </c>
      <c r="N993" t="s">
        <v>32</v>
      </c>
      <c r="O993" s="13">
        <v>46170</v>
      </c>
      <c r="P993" s="13">
        <v>46173</v>
      </c>
      <c r="Q993">
        <f t="shared" ca="1" si="75"/>
        <v>24</v>
      </c>
      <c r="R993">
        <f t="shared" si="76"/>
        <v>5</v>
      </c>
      <c r="S993">
        <f t="shared" ca="1" si="77"/>
        <v>21</v>
      </c>
      <c r="T993" t="str">
        <f t="shared" ca="1" si="78"/>
        <v>On Track</v>
      </c>
      <c r="U993" t="str">
        <f t="shared" ca="1" si="79"/>
        <v>Normal</v>
      </c>
      <c r="V993" t="s">
        <v>33</v>
      </c>
    </row>
    <row r="994" spans="1:22">
      <c r="A994" t="s">
        <v>2694</v>
      </c>
      <c r="B994" t="s">
        <v>94</v>
      </c>
      <c r="C994" t="s">
        <v>2695</v>
      </c>
      <c r="D994" s="16">
        <v>3143.72</v>
      </c>
      <c r="E994" t="s">
        <v>62</v>
      </c>
      <c r="F994" t="s">
        <v>26</v>
      </c>
      <c r="G994" t="s">
        <v>2696</v>
      </c>
      <c r="H994" t="s">
        <v>64</v>
      </c>
      <c r="I994" t="s">
        <v>29</v>
      </c>
      <c r="J994" s="13">
        <v>46146</v>
      </c>
      <c r="K994" s="17" t="s">
        <v>40</v>
      </c>
      <c r="L994" s="13">
        <v>46176</v>
      </c>
      <c r="M994" t="s">
        <v>31</v>
      </c>
      <c r="N994" t="s">
        <v>32</v>
      </c>
      <c r="O994" s="13">
        <v>46149</v>
      </c>
      <c r="P994" s="13">
        <v>46151</v>
      </c>
      <c r="Q994">
        <f t="shared" ca="1" si="75"/>
        <v>43</v>
      </c>
      <c r="R994">
        <f t="shared" si="76"/>
        <v>3</v>
      </c>
      <c r="S994">
        <f t="shared" ca="1" si="77"/>
        <v>-13</v>
      </c>
      <c r="T994" t="str">
        <f t="shared" ca="1" si="78"/>
        <v>On Track</v>
      </c>
      <c r="U994" t="str">
        <f t="shared" ca="1" si="79"/>
        <v>Normal</v>
      </c>
      <c r="V994" t="s">
        <v>33</v>
      </c>
    </row>
    <row r="995" spans="1:22">
      <c r="A995" t="s">
        <v>2697</v>
      </c>
      <c r="B995" t="s">
        <v>222</v>
      </c>
      <c r="C995" t="s">
        <v>2698</v>
      </c>
      <c r="D995" s="16">
        <v>4311.8599999999997</v>
      </c>
      <c r="E995" t="s">
        <v>111</v>
      </c>
      <c r="F995" t="s">
        <v>26</v>
      </c>
      <c r="G995" t="s">
        <v>2699</v>
      </c>
      <c r="H995" t="s">
        <v>113</v>
      </c>
      <c r="I995" t="s">
        <v>29</v>
      </c>
      <c r="J995" s="13">
        <v>46188</v>
      </c>
      <c r="K995" s="17" t="s">
        <v>57</v>
      </c>
      <c r="L995" s="13">
        <v>46218</v>
      </c>
      <c r="M995" t="s">
        <v>41</v>
      </c>
      <c r="N995" t="s">
        <v>213</v>
      </c>
      <c r="Q995">
        <f t="shared" ca="1" si="75"/>
        <v>1</v>
      </c>
      <c r="R995" t="str">
        <f t="shared" si="76"/>
        <v/>
      </c>
      <c r="S995">
        <f t="shared" ca="1" si="77"/>
        <v>29</v>
      </c>
      <c r="T995" t="str">
        <f t="shared" ca="1" si="78"/>
        <v>On Track</v>
      </c>
      <c r="U995" t="str">
        <f t="shared" ca="1" si="79"/>
        <v>Normal</v>
      </c>
      <c r="V995" t="s">
        <v>214</v>
      </c>
    </row>
    <row r="996" spans="1:22">
      <c r="A996" t="s">
        <v>2700</v>
      </c>
      <c r="B996" t="s">
        <v>82</v>
      </c>
      <c r="C996" t="s">
        <v>2701</v>
      </c>
      <c r="D996" s="16">
        <v>3543.34</v>
      </c>
      <c r="E996" t="s">
        <v>46</v>
      </c>
      <c r="F996" t="s">
        <v>38</v>
      </c>
      <c r="H996" t="s">
        <v>48</v>
      </c>
      <c r="I996" t="s">
        <v>29</v>
      </c>
      <c r="J996" s="13">
        <v>46150</v>
      </c>
      <c r="K996" s="17" t="s">
        <v>40</v>
      </c>
      <c r="L996" s="13">
        <v>46180</v>
      </c>
      <c r="M996" t="s">
        <v>31</v>
      </c>
      <c r="N996" t="s">
        <v>32</v>
      </c>
      <c r="O996" s="13">
        <v>46159</v>
      </c>
      <c r="P996" s="13">
        <v>46160</v>
      </c>
      <c r="Q996">
        <f t="shared" ca="1" si="75"/>
        <v>39</v>
      </c>
      <c r="R996">
        <f t="shared" si="76"/>
        <v>9</v>
      </c>
      <c r="S996">
        <f t="shared" ca="1" si="77"/>
        <v>-9</v>
      </c>
      <c r="T996" t="str">
        <f t="shared" ca="1" si="78"/>
        <v>On Track</v>
      </c>
      <c r="U996" t="str">
        <f t="shared" ca="1" si="79"/>
        <v>Normal</v>
      </c>
      <c r="V996" t="s">
        <v>33</v>
      </c>
    </row>
    <row r="997" spans="1:22">
      <c r="A997" t="s">
        <v>2702</v>
      </c>
      <c r="B997" t="s">
        <v>76</v>
      </c>
      <c r="C997" t="s">
        <v>2703</v>
      </c>
      <c r="D997" s="16">
        <v>19482.36</v>
      </c>
      <c r="E997" t="s">
        <v>156</v>
      </c>
      <c r="F997" t="s">
        <v>26</v>
      </c>
      <c r="G997" t="s">
        <v>2704</v>
      </c>
      <c r="H997" t="s">
        <v>394</v>
      </c>
      <c r="I997" t="s">
        <v>92</v>
      </c>
      <c r="J997" s="13">
        <v>46171</v>
      </c>
      <c r="K997" s="17" t="s">
        <v>30</v>
      </c>
      <c r="L997" s="13">
        <v>46186</v>
      </c>
      <c r="M997" t="s">
        <v>41</v>
      </c>
      <c r="N997" t="s">
        <v>32</v>
      </c>
      <c r="Q997">
        <f t="shared" ca="1" si="75"/>
        <v>18</v>
      </c>
      <c r="R997" t="str">
        <f t="shared" si="76"/>
        <v/>
      </c>
      <c r="S997">
        <f t="shared" ca="1" si="77"/>
        <v>-3</v>
      </c>
      <c r="T997" t="str">
        <f t="shared" ca="1" si="78"/>
        <v>Overdue</v>
      </c>
      <c r="U997" t="str">
        <f t="shared" ca="1" si="79"/>
        <v>At Risk</v>
      </c>
      <c r="V997" t="s">
        <v>42</v>
      </c>
    </row>
    <row r="998" spans="1:22">
      <c r="A998" t="s">
        <v>2705</v>
      </c>
      <c r="B998" t="s">
        <v>129</v>
      </c>
      <c r="C998" t="s">
        <v>2706</v>
      </c>
      <c r="D998" s="16">
        <v>12297.61</v>
      </c>
      <c r="E998" t="s">
        <v>69</v>
      </c>
      <c r="F998" t="s">
        <v>26</v>
      </c>
      <c r="G998" t="s">
        <v>2707</v>
      </c>
      <c r="H998" t="s">
        <v>178</v>
      </c>
      <c r="I998" t="s">
        <v>92</v>
      </c>
      <c r="J998" s="13">
        <v>46171</v>
      </c>
      <c r="K998" s="17" t="s">
        <v>49</v>
      </c>
      <c r="L998" s="13">
        <v>46216</v>
      </c>
      <c r="M998" t="s">
        <v>31</v>
      </c>
      <c r="N998" t="s">
        <v>32</v>
      </c>
      <c r="O998" s="13">
        <v>46174</v>
      </c>
      <c r="P998" s="13">
        <v>46180</v>
      </c>
      <c r="Q998">
        <f t="shared" ca="1" si="75"/>
        <v>18</v>
      </c>
      <c r="R998">
        <f t="shared" si="76"/>
        <v>3</v>
      </c>
      <c r="S998">
        <f t="shared" ca="1" si="77"/>
        <v>27</v>
      </c>
      <c r="T998" t="str">
        <f t="shared" ca="1" si="78"/>
        <v>On Track</v>
      </c>
      <c r="U998" t="str">
        <f t="shared" ca="1" si="79"/>
        <v>Normal</v>
      </c>
      <c r="V998" t="s">
        <v>33</v>
      </c>
    </row>
    <row r="999" spans="1:22">
      <c r="A999" t="s">
        <v>2708</v>
      </c>
      <c r="B999" t="s">
        <v>187</v>
      </c>
      <c r="C999" t="s">
        <v>2709</v>
      </c>
      <c r="D999" s="16">
        <v>18225.060000000001</v>
      </c>
      <c r="E999" t="s">
        <v>55</v>
      </c>
      <c r="F999" t="s">
        <v>26</v>
      </c>
      <c r="G999" t="s">
        <v>2710</v>
      </c>
      <c r="H999" t="s">
        <v>579</v>
      </c>
      <c r="I999" t="s">
        <v>92</v>
      </c>
      <c r="J999" s="13">
        <v>46157</v>
      </c>
      <c r="K999" s="17" t="s">
        <v>30</v>
      </c>
      <c r="L999" s="13">
        <v>46172</v>
      </c>
      <c r="M999" t="s">
        <v>31</v>
      </c>
      <c r="N999" t="s">
        <v>50</v>
      </c>
      <c r="O999" s="13">
        <v>46167</v>
      </c>
      <c r="P999" s="13">
        <v>46174</v>
      </c>
      <c r="Q999">
        <f t="shared" ca="1" si="75"/>
        <v>32</v>
      </c>
      <c r="R999">
        <f t="shared" si="76"/>
        <v>10</v>
      </c>
      <c r="S999">
        <f t="shared" ca="1" si="77"/>
        <v>-17</v>
      </c>
      <c r="T999" t="str">
        <f t="shared" ca="1" si="78"/>
        <v>On Track</v>
      </c>
      <c r="U999" t="str">
        <f t="shared" ca="1" si="79"/>
        <v>Normal</v>
      </c>
      <c r="V999" t="s">
        <v>51</v>
      </c>
    </row>
    <row r="1000" spans="1:22">
      <c r="A1000" t="s">
        <v>2711</v>
      </c>
      <c r="B1000" t="s">
        <v>73</v>
      </c>
      <c r="C1000" t="s">
        <v>2712</v>
      </c>
      <c r="D1000" s="16">
        <v>332.23</v>
      </c>
      <c r="E1000" t="s">
        <v>25</v>
      </c>
      <c r="F1000" t="s">
        <v>26</v>
      </c>
      <c r="G1000" t="s">
        <v>2713</v>
      </c>
      <c r="H1000" t="s">
        <v>28</v>
      </c>
      <c r="I1000" t="s">
        <v>29</v>
      </c>
      <c r="J1000" s="13">
        <v>46183</v>
      </c>
      <c r="K1000" s="17" t="s">
        <v>49</v>
      </c>
      <c r="L1000" s="13">
        <v>46228</v>
      </c>
      <c r="M1000" t="s">
        <v>65</v>
      </c>
      <c r="N1000" t="s">
        <v>32</v>
      </c>
      <c r="Q1000">
        <f t="shared" ca="1" si="75"/>
        <v>6</v>
      </c>
      <c r="R1000" t="str">
        <f t="shared" si="76"/>
        <v/>
      </c>
      <c r="S1000">
        <f t="shared" ca="1" si="77"/>
        <v>39</v>
      </c>
      <c r="T1000" t="str">
        <f t="shared" ca="1" si="78"/>
        <v>On Track</v>
      </c>
      <c r="U1000" t="str">
        <f t="shared" ca="1" si="79"/>
        <v>Normal</v>
      </c>
    </row>
    <row r="1001" spans="1:22">
      <c r="A1001" t="s">
        <v>2714</v>
      </c>
      <c r="B1001" t="s">
        <v>187</v>
      </c>
      <c r="C1001" t="s">
        <v>2715</v>
      </c>
      <c r="D1001" s="16">
        <v>2413.9899999999998</v>
      </c>
      <c r="E1001" t="s">
        <v>142</v>
      </c>
      <c r="F1001" t="s">
        <v>26</v>
      </c>
      <c r="G1001" t="s">
        <v>2716</v>
      </c>
      <c r="H1001" t="s">
        <v>335</v>
      </c>
      <c r="I1001" t="s">
        <v>29</v>
      </c>
      <c r="J1001" s="13">
        <v>46165</v>
      </c>
      <c r="K1001" s="17" t="s">
        <v>49</v>
      </c>
      <c r="L1001" s="13">
        <v>46210</v>
      </c>
      <c r="M1001" t="s">
        <v>31</v>
      </c>
      <c r="N1001" t="s">
        <v>32</v>
      </c>
      <c r="O1001" s="13">
        <v>46173</v>
      </c>
      <c r="P1001" s="13">
        <v>46180</v>
      </c>
      <c r="Q1001">
        <f t="shared" ca="1" si="75"/>
        <v>24</v>
      </c>
      <c r="R1001">
        <f t="shared" si="76"/>
        <v>8</v>
      </c>
      <c r="S1001">
        <f t="shared" ca="1" si="77"/>
        <v>21</v>
      </c>
      <c r="T1001" t="str">
        <f t="shared" ca="1" si="78"/>
        <v>On Track</v>
      </c>
      <c r="U1001" t="str">
        <f t="shared" ca="1" si="79"/>
        <v>Normal</v>
      </c>
      <c r="V1001" t="s">
        <v>33</v>
      </c>
    </row>
    <row r="1002" spans="1:22">
      <c r="A1002" t="s">
        <v>2717</v>
      </c>
      <c r="B1002" t="s">
        <v>251</v>
      </c>
      <c r="C1002" t="s">
        <v>2718</v>
      </c>
      <c r="D1002" s="16">
        <v>1023.56</v>
      </c>
      <c r="E1002" t="s">
        <v>126</v>
      </c>
      <c r="F1002" t="s">
        <v>26</v>
      </c>
      <c r="G1002" t="s">
        <v>2719</v>
      </c>
      <c r="H1002" t="s">
        <v>241</v>
      </c>
      <c r="I1002" t="s">
        <v>29</v>
      </c>
      <c r="J1002" s="13">
        <v>46146</v>
      </c>
      <c r="K1002" s="17" t="s">
        <v>30</v>
      </c>
      <c r="L1002" s="13">
        <v>46161</v>
      </c>
      <c r="M1002" t="s">
        <v>31</v>
      </c>
      <c r="N1002" t="s">
        <v>32</v>
      </c>
      <c r="O1002" s="13">
        <v>46154</v>
      </c>
      <c r="P1002" s="13">
        <v>46160</v>
      </c>
      <c r="Q1002">
        <f t="shared" ca="1" si="75"/>
        <v>43</v>
      </c>
      <c r="R1002">
        <f t="shared" si="76"/>
        <v>8</v>
      </c>
      <c r="S1002">
        <f t="shared" ca="1" si="77"/>
        <v>-28</v>
      </c>
      <c r="T1002" t="str">
        <f t="shared" ca="1" si="78"/>
        <v>On Track</v>
      </c>
      <c r="U1002" t="str">
        <f t="shared" ca="1" si="79"/>
        <v>Normal</v>
      </c>
      <c r="V1002" t="s">
        <v>33</v>
      </c>
    </row>
    <row r="1003" spans="1:22">
      <c r="A1003" t="s">
        <v>2720</v>
      </c>
      <c r="B1003" t="s">
        <v>103</v>
      </c>
      <c r="C1003" t="s">
        <v>2721</v>
      </c>
      <c r="D1003" s="16">
        <v>1684.79</v>
      </c>
      <c r="E1003" t="s">
        <v>156</v>
      </c>
      <c r="F1003" t="s">
        <v>38</v>
      </c>
      <c r="H1003" t="s">
        <v>157</v>
      </c>
      <c r="I1003" t="s">
        <v>29</v>
      </c>
      <c r="J1003" s="13">
        <v>46145</v>
      </c>
      <c r="K1003" s="17" t="s">
        <v>57</v>
      </c>
      <c r="L1003" s="13">
        <v>46175</v>
      </c>
      <c r="M1003" t="s">
        <v>31</v>
      </c>
      <c r="N1003" t="s">
        <v>50</v>
      </c>
      <c r="O1003" s="13">
        <v>46165</v>
      </c>
      <c r="P1003" s="13">
        <v>46168</v>
      </c>
      <c r="Q1003">
        <f t="shared" ca="1" si="75"/>
        <v>44</v>
      </c>
      <c r="R1003">
        <f t="shared" si="76"/>
        <v>20</v>
      </c>
      <c r="S1003">
        <f t="shared" ca="1" si="77"/>
        <v>-14</v>
      </c>
      <c r="T1003" t="str">
        <f t="shared" ca="1" si="78"/>
        <v>On Track</v>
      </c>
      <c r="U1003" t="str">
        <f t="shared" ca="1" si="79"/>
        <v>Normal</v>
      </c>
      <c r="V1003" t="s">
        <v>51</v>
      </c>
    </row>
    <row r="1004" spans="1:22">
      <c r="A1004" t="s">
        <v>2722</v>
      </c>
      <c r="B1004" t="s">
        <v>76</v>
      </c>
      <c r="C1004" t="s">
        <v>2723</v>
      </c>
      <c r="D1004" s="16">
        <v>51582.26</v>
      </c>
      <c r="E1004" t="s">
        <v>62</v>
      </c>
      <c r="F1004" t="s">
        <v>26</v>
      </c>
      <c r="G1004" t="s">
        <v>2724</v>
      </c>
      <c r="H1004" t="s">
        <v>121</v>
      </c>
      <c r="I1004" t="s">
        <v>122</v>
      </c>
      <c r="J1004" s="13">
        <v>46182</v>
      </c>
      <c r="K1004" s="17" t="s">
        <v>30</v>
      </c>
      <c r="L1004" s="13">
        <v>46197</v>
      </c>
      <c r="M1004" t="s">
        <v>99</v>
      </c>
      <c r="N1004" t="s">
        <v>32</v>
      </c>
      <c r="O1004" s="13">
        <v>46189</v>
      </c>
      <c r="Q1004">
        <f t="shared" ca="1" si="75"/>
        <v>7</v>
      </c>
      <c r="R1004">
        <f t="shared" si="76"/>
        <v>7</v>
      </c>
      <c r="S1004">
        <f t="shared" ca="1" si="77"/>
        <v>8</v>
      </c>
      <c r="T1004" t="str">
        <f t="shared" ca="1" si="78"/>
        <v>On Track</v>
      </c>
      <c r="U1004" t="str">
        <f t="shared" ca="1" si="79"/>
        <v>Normal</v>
      </c>
    </row>
    <row r="1005" spans="1:22">
      <c r="A1005" t="s">
        <v>2725</v>
      </c>
      <c r="B1005" t="s">
        <v>151</v>
      </c>
      <c r="C1005" t="s">
        <v>2726</v>
      </c>
      <c r="D1005" s="16">
        <v>19954.060000000001</v>
      </c>
      <c r="E1005" t="s">
        <v>46</v>
      </c>
      <c r="F1005" t="s">
        <v>38</v>
      </c>
      <c r="H1005" t="s">
        <v>161</v>
      </c>
      <c r="I1005" t="s">
        <v>92</v>
      </c>
      <c r="J1005" s="13">
        <v>46169</v>
      </c>
      <c r="K1005" s="17" t="s">
        <v>40</v>
      </c>
      <c r="L1005" s="13">
        <v>46199</v>
      </c>
      <c r="M1005" t="s">
        <v>31</v>
      </c>
      <c r="N1005" t="s">
        <v>32</v>
      </c>
      <c r="O1005" s="13">
        <v>46177</v>
      </c>
      <c r="P1005" s="13">
        <v>46200</v>
      </c>
      <c r="Q1005">
        <f t="shared" ca="1" si="75"/>
        <v>20</v>
      </c>
      <c r="R1005">
        <f t="shared" si="76"/>
        <v>8</v>
      </c>
      <c r="S1005">
        <f t="shared" ca="1" si="77"/>
        <v>10</v>
      </c>
      <c r="T1005" t="str">
        <f t="shared" ca="1" si="78"/>
        <v>On Track</v>
      </c>
      <c r="U1005" t="str">
        <f t="shared" ca="1" si="79"/>
        <v>Normal</v>
      </c>
      <c r="V1005" t="s">
        <v>107</v>
      </c>
    </row>
    <row r="1006" spans="1:22">
      <c r="A1006" t="s">
        <v>2727</v>
      </c>
      <c r="B1006" t="s">
        <v>118</v>
      </c>
      <c r="C1006" t="s">
        <v>2728</v>
      </c>
      <c r="D1006" s="16">
        <v>78441.84</v>
      </c>
      <c r="E1006" t="s">
        <v>111</v>
      </c>
      <c r="F1006" t="s">
        <v>26</v>
      </c>
      <c r="G1006" t="s">
        <v>2729</v>
      </c>
      <c r="H1006" t="s">
        <v>121</v>
      </c>
      <c r="I1006" t="s">
        <v>122</v>
      </c>
      <c r="J1006" s="13">
        <v>46178</v>
      </c>
      <c r="K1006" s="17" t="s">
        <v>40</v>
      </c>
      <c r="L1006" s="13">
        <v>46208</v>
      </c>
      <c r="M1006" t="s">
        <v>145</v>
      </c>
      <c r="N1006" t="s">
        <v>32</v>
      </c>
      <c r="O1006" s="13">
        <v>46188</v>
      </c>
      <c r="Q1006">
        <f t="shared" ca="1" si="75"/>
        <v>11</v>
      </c>
      <c r="R1006">
        <f t="shared" si="76"/>
        <v>10</v>
      </c>
      <c r="S1006">
        <f t="shared" ca="1" si="77"/>
        <v>19</v>
      </c>
      <c r="T1006" t="str">
        <f t="shared" ca="1" si="78"/>
        <v>On Track</v>
      </c>
      <c r="U1006" t="str">
        <f t="shared" ca="1" si="79"/>
        <v>Normal</v>
      </c>
    </row>
    <row r="1007" spans="1:22">
      <c r="A1007" t="s">
        <v>2730</v>
      </c>
      <c r="B1007" t="s">
        <v>151</v>
      </c>
      <c r="C1007" t="s">
        <v>2731</v>
      </c>
      <c r="D1007" s="16">
        <v>4223.71</v>
      </c>
      <c r="E1007" t="s">
        <v>62</v>
      </c>
      <c r="F1007" t="s">
        <v>26</v>
      </c>
      <c r="G1007" t="s">
        <v>2732</v>
      </c>
      <c r="H1007" t="s">
        <v>64</v>
      </c>
      <c r="I1007" t="s">
        <v>29</v>
      </c>
      <c r="J1007" s="13">
        <v>46178</v>
      </c>
      <c r="K1007" s="17" t="s">
        <v>49</v>
      </c>
      <c r="L1007" s="13">
        <v>46223</v>
      </c>
      <c r="M1007" t="s">
        <v>41</v>
      </c>
      <c r="N1007" t="s">
        <v>50</v>
      </c>
      <c r="Q1007">
        <f t="shared" ca="1" si="75"/>
        <v>11</v>
      </c>
      <c r="R1007" t="str">
        <f t="shared" si="76"/>
        <v/>
      </c>
      <c r="S1007">
        <f t="shared" ca="1" si="77"/>
        <v>34</v>
      </c>
      <c r="T1007" t="str">
        <f t="shared" ca="1" si="78"/>
        <v>Overdue</v>
      </c>
      <c r="U1007" t="str">
        <f t="shared" ca="1" si="79"/>
        <v>Normal</v>
      </c>
      <c r="V1007" t="s">
        <v>51</v>
      </c>
    </row>
    <row r="1008" spans="1:22">
      <c r="A1008" t="s">
        <v>2733</v>
      </c>
      <c r="B1008" t="s">
        <v>168</v>
      </c>
      <c r="C1008" t="s">
        <v>2734</v>
      </c>
      <c r="D1008" s="16">
        <v>382.14</v>
      </c>
      <c r="E1008" t="s">
        <v>55</v>
      </c>
      <c r="F1008" t="s">
        <v>26</v>
      </c>
      <c r="G1008" t="s">
        <v>2735</v>
      </c>
      <c r="H1008" t="s">
        <v>56</v>
      </c>
      <c r="I1008" t="s">
        <v>29</v>
      </c>
      <c r="J1008" s="13">
        <v>46183</v>
      </c>
      <c r="K1008" s="17" t="s">
        <v>30</v>
      </c>
      <c r="L1008" s="13">
        <v>46198</v>
      </c>
      <c r="M1008" t="s">
        <v>99</v>
      </c>
      <c r="N1008" t="s">
        <v>32</v>
      </c>
      <c r="O1008" s="13">
        <v>46189</v>
      </c>
      <c r="Q1008">
        <f t="shared" ca="1" si="75"/>
        <v>6</v>
      </c>
      <c r="R1008">
        <f t="shared" si="76"/>
        <v>6</v>
      </c>
      <c r="S1008">
        <f t="shared" ca="1" si="77"/>
        <v>9</v>
      </c>
      <c r="T1008" t="str">
        <f t="shared" ca="1" si="78"/>
        <v>On Track</v>
      </c>
      <c r="U1008" t="str">
        <f t="shared" ca="1" si="79"/>
        <v>Normal</v>
      </c>
    </row>
    <row r="1009" spans="1:22">
      <c r="A1009" t="s">
        <v>2736</v>
      </c>
      <c r="B1009" t="s">
        <v>187</v>
      </c>
      <c r="C1009" t="s">
        <v>2737</v>
      </c>
      <c r="D1009" s="16">
        <v>3096</v>
      </c>
      <c r="E1009" t="s">
        <v>126</v>
      </c>
      <c r="F1009" t="s">
        <v>38</v>
      </c>
      <c r="H1009" t="s">
        <v>241</v>
      </c>
      <c r="I1009" t="s">
        <v>29</v>
      </c>
      <c r="J1009" s="13">
        <v>46167</v>
      </c>
      <c r="K1009" s="17" t="s">
        <v>30</v>
      </c>
      <c r="L1009" s="13">
        <v>46182</v>
      </c>
      <c r="M1009" t="s">
        <v>145</v>
      </c>
      <c r="N1009" t="s">
        <v>32</v>
      </c>
      <c r="O1009" s="13">
        <v>46179</v>
      </c>
      <c r="Q1009">
        <f t="shared" ca="1" si="75"/>
        <v>22</v>
      </c>
      <c r="R1009">
        <f t="shared" si="76"/>
        <v>12</v>
      </c>
      <c r="S1009">
        <f t="shared" ca="1" si="77"/>
        <v>-7</v>
      </c>
      <c r="T1009" t="str">
        <f t="shared" ca="1" si="78"/>
        <v>On Track</v>
      </c>
      <c r="U1009" t="str">
        <f t="shared" ca="1" si="79"/>
        <v>At Risk</v>
      </c>
    </row>
    <row r="1010" spans="1:22">
      <c r="A1010" t="s">
        <v>2738</v>
      </c>
      <c r="B1010" t="s">
        <v>124</v>
      </c>
      <c r="C1010" t="s">
        <v>2739</v>
      </c>
      <c r="D1010" s="16">
        <v>9666.65</v>
      </c>
      <c r="E1010" t="s">
        <v>142</v>
      </c>
      <c r="F1010" t="s">
        <v>26</v>
      </c>
      <c r="G1010" t="s">
        <v>2740</v>
      </c>
      <c r="H1010" t="s">
        <v>144</v>
      </c>
      <c r="I1010" t="s">
        <v>92</v>
      </c>
      <c r="J1010" s="13">
        <v>46156</v>
      </c>
      <c r="K1010" s="17" t="s">
        <v>49</v>
      </c>
      <c r="L1010" s="13">
        <v>46201</v>
      </c>
      <c r="M1010" t="s">
        <v>41</v>
      </c>
      <c r="N1010" t="s">
        <v>32</v>
      </c>
      <c r="Q1010">
        <f t="shared" ca="1" si="75"/>
        <v>33</v>
      </c>
      <c r="R1010" t="str">
        <f t="shared" si="76"/>
        <v/>
      </c>
      <c r="S1010">
        <f t="shared" ca="1" si="77"/>
        <v>12</v>
      </c>
      <c r="T1010" t="str">
        <f t="shared" ca="1" si="78"/>
        <v>Overdue</v>
      </c>
      <c r="U1010" t="str">
        <f t="shared" ca="1" si="79"/>
        <v>Normal</v>
      </c>
      <c r="V1010" t="s">
        <v>42</v>
      </c>
    </row>
    <row r="1011" spans="1:22">
      <c r="A1011" t="s">
        <v>2741</v>
      </c>
      <c r="B1011" t="s">
        <v>115</v>
      </c>
      <c r="C1011" t="s">
        <v>2742</v>
      </c>
      <c r="D1011" s="16">
        <v>3360.7</v>
      </c>
      <c r="E1011" t="s">
        <v>62</v>
      </c>
      <c r="F1011" t="s">
        <v>26</v>
      </c>
      <c r="G1011" t="s">
        <v>2743</v>
      </c>
      <c r="H1011" t="s">
        <v>64</v>
      </c>
      <c r="I1011" t="s">
        <v>29</v>
      </c>
      <c r="J1011" s="13">
        <v>46155</v>
      </c>
      <c r="K1011" s="17" t="s">
        <v>40</v>
      </c>
      <c r="L1011" s="13">
        <v>46185</v>
      </c>
      <c r="M1011" t="s">
        <v>99</v>
      </c>
      <c r="N1011" t="s">
        <v>32</v>
      </c>
      <c r="O1011" s="13">
        <v>46158</v>
      </c>
      <c r="Q1011">
        <f t="shared" ca="1" si="75"/>
        <v>34</v>
      </c>
      <c r="R1011">
        <f t="shared" si="76"/>
        <v>3</v>
      </c>
      <c r="S1011">
        <f t="shared" ca="1" si="77"/>
        <v>-4</v>
      </c>
      <c r="T1011" t="str">
        <f t="shared" ca="1" si="78"/>
        <v>On Track</v>
      </c>
      <c r="U1011" t="str">
        <f t="shared" ca="1" si="79"/>
        <v>At Risk</v>
      </c>
    </row>
    <row r="1012" spans="1:22">
      <c r="A1012" t="s">
        <v>2744</v>
      </c>
      <c r="B1012" t="s">
        <v>73</v>
      </c>
      <c r="C1012" t="s">
        <v>2745</v>
      </c>
      <c r="D1012" s="16">
        <v>3535.31</v>
      </c>
      <c r="E1012" t="s">
        <v>46</v>
      </c>
      <c r="F1012" t="s">
        <v>26</v>
      </c>
      <c r="G1012" t="s">
        <v>2746</v>
      </c>
      <c r="H1012" t="s">
        <v>48</v>
      </c>
      <c r="I1012" t="s">
        <v>29</v>
      </c>
      <c r="J1012" s="13">
        <v>46146</v>
      </c>
      <c r="K1012" s="17" t="s">
        <v>40</v>
      </c>
      <c r="L1012" s="13">
        <v>46176</v>
      </c>
      <c r="M1012" t="s">
        <v>31</v>
      </c>
      <c r="N1012" t="s">
        <v>50</v>
      </c>
      <c r="O1012" s="13">
        <v>46163</v>
      </c>
      <c r="P1012" s="13">
        <v>46170</v>
      </c>
      <c r="Q1012">
        <f t="shared" ca="1" si="75"/>
        <v>43</v>
      </c>
      <c r="R1012">
        <f t="shared" si="76"/>
        <v>17</v>
      </c>
      <c r="S1012">
        <f t="shared" ca="1" si="77"/>
        <v>-13</v>
      </c>
      <c r="T1012" t="str">
        <f t="shared" ca="1" si="78"/>
        <v>On Track</v>
      </c>
      <c r="U1012" t="str">
        <f t="shared" ca="1" si="79"/>
        <v>Normal</v>
      </c>
      <c r="V1012" t="s">
        <v>51</v>
      </c>
    </row>
    <row r="1013" spans="1:22">
      <c r="A1013" t="s">
        <v>2747</v>
      </c>
      <c r="B1013" t="s">
        <v>44</v>
      </c>
      <c r="C1013" t="s">
        <v>2748</v>
      </c>
      <c r="D1013" s="16">
        <v>3506.87</v>
      </c>
      <c r="E1013" t="s">
        <v>69</v>
      </c>
      <c r="F1013" t="s">
        <v>38</v>
      </c>
      <c r="H1013" t="s">
        <v>71</v>
      </c>
      <c r="I1013" t="s">
        <v>29</v>
      </c>
      <c r="J1013" s="13">
        <v>46178</v>
      </c>
      <c r="K1013" s="17" t="s">
        <v>30</v>
      </c>
      <c r="L1013" s="13">
        <v>46193</v>
      </c>
      <c r="M1013" t="s">
        <v>41</v>
      </c>
      <c r="N1013" t="s">
        <v>32</v>
      </c>
      <c r="Q1013">
        <f t="shared" ca="1" si="75"/>
        <v>11</v>
      </c>
      <c r="R1013" t="str">
        <f t="shared" si="76"/>
        <v/>
      </c>
      <c r="S1013">
        <f t="shared" ca="1" si="77"/>
        <v>4</v>
      </c>
      <c r="T1013" t="str">
        <f t="shared" ca="1" si="78"/>
        <v>Overdue</v>
      </c>
      <c r="U1013" t="str">
        <f t="shared" ca="1" si="79"/>
        <v>At Risk</v>
      </c>
      <c r="V1013" t="s">
        <v>42</v>
      </c>
    </row>
    <row r="1014" spans="1:22">
      <c r="A1014" t="s">
        <v>2749</v>
      </c>
      <c r="B1014" t="s">
        <v>76</v>
      </c>
      <c r="C1014" t="s">
        <v>2750</v>
      </c>
      <c r="D1014" s="16">
        <v>3510.64</v>
      </c>
      <c r="E1014" t="s">
        <v>302</v>
      </c>
      <c r="F1014" t="s">
        <v>26</v>
      </c>
      <c r="G1014" t="s">
        <v>2751</v>
      </c>
      <c r="H1014" t="s">
        <v>304</v>
      </c>
      <c r="I1014" t="s">
        <v>29</v>
      </c>
      <c r="J1014" s="13">
        <v>46172</v>
      </c>
      <c r="K1014" s="17" t="s">
        <v>40</v>
      </c>
      <c r="L1014" s="13">
        <v>46202</v>
      </c>
      <c r="M1014" t="s">
        <v>41</v>
      </c>
      <c r="N1014" t="s">
        <v>32</v>
      </c>
      <c r="Q1014">
        <f t="shared" ca="1" si="75"/>
        <v>17</v>
      </c>
      <c r="R1014" t="str">
        <f t="shared" si="76"/>
        <v/>
      </c>
      <c r="S1014">
        <f t="shared" ca="1" si="77"/>
        <v>13</v>
      </c>
      <c r="T1014" t="str">
        <f t="shared" ca="1" si="78"/>
        <v>Overdue</v>
      </c>
      <c r="U1014" t="str">
        <f t="shared" ca="1" si="79"/>
        <v>Normal</v>
      </c>
      <c r="V1014" t="s">
        <v>42</v>
      </c>
    </row>
    <row r="1015" spans="1:22">
      <c r="A1015" t="s">
        <v>2752</v>
      </c>
      <c r="B1015" t="s">
        <v>53</v>
      </c>
      <c r="C1015" t="s">
        <v>2753</v>
      </c>
      <c r="D1015" s="16">
        <v>2128.66</v>
      </c>
      <c r="E1015" t="s">
        <v>69</v>
      </c>
      <c r="F1015" t="s">
        <v>26</v>
      </c>
      <c r="G1015" t="s">
        <v>2754</v>
      </c>
      <c r="H1015" t="s">
        <v>71</v>
      </c>
      <c r="I1015" t="s">
        <v>29</v>
      </c>
      <c r="J1015" s="13">
        <v>46159</v>
      </c>
      <c r="K1015" s="17" t="s">
        <v>40</v>
      </c>
      <c r="L1015" s="13">
        <v>46189</v>
      </c>
      <c r="M1015" t="s">
        <v>31</v>
      </c>
      <c r="N1015" t="s">
        <v>32</v>
      </c>
      <c r="O1015" s="13">
        <v>46161</v>
      </c>
      <c r="P1015" s="13">
        <v>46167</v>
      </c>
      <c r="Q1015">
        <f t="shared" ca="1" si="75"/>
        <v>30</v>
      </c>
      <c r="R1015">
        <f t="shared" si="76"/>
        <v>2</v>
      </c>
      <c r="S1015">
        <f t="shared" ca="1" si="77"/>
        <v>0</v>
      </c>
      <c r="T1015" t="str">
        <f t="shared" ca="1" si="78"/>
        <v>On Track</v>
      </c>
      <c r="U1015" t="str">
        <f t="shared" ca="1" si="79"/>
        <v>Normal</v>
      </c>
      <c r="V1015" t="s">
        <v>33</v>
      </c>
    </row>
    <row r="1016" spans="1:22">
      <c r="A1016" t="s">
        <v>2755</v>
      </c>
      <c r="B1016" t="s">
        <v>124</v>
      </c>
      <c r="C1016" t="s">
        <v>2756</v>
      </c>
      <c r="D1016" s="16">
        <v>1363.51</v>
      </c>
      <c r="E1016" t="s">
        <v>69</v>
      </c>
      <c r="F1016" t="s">
        <v>26</v>
      </c>
      <c r="G1016" t="s">
        <v>2757</v>
      </c>
      <c r="H1016" t="s">
        <v>71</v>
      </c>
      <c r="I1016" t="s">
        <v>29</v>
      </c>
      <c r="J1016" s="13">
        <v>46188</v>
      </c>
      <c r="K1016" s="17" t="s">
        <v>40</v>
      </c>
      <c r="L1016" s="13">
        <v>46218</v>
      </c>
      <c r="M1016" t="s">
        <v>65</v>
      </c>
      <c r="N1016" t="s">
        <v>32</v>
      </c>
      <c r="Q1016">
        <f t="shared" ca="1" si="75"/>
        <v>1</v>
      </c>
      <c r="R1016" t="str">
        <f t="shared" si="76"/>
        <v/>
      </c>
      <c r="S1016">
        <f t="shared" ca="1" si="77"/>
        <v>29</v>
      </c>
      <c r="T1016" t="str">
        <f t="shared" ca="1" si="78"/>
        <v>On Track</v>
      </c>
      <c r="U1016" t="str">
        <f t="shared" ca="1" si="79"/>
        <v>Normal</v>
      </c>
    </row>
    <row r="1017" spans="1:22">
      <c r="A1017" t="s">
        <v>2758</v>
      </c>
      <c r="B1017" t="s">
        <v>44</v>
      </c>
      <c r="C1017" t="s">
        <v>2759</v>
      </c>
      <c r="D1017" s="16">
        <v>887.1</v>
      </c>
      <c r="E1017" t="s">
        <v>37</v>
      </c>
      <c r="F1017" t="s">
        <v>26</v>
      </c>
      <c r="G1017" t="s">
        <v>2760</v>
      </c>
      <c r="H1017" t="s">
        <v>39</v>
      </c>
      <c r="I1017" t="s">
        <v>29</v>
      </c>
      <c r="J1017" s="13">
        <v>46158</v>
      </c>
      <c r="K1017" s="17" t="s">
        <v>49</v>
      </c>
      <c r="L1017" s="13">
        <v>46203</v>
      </c>
      <c r="M1017" t="s">
        <v>31</v>
      </c>
      <c r="N1017" t="s">
        <v>32</v>
      </c>
      <c r="O1017" s="13">
        <v>46163</v>
      </c>
      <c r="P1017" s="13">
        <v>46169</v>
      </c>
      <c r="Q1017">
        <f t="shared" ca="1" si="75"/>
        <v>31</v>
      </c>
      <c r="R1017">
        <f t="shared" si="76"/>
        <v>5</v>
      </c>
      <c r="S1017">
        <f t="shared" ca="1" si="77"/>
        <v>14</v>
      </c>
      <c r="T1017" t="str">
        <f t="shared" ca="1" si="78"/>
        <v>On Track</v>
      </c>
      <c r="U1017" t="str">
        <f t="shared" ca="1" si="79"/>
        <v>Normal</v>
      </c>
      <c r="V1017" t="s">
        <v>33</v>
      </c>
    </row>
    <row r="1018" spans="1:22">
      <c r="A1018" t="s">
        <v>2761</v>
      </c>
      <c r="B1018" t="s">
        <v>115</v>
      </c>
      <c r="C1018" t="s">
        <v>2762</v>
      </c>
      <c r="D1018" s="16">
        <v>3494.51</v>
      </c>
      <c r="E1018" t="s">
        <v>111</v>
      </c>
      <c r="F1018" t="s">
        <v>38</v>
      </c>
      <c r="H1018" t="s">
        <v>113</v>
      </c>
      <c r="I1018" t="s">
        <v>29</v>
      </c>
      <c r="J1018" s="13">
        <v>46153</v>
      </c>
      <c r="K1018" s="17" t="s">
        <v>57</v>
      </c>
      <c r="L1018" s="13">
        <v>46183</v>
      </c>
      <c r="M1018" t="s">
        <v>31</v>
      </c>
      <c r="N1018" t="s">
        <v>32</v>
      </c>
      <c r="O1018" s="13">
        <v>46163</v>
      </c>
      <c r="P1018" s="13">
        <v>46164</v>
      </c>
      <c r="Q1018">
        <f t="shared" ca="1" si="75"/>
        <v>36</v>
      </c>
      <c r="R1018">
        <f t="shared" si="76"/>
        <v>10</v>
      </c>
      <c r="S1018">
        <f t="shared" ca="1" si="77"/>
        <v>-6</v>
      </c>
      <c r="T1018" t="str">
        <f t="shared" ca="1" si="78"/>
        <v>On Track</v>
      </c>
      <c r="U1018" t="str">
        <f t="shared" ca="1" si="79"/>
        <v>Normal</v>
      </c>
      <c r="V1018" t="s">
        <v>33</v>
      </c>
    </row>
    <row r="1019" spans="1:22">
      <c r="A1019" t="s">
        <v>2763</v>
      </c>
      <c r="B1019" t="s">
        <v>172</v>
      </c>
      <c r="C1019" t="s">
        <v>2764</v>
      </c>
      <c r="D1019" s="16">
        <v>2908.27</v>
      </c>
      <c r="E1019" t="s">
        <v>37</v>
      </c>
      <c r="F1019" t="s">
        <v>26</v>
      </c>
      <c r="G1019" t="s">
        <v>2765</v>
      </c>
      <c r="H1019" t="s">
        <v>39</v>
      </c>
      <c r="I1019" t="s">
        <v>29</v>
      </c>
      <c r="J1019" s="13">
        <v>46176</v>
      </c>
      <c r="K1019" s="17" t="s">
        <v>40</v>
      </c>
      <c r="L1019" s="13">
        <v>46206</v>
      </c>
      <c r="M1019" t="s">
        <v>84</v>
      </c>
      <c r="N1019" t="s">
        <v>32</v>
      </c>
      <c r="O1019" s="13">
        <v>46180</v>
      </c>
      <c r="Q1019">
        <f t="shared" ca="1" si="75"/>
        <v>13</v>
      </c>
      <c r="R1019">
        <f t="shared" si="76"/>
        <v>4</v>
      </c>
      <c r="S1019">
        <f t="shared" ca="1" si="77"/>
        <v>17</v>
      </c>
      <c r="T1019" t="str">
        <f t="shared" ca="1" si="78"/>
        <v>On Track</v>
      </c>
      <c r="U1019" t="str">
        <f t="shared" ca="1" si="79"/>
        <v>Normal</v>
      </c>
    </row>
    <row r="1020" spans="1:22">
      <c r="A1020" t="s">
        <v>2766</v>
      </c>
      <c r="B1020" t="s">
        <v>35</v>
      </c>
      <c r="C1020" t="s">
        <v>2767</v>
      </c>
      <c r="D1020" s="16">
        <v>1969.8</v>
      </c>
      <c r="E1020" t="s">
        <v>142</v>
      </c>
      <c r="F1020" t="s">
        <v>38</v>
      </c>
      <c r="H1020" t="s">
        <v>335</v>
      </c>
      <c r="I1020" t="s">
        <v>29</v>
      </c>
      <c r="J1020" s="13">
        <v>46185</v>
      </c>
      <c r="K1020" s="17" t="s">
        <v>57</v>
      </c>
      <c r="L1020" s="13">
        <v>46215</v>
      </c>
      <c r="M1020" t="s">
        <v>145</v>
      </c>
      <c r="N1020" t="s">
        <v>179</v>
      </c>
      <c r="O1020" s="13">
        <v>46189</v>
      </c>
      <c r="Q1020">
        <f t="shared" ca="1" si="75"/>
        <v>4</v>
      </c>
      <c r="R1020">
        <f t="shared" si="76"/>
        <v>4</v>
      </c>
      <c r="S1020">
        <f t="shared" ca="1" si="77"/>
        <v>26</v>
      </c>
      <c r="T1020" t="str">
        <f t="shared" ca="1" si="78"/>
        <v>On Track</v>
      </c>
      <c r="U1020" t="str">
        <f t="shared" ca="1" si="79"/>
        <v>Normal</v>
      </c>
      <c r="V1020" t="s">
        <v>180</v>
      </c>
    </row>
    <row r="1021" spans="1:22">
      <c r="A1021" t="s">
        <v>2768</v>
      </c>
      <c r="B1021" t="s">
        <v>118</v>
      </c>
      <c r="C1021" t="s">
        <v>2769</v>
      </c>
      <c r="D1021" s="16">
        <v>1657.35</v>
      </c>
      <c r="E1021" t="s">
        <v>25</v>
      </c>
      <c r="F1021" t="s">
        <v>26</v>
      </c>
      <c r="G1021" t="s">
        <v>2770</v>
      </c>
      <c r="H1021" t="s">
        <v>28</v>
      </c>
      <c r="I1021" t="s">
        <v>29</v>
      </c>
      <c r="J1021" s="13">
        <v>46182</v>
      </c>
      <c r="K1021" s="17" t="s">
        <v>30</v>
      </c>
      <c r="L1021" s="13">
        <v>46197</v>
      </c>
      <c r="M1021" t="s">
        <v>145</v>
      </c>
      <c r="N1021" t="s">
        <v>32</v>
      </c>
      <c r="O1021" s="13">
        <v>46189</v>
      </c>
      <c r="Q1021">
        <f t="shared" ca="1" si="75"/>
        <v>7</v>
      </c>
      <c r="R1021">
        <f t="shared" si="76"/>
        <v>7</v>
      </c>
      <c r="S1021">
        <f t="shared" ca="1" si="77"/>
        <v>8</v>
      </c>
      <c r="T1021" t="str">
        <f t="shared" ca="1" si="78"/>
        <v>On Track</v>
      </c>
      <c r="U1021" t="str">
        <f t="shared" ca="1" si="79"/>
        <v>Normal</v>
      </c>
    </row>
    <row r="1022" spans="1:22">
      <c r="A1022" t="s">
        <v>2771</v>
      </c>
      <c r="B1022" t="s">
        <v>23</v>
      </c>
      <c r="C1022" t="s">
        <v>2772</v>
      </c>
      <c r="D1022" s="16">
        <v>21492.05</v>
      </c>
      <c r="E1022" t="s">
        <v>302</v>
      </c>
      <c r="F1022" t="s">
        <v>38</v>
      </c>
      <c r="H1022" t="s">
        <v>429</v>
      </c>
      <c r="I1022" t="s">
        <v>92</v>
      </c>
      <c r="J1022" s="13">
        <v>46177</v>
      </c>
      <c r="K1022" s="17" t="s">
        <v>57</v>
      </c>
      <c r="L1022" s="13">
        <v>46207</v>
      </c>
      <c r="M1022" t="s">
        <v>41</v>
      </c>
      <c r="N1022" t="s">
        <v>32</v>
      </c>
      <c r="Q1022">
        <f t="shared" ca="1" si="75"/>
        <v>12</v>
      </c>
      <c r="R1022" t="str">
        <f t="shared" si="76"/>
        <v/>
      </c>
      <c r="S1022">
        <f t="shared" ca="1" si="77"/>
        <v>18</v>
      </c>
      <c r="T1022" t="str">
        <f t="shared" ca="1" si="78"/>
        <v>Overdue</v>
      </c>
      <c r="U1022" t="str">
        <f t="shared" ca="1" si="79"/>
        <v>Normal</v>
      </c>
      <c r="V1022" t="s">
        <v>42</v>
      </c>
    </row>
    <row r="1023" spans="1:22">
      <c r="A1023" t="s">
        <v>2773</v>
      </c>
      <c r="B1023" t="s">
        <v>35</v>
      </c>
      <c r="C1023" t="s">
        <v>2774</v>
      </c>
      <c r="D1023" s="16">
        <v>4625.54</v>
      </c>
      <c r="E1023" t="s">
        <v>25</v>
      </c>
      <c r="F1023" t="s">
        <v>38</v>
      </c>
      <c r="H1023" t="s">
        <v>28</v>
      </c>
      <c r="I1023" t="s">
        <v>29</v>
      </c>
      <c r="J1023" s="13">
        <v>46178</v>
      </c>
      <c r="K1023" s="17" t="s">
        <v>30</v>
      </c>
      <c r="L1023" s="13">
        <v>46193</v>
      </c>
      <c r="M1023" t="s">
        <v>145</v>
      </c>
      <c r="N1023" t="s">
        <v>100</v>
      </c>
      <c r="O1023" s="13">
        <v>46189</v>
      </c>
      <c r="Q1023">
        <f t="shared" ca="1" si="75"/>
        <v>11</v>
      </c>
      <c r="R1023">
        <f t="shared" si="76"/>
        <v>11</v>
      </c>
      <c r="S1023">
        <f t="shared" ca="1" si="77"/>
        <v>4</v>
      </c>
      <c r="T1023" t="str">
        <f t="shared" ca="1" si="78"/>
        <v>On Track</v>
      </c>
      <c r="U1023" t="str">
        <f t="shared" ca="1" si="79"/>
        <v>At Risk</v>
      </c>
      <c r="V1023" t="s">
        <v>101</v>
      </c>
    </row>
    <row r="1024" spans="1:22">
      <c r="A1024" t="s">
        <v>2775</v>
      </c>
      <c r="B1024" t="s">
        <v>44</v>
      </c>
      <c r="C1024" t="s">
        <v>2776</v>
      </c>
      <c r="D1024" s="16">
        <v>4510.32</v>
      </c>
      <c r="E1024" t="s">
        <v>69</v>
      </c>
      <c r="F1024" t="s">
        <v>38</v>
      </c>
      <c r="H1024" t="s">
        <v>71</v>
      </c>
      <c r="I1024" t="s">
        <v>29</v>
      </c>
      <c r="J1024" s="13">
        <v>46158</v>
      </c>
      <c r="K1024" s="17" t="s">
        <v>40</v>
      </c>
      <c r="L1024" s="13">
        <v>46188</v>
      </c>
      <c r="M1024" t="s">
        <v>31</v>
      </c>
      <c r="N1024" t="s">
        <v>32</v>
      </c>
      <c r="O1024" s="13">
        <v>46166</v>
      </c>
      <c r="P1024" s="13">
        <v>46168</v>
      </c>
      <c r="Q1024">
        <f t="shared" ca="1" si="75"/>
        <v>31</v>
      </c>
      <c r="R1024">
        <f t="shared" si="76"/>
        <v>8</v>
      </c>
      <c r="S1024">
        <f t="shared" ca="1" si="77"/>
        <v>-1</v>
      </c>
      <c r="T1024" t="str">
        <f t="shared" ca="1" si="78"/>
        <v>On Track</v>
      </c>
      <c r="U1024" t="str">
        <f t="shared" ca="1" si="79"/>
        <v>Normal</v>
      </c>
      <c r="V1024" t="s">
        <v>33</v>
      </c>
    </row>
    <row r="1025" spans="1:22">
      <c r="A1025" t="s">
        <v>2777</v>
      </c>
      <c r="B1025" t="s">
        <v>137</v>
      </c>
      <c r="C1025" t="s">
        <v>2778</v>
      </c>
      <c r="D1025" s="16">
        <v>526.94000000000005</v>
      </c>
      <c r="E1025" t="s">
        <v>46</v>
      </c>
      <c r="F1025" t="s">
        <v>26</v>
      </c>
      <c r="G1025" t="s">
        <v>2779</v>
      </c>
      <c r="H1025" t="s">
        <v>48</v>
      </c>
      <c r="I1025" t="s">
        <v>29</v>
      </c>
      <c r="J1025" s="13">
        <v>46181</v>
      </c>
      <c r="K1025" s="17" t="s">
        <v>40</v>
      </c>
      <c r="L1025" s="13">
        <v>46211</v>
      </c>
      <c r="M1025" t="s">
        <v>31</v>
      </c>
      <c r="N1025" t="s">
        <v>32</v>
      </c>
      <c r="O1025" s="13">
        <v>46182</v>
      </c>
      <c r="P1025" s="13">
        <v>46188</v>
      </c>
      <c r="Q1025">
        <f t="shared" ca="1" si="75"/>
        <v>8</v>
      </c>
      <c r="R1025">
        <f t="shared" si="76"/>
        <v>1</v>
      </c>
      <c r="S1025">
        <f t="shared" ca="1" si="77"/>
        <v>22</v>
      </c>
      <c r="T1025" t="str">
        <f t="shared" ca="1" si="78"/>
        <v>On Track</v>
      </c>
      <c r="U1025" t="str">
        <f t="shared" ca="1" si="79"/>
        <v>Normal</v>
      </c>
      <c r="V1025" t="s">
        <v>33</v>
      </c>
    </row>
    <row r="1026" spans="1:22">
      <c r="A1026" t="s">
        <v>2780</v>
      </c>
      <c r="B1026" t="s">
        <v>172</v>
      </c>
      <c r="C1026" t="s">
        <v>2781</v>
      </c>
      <c r="D1026" s="16">
        <v>629.41</v>
      </c>
      <c r="E1026" t="s">
        <v>62</v>
      </c>
      <c r="F1026" t="s">
        <v>26</v>
      </c>
      <c r="G1026" t="s">
        <v>2782</v>
      </c>
      <c r="H1026" t="s">
        <v>64</v>
      </c>
      <c r="I1026" t="s">
        <v>29</v>
      </c>
      <c r="J1026" s="13">
        <v>46181</v>
      </c>
      <c r="K1026" s="17" t="s">
        <v>57</v>
      </c>
      <c r="L1026" s="13">
        <v>46211</v>
      </c>
      <c r="M1026" t="s">
        <v>145</v>
      </c>
      <c r="N1026" t="s">
        <v>32</v>
      </c>
      <c r="O1026" s="13">
        <v>46187</v>
      </c>
      <c r="Q1026">
        <f t="shared" ref="Q1026:Q1089" ca="1" si="80">IF(J1026="","",TODAY()-J1026)</f>
        <v>8</v>
      </c>
      <c r="R1026">
        <f t="shared" ref="R1026:R1089" si="81">IF(O1026="","",O1026-J1026)</f>
        <v>6</v>
      </c>
      <c r="S1026">
        <f t="shared" ref="S1026:S1089" ca="1" si="82">IF(L1026="","",L1026-TODAY())</f>
        <v>22</v>
      </c>
      <c r="T1026" t="str">
        <f t="shared" ref="T1026:T1089" ca="1" si="83">IF(AND(M1026="Pending Approval",Q1026&gt;5),"Overdue","On Track")</f>
        <v>On Track</v>
      </c>
      <c r="U1026" t="str">
        <f t="shared" ref="U1026:U1089" ca="1" si="84">IF(AND(M1026&lt;&gt;"Paid",S1026&lt;=5),"At Risk","Normal")</f>
        <v>Normal</v>
      </c>
    </row>
    <row r="1027" spans="1:22">
      <c r="A1027" t="s">
        <v>2783</v>
      </c>
      <c r="B1027" t="s">
        <v>168</v>
      </c>
      <c r="C1027" t="s">
        <v>2784</v>
      </c>
      <c r="D1027" s="16">
        <v>2264.02</v>
      </c>
      <c r="E1027" t="s">
        <v>25</v>
      </c>
      <c r="F1027" t="s">
        <v>38</v>
      </c>
      <c r="H1027" t="s">
        <v>28</v>
      </c>
      <c r="I1027" t="s">
        <v>29</v>
      </c>
      <c r="J1027" s="13">
        <v>46181</v>
      </c>
      <c r="K1027" s="17" t="s">
        <v>40</v>
      </c>
      <c r="L1027" s="13">
        <v>46211</v>
      </c>
      <c r="M1027" t="s">
        <v>99</v>
      </c>
      <c r="N1027" t="s">
        <v>100</v>
      </c>
      <c r="O1027" s="13">
        <v>46189</v>
      </c>
      <c r="Q1027">
        <f t="shared" ca="1" si="80"/>
        <v>8</v>
      </c>
      <c r="R1027">
        <f t="shared" si="81"/>
        <v>8</v>
      </c>
      <c r="S1027">
        <f t="shared" ca="1" si="82"/>
        <v>22</v>
      </c>
      <c r="T1027" t="str">
        <f t="shared" ca="1" si="83"/>
        <v>On Track</v>
      </c>
      <c r="U1027" t="str">
        <f t="shared" ca="1" si="84"/>
        <v>Normal</v>
      </c>
      <c r="V1027" t="s">
        <v>101</v>
      </c>
    </row>
    <row r="1028" spans="1:22">
      <c r="A1028" t="s">
        <v>2785</v>
      </c>
      <c r="B1028" t="s">
        <v>73</v>
      </c>
      <c r="C1028" t="s">
        <v>2786</v>
      </c>
      <c r="D1028" s="16">
        <v>1541.09</v>
      </c>
      <c r="E1028" t="s">
        <v>78</v>
      </c>
      <c r="F1028" t="s">
        <v>38</v>
      </c>
      <c r="H1028" t="s">
        <v>80</v>
      </c>
      <c r="I1028" t="s">
        <v>29</v>
      </c>
      <c r="J1028" s="13">
        <v>46160</v>
      </c>
      <c r="K1028" s="17" t="s">
        <v>57</v>
      </c>
      <c r="L1028" s="13">
        <v>46190</v>
      </c>
      <c r="M1028" t="s">
        <v>31</v>
      </c>
      <c r="N1028" t="s">
        <v>32</v>
      </c>
      <c r="O1028" s="13">
        <v>46169</v>
      </c>
      <c r="P1028" s="13">
        <v>46176</v>
      </c>
      <c r="Q1028">
        <f t="shared" ca="1" si="80"/>
        <v>29</v>
      </c>
      <c r="R1028">
        <f t="shared" si="81"/>
        <v>9</v>
      </c>
      <c r="S1028">
        <f t="shared" ca="1" si="82"/>
        <v>1</v>
      </c>
      <c r="T1028" t="str">
        <f t="shared" ca="1" si="83"/>
        <v>On Track</v>
      </c>
      <c r="U1028" t="str">
        <f t="shared" ca="1" si="84"/>
        <v>Normal</v>
      </c>
      <c r="V1028" t="s">
        <v>33</v>
      </c>
    </row>
    <row r="1029" spans="1:22">
      <c r="A1029" t="s">
        <v>2787</v>
      </c>
      <c r="B1029" t="s">
        <v>251</v>
      </c>
      <c r="C1029" t="s">
        <v>2788</v>
      </c>
      <c r="D1029" s="16">
        <v>4683.3100000000004</v>
      </c>
      <c r="E1029" t="s">
        <v>302</v>
      </c>
      <c r="F1029" t="s">
        <v>26</v>
      </c>
      <c r="G1029" t="s">
        <v>2789</v>
      </c>
      <c r="H1029" t="s">
        <v>304</v>
      </c>
      <c r="I1029" t="s">
        <v>29</v>
      </c>
      <c r="J1029" s="13">
        <v>46155</v>
      </c>
      <c r="K1029" s="17" t="s">
        <v>30</v>
      </c>
      <c r="L1029" s="13">
        <v>46170</v>
      </c>
      <c r="M1029" t="s">
        <v>31</v>
      </c>
      <c r="N1029" t="s">
        <v>50</v>
      </c>
      <c r="O1029" s="13">
        <v>46168</v>
      </c>
      <c r="P1029" s="13">
        <v>46174</v>
      </c>
      <c r="Q1029">
        <f t="shared" ca="1" si="80"/>
        <v>34</v>
      </c>
      <c r="R1029">
        <f t="shared" si="81"/>
        <v>13</v>
      </c>
      <c r="S1029">
        <f t="shared" ca="1" si="82"/>
        <v>-19</v>
      </c>
      <c r="T1029" t="str">
        <f t="shared" ca="1" si="83"/>
        <v>On Track</v>
      </c>
      <c r="U1029" t="str">
        <f t="shared" ca="1" si="84"/>
        <v>Normal</v>
      </c>
      <c r="V1029" t="s">
        <v>51</v>
      </c>
    </row>
    <row r="1030" spans="1:22">
      <c r="A1030" t="s">
        <v>2790</v>
      </c>
      <c r="B1030" t="s">
        <v>67</v>
      </c>
      <c r="C1030" t="s">
        <v>2791</v>
      </c>
      <c r="D1030" s="16">
        <v>744.64</v>
      </c>
      <c r="E1030" t="s">
        <v>46</v>
      </c>
      <c r="F1030" t="s">
        <v>26</v>
      </c>
      <c r="G1030" t="s">
        <v>2792</v>
      </c>
      <c r="H1030" t="s">
        <v>48</v>
      </c>
      <c r="I1030" t="s">
        <v>29</v>
      </c>
      <c r="J1030" s="13">
        <v>46176</v>
      </c>
      <c r="K1030" s="17" t="s">
        <v>49</v>
      </c>
      <c r="L1030" s="13">
        <v>46221</v>
      </c>
      <c r="M1030" t="s">
        <v>31</v>
      </c>
      <c r="N1030" t="s">
        <v>32</v>
      </c>
      <c r="O1030" s="13">
        <v>46184</v>
      </c>
      <c r="P1030" s="13">
        <v>46187</v>
      </c>
      <c r="Q1030">
        <f t="shared" ca="1" si="80"/>
        <v>13</v>
      </c>
      <c r="R1030">
        <f t="shared" si="81"/>
        <v>8</v>
      </c>
      <c r="S1030">
        <f t="shared" ca="1" si="82"/>
        <v>32</v>
      </c>
      <c r="T1030" t="str">
        <f t="shared" ca="1" si="83"/>
        <v>On Track</v>
      </c>
      <c r="U1030" t="str">
        <f t="shared" ca="1" si="84"/>
        <v>Normal</v>
      </c>
      <c r="V1030" t="s">
        <v>33</v>
      </c>
    </row>
    <row r="1031" spans="1:22">
      <c r="A1031" t="s">
        <v>2793</v>
      </c>
      <c r="B1031" t="s">
        <v>172</v>
      </c>
      <c r="C1031" t="s">
        <v>2794</v>
      </c>
      <c r="D1031" s="16">
        <v>1723.13</v>
      </c>
      <c r="E1031" t="s">
        <v>37</v>
      </c>
      <c r="F1031" t="s">
        <v>26</v>
      </c>
      <c r="G1031" t="s">
        <v>2795</v>
      </c>
      <c r="H1031" t="s">
        <v>39</v>
      </c>
      <c r="I1031" t="s">
        <v>29</v>
      </c>
      <c r="J1031" s="13">
        <v>46154</v>
      </c>
      <c r="K1031" s="17" t="s">
        <v>57</v>
      </c>
      <c r="L1031" s="13">
        <v>46184</v>
      </c>
      <c r="M1031" t="s">
        <v>31</v>
      </c>
      <c r="N1031" t="s">
        <v>32</v>
      </c>
      <c r="O1031" s="13">
        <v>46157</v>
      </c>
      <c r="P1031" s="13">
        <v>46162</v>
      </c>
      <c r="Q1031">
        <f t="shared" ca="1" si="80"/>
        <v>35</v>
      </c>
      <c r="R1031">
        <f t="shared" si="81"/>
        <v>3</v>
      </c>
      <c r="S1031">
        <f t="shared" ca="1" si="82"/>
        <v>-5</v>
      </c>
      <c r="T1031" t="str">
        <f t="shared" ca="1" si="83"/>
        <v>On Track</v>
      </c>
      <c r="U1031" t="str">
        <f t="shared" ca="1" si="84"/>
        <v>Normal</v>
      </c>
      <c r="V1031" t="s">
        <v>33</v>
      </c>
    </row>
    <row r="1032" spans="1:22">
      <c r="A1032" t="s">
        <v>2796</v>
      </c>
      <c r="B1032" t="s">
        <v>23</v>
      </c>
      <c r="C1032" t="s">
        <v>2797</v>
      </c>
      <c r="D1032" s="16">
        <v>20205.22</v>
      </c>
      <c r="E1032" t="s">
        <v>37</v>
      </c>
      <c r="F1032" t="s">
        <v>26</v>
      </c>
      <c r="G1032" t="s">
        <v>2798</v>
      </c>
      <c r="H1032" t="s">
        <v>815</v>
      </c>
      <c r="I1032" t="s">
        <v>92</v>
      </c>
      <c r="J1032" s="13">
        <v>46174</v>
      </c>
      <c r="K1032" s="17" t="s">
        <v>49</v>
      </c>
      <c r="L1032" s="13">
        <v>46219</v>
      </c>
      <c r="M1032" t="s">
        <v>31</v>
      </c>
      <c r="N1032" t="s">
        <v>32</v>
      </c>
      <c r="O1032" s="13">
        <v>46179</v>
      </c>
      <c r="P1032" s="13">
        <v>46224</v>
      </c>
      <c r="Q1032">
        <f t="shared" ca="1" si="80"/>
        <v>15</v>
      </c>
      <c r="R1032">
        <f t="shared" si="81"/>
        <v>5</v>
      </c>
      <c r="S1032">
        <f t="shared" ca="1" si="82"/>
        <v>30</v>
      </c>
      <c r="T1032" t="str">
        <f t="shared" ca="1" si="83"/>
        <v>On Track</v>
      </c>
      <c r="U1032" t="str">
        <f t="shared" ca="1" si="84"/>
        <v>Normal</v>
      </c>
      <c r="V1032" t="s">
        <v>107</v>
      </c>
    </row>
    <row r="1033" spans="1:22">
      <c r="A1033" t="s">
        <v>2799</v>
      </c>
      <c r="B1033" t="s">
        <v>76</v>
      </c>
      <c r="C1033" t="s">
        <v>2800</v>
      </c>
      <c r="D1033" s="16">
        <v>2185.11</v>
      </c>
      <c r="E1033" t="s">
        <v>142</v>
      </c>
      <c r="F1033" t="s">
        <v>26</v>
      </c>
      <c r="G1033" t="s">
        <v>2801</v>
      </c>
      <c r="H1033" t="s">
        <v>335</v>
      </c>
      <c r="I1033" t="s">
        <v>29</v>
      </c>
      <c r="J1033" s="13">
        <v>46144</v>
      </c>
      <c r="K1033" s="17" t="s">
        <v>40</v>
      </c>
      <c r="L1033" s="13">
        <v>46174</v>
      </c>
      <c r="M1033" t="s">
        <v>31</v>
      </c>
      <c r="N1033" t="s">
        <v>32</v>
      </c>
      <c r="O1033" s="13">
        <v>46151</v>
      </c>
      <c r="P1033" s="13">
        <v>46158</v>
      </c>
      <c r="Q1033">
        <f t="shared" ca="1" si="80"/>
        <v>45</v>
      </c>
      <c r="R1033">
        <f t="shared" si="81"/>
        <v>7</v>
      </c>
      <c r="S1033">
        <f t="shared" ca="1" si="82"/>
        <v>-15</v>
      </c>
      <c r="T1033" t="str">
        <f t="shared" ca="1" si="83"/>
        <v>On Track</v>
      </c>
      <c r="U1033" t="str">
        <f t="shared" ca="1" si="84"/>
        <v>Normal</v>
      </c>
      <c r="V1033" t="s">
        <v>33</v>
      </c>
    </row>
    <row r="1034" spans="1:22">
      <c r="A1034" t="s">
        <v>2802</v>
      </c>
      <c r="B1034" t="s">
        <v>124</v>
      </c>
      <c r="C1034" t="s">
        <v>2803</v>
      </c>
      <c r="D1034" s="16">
        <v>3454.74</v>
      </c>
      <c r="E1034" t="s">
        <v>156</v>
      </c>
      <c r="F1034" t="s">
        <v>26</v>
      </c>
      <c r="G1034" t="s">
        <v>2804</v>
      </c>
      <c r="H1034" t="s">
        <v>157</v>
      </c>
      <c r="I1034" t="s">
        <v>29</v>
      </c>
      <c r="J1034" s="13">
        <v>46160</v>
      </c>
      <c r="K1034" s="17" t="s">
        <v>49</v>
      </c>
      <c r="L1034" s="13">
        <v>46205</v>
      </c>
      <c r="M1034" t="s">
        <v>31</v>
      </c>
      <c r="N1034" t="s">
        <v>50</v>
      </c>
      <c r="O1034" s="13">
        <v>46166</v>
      </c>
      <c r="P1034" s="13">
        <v>46170</v>
      </c>
      <c r="Q1034">
        <f t="shared" ca="1" si="80"/>
        <v>29</v>
      </c>
      <c r="R1034">
        <f t="shared" si="81"/>
        <v>6</v>
      </c>
      <c r="S1034">
        <f t="shared" ca="1" si="82"/>
        <v>16</v>
      </c>
      <c r="T1034" t="str">
        <f t="shared" ca="1" si="83"/>
        <v>On Track</v>
      </c>
      <c r="U1034" t="str">
        <f t="shared" ca="1" si="84"/>
        <v>Normal</v>
      </c>
      <c r="V1034" t="s">
        <v>51</v>
      </c>
    </row>
    <row r="1035" spans="1:22">
      <c r="A1035" t="s">
        <v>2805</v>
      </c>
      <c r="B1035" t="s">
        <v>67</v>
      </c>
      <c r="C1035" t="s">
        <v>2806</v>
      </c>
      <c r="D1035" s="16">
        <v>20550.759999999998</v>
      </c>
      <c r="E1035" t="s">
        <v>78</v>
      </c>
      <c r="F1035" t="s">
        <v>38</v>
      </c>
      <c r="H1035" t="s">
        <v>91</v>
      </c>
      <c r="I1035" t="s">
        <v>92</v>
      </c>
      <c r="J1035" s="13">
        <v>46172</v>
      </c>
      <c r="K1035" s="17" t="s">
        <v>49</v>
      </c>
      <c r="L1035" s="13">
        <v>46217</v>
      </c>
      <c r="M1035" t="s">
        <v>65</v>
      </c>
      <c r="N1035" t="s">
        <v>32</v>
      </c>
      <c r="Q1035">
        <f t="shared" ca="1" si="80"/>
        <v>17</v>
      </c>
      <c r="R1035" t="str">
        <f t="shared" si="81"/>
        <v/>
      </c>
      <c r="S1035">
        <f t="shared" ca="1" si="82"/>
        <v>28</v>
      </c>
      <c r="T1035" t="str">
        <f t="shared" ca="1" si="83"/>
        <v>On Track</v>
      </c>
      <c r="U1035" t="str">
        <f t="shared" ca="1" si="84"/>
        <v>Normal</v>
      </c>
    </row>
    <row r="1036" spans="1:22">
      <c r="A1036" t="s">
        <v>2807</v>
      </c>
      <c r="B1036" t="s">
        <v>251</v>
      </c>
      <c r="C1036" t="s">
        <v>2808</v>
      </c>
      <c r="D1036" s="16">
        <v>12606.23</v>
      </c>
      <c r="E1036" t="s">
        <v>302</v>
      </c>
      <c r="F1036" t="s">
        <v>38</v>
      </c>
      <c r="H1036" t="s">
        <v>429</v>
      </c>
      <c r="I1036" t="s">
        <v>92</v>
      </c>
      <c r="J1036" s="13">
        <v>46189</v>
      </c>
      <c r="K1036" s="17" t="s">
        <v>40</v>
      </c>
      <c r="L1036" s="13">
        <v>46219</v>
      </c>
      <c r="M1036" t="s">
        <v>41</v>
      </c>
      <c r="N1036" t="s">
        <v>32</v>
      </c>
      <c r="Q1036">
        <f t="shared" ca="1" si="80"/>
        <v>0</v>
      </c>
      <c r="R1036" t="str">
        <f t="shared" si="81"/>
        <v/>
      </c>
      <c r="S1036">
        <f t="shared" ca="1" si="82"/>
        <v>30</v>
      </c>
      <c r="T1036" t="str">
        <f t="shared" ca="1" si="83"/>
        <v>On Track</v>
      </c>
      <c r="U1036" t="str">
        <f t="shared" ca="1" si="84"/>
        <v>Normal</v>
      </c>
      <c r="V1036" t="s">
        <v>42</v>
      </c>
    </row>
    <row r="1037" spans="1:22">
      <c r="A1037" t="s">
        <v>2809</v>
      </c>
      <c r="B1037" t="s">
        <v>73</v>
      </c>
      <c r="C1037" t="s">
        <v>2810</v>
      </c>
      <c r="D1037" s="16">
        <v>2243.4699999999998</v>
      </c>
      <c r="E1037" t="s">
        <v>156</v>
      </c>
      <c r="F1037" t="s">
        <v>26</v>
      </c>
      <c r="G1037" t="s">
        <v>2811</v>
      </c>
      <c r="H1037" t="s">
        <v>157</v>
      </c>
      <c r="I1037" t="s">
        <v>29</v>
      </c>
      <c r="J1037" s="13">
        <v>46152</v>
      </c>
      <c r="K1037" s="17" t="s">
        <v>30</v>
      </c>
      <c r="L1037" s="13">
        <v>46167</v>
      </c>
      <c r="M1037" t="s">
        <v>99</v>
      </c>
      <c r="N1037" t="s">
        <v>32</v>
      </c>
      <c r="O1037" s="13">
        <v>46159</v>
      </c>
      <c r="Q1037">
        <f t="shared" ca="1" si="80"/>
        <v>37</v>
      </c>
      <c r="R1037">
        <f t="shared" si="81"/>
        <v>7</v>
      </c>
      <c r="S1037">
        <f t="shared" ca="1" si="82"/>
        <v>-22</v>
      </c>
      <c r="T1037" t="str">
        <f t="shared" ca="1" si="83"/>
        <v>On Track</v>
      </c>
      <c r="U1037" t="str">
        <f t="shared" ca="1" si="84"/>
        <v>At Risk</v>
      </c>
    </row>
    <row r="1038" spans="1:22">
      <c r="A1038" t="s">
        <v>2812</v>
      </c>
      <c r="B1038" t="s">
        <v>115</v>
      </c>
      <c r="C1038" t="s">
        <v>2813</v>
      </c>
      <c r="D1038" s="16">
        <v>2806.36</v>
      </c>
      <c r="E1038" t="s">
        <v>156</v>
      </c>
      <c r="F1038" t="s">
        <v>26</v>
      </c>
      <c r="G1038" t="s">
        <v>2814</v>
      </c>
      <c r="H1038" t="s">
        <v>157</v>
      </c>
      <c r="I1038" t="s">
        <v>29</v>
      </c>
      <c r="J1038" s="13">
        <v>46180</v>
      </c>
      <c r="K1038" s="17" t="s">
        <v>49</v>
      </c>
      <c r="L1038" s="13">
        <v>46225</v>
      </c>
      <c r="M1038" t="s">
        <v>41</v>
      </c>
      <c r="N1038" t="s">
        <v>32</v>
      </c>
      <c r="Q1038">
        <f t="shared" ca="1" si="80"/>
        <v>9</v>
      </c>
      <c r="R1038" t="str">
        <f t="shared" si="81"/>
        <v/>
      </c>
      <c r="S1038">
        <f t="shared" ca="1" si="82"/>
        <v>36</v>
      </c>
      <c r="T1038" t="str">
        <f t="shared" ca="1" si="83"/>
        <v>Overdue</v>
      </c>
      <c r="U1038" t="str">
        <f t="shared" ca="1" si="84"/>
        <v>Normal</v>
      </c>
      <c r="V1038" t="s">
        <v>42</v>
      </c>
    </row>
    <row r="1039" spans="1:22">
      <c r="A1039" t="s">
        <v>2815</v>
      </c>
      <c r="B1039" t="s">
        <v>137</v>
      </c>
      <c r="C1039" t="s">
        <v>2816</v>
      </c>
      <c r="D1039" s="16">
        <v>1678.52</v>
      </c>
      <c r="E1039" t="s">
        <v>69</v>
      </c>
      <c r="F1039" t="s">
        <v>38</v>
      </c>
      <c r="H1039" t="s">
        <v>71</v>
      </c>
      <c r="I1039" t="s">
        <v>29</v>
      </c>
      <c r="J1039" s="13">
        <v>46172</v>
      </c>
      <c r="K1039" s="17" t="s">
        <v>57</v>
      </c>
      <c r="L1039" s="13">
        <v>46202</v>
      </c>
      <c r="M1039" t="s">
        <v>31</v>
      </c>
      <c r="N1039" t="s">
        <v>32</v>
      </c>
      <c r="O1039" s="13">
        <v>46183</v>
      </c>
      <c r="P1039" s="13">
        <v>46189</v>
      </c>
      <c r="Q1039">
        <f t="shared" ca="1" si="80"/>
        <v>17</v>
      </c>
      <c r="R1039">
        <f t="shared" si="81"/>
        <v>11</v>
      </c>
      <c r="S1039">
        <f t="shared" ca="1" si="82"/>
        <v>13</v>
      </c>
      <c r="T1039" t="str">
        <f t="shared" ca="1" si="83"/>
        <v>On Track</v>
      </c>
      <c r="U1039" t="str">
        <f t="shared" ca="1" si="84"/>
        <v>Normal</v>
      </c>
      <c r="V1039" t="s">
        <v>33</v>
      </c>
    </row>
    <row r="1040" spans="1:22">
      <c r="A1040" t="s">
        <v>2817</v>
      </c>
      <c r="B1040" t="s">
        <v>44</v>
      </c>
      <c r="C1040" t="s">
        <v>2818</v>
      </c>
      <c r="D1040" s="16">
        <v>4493.7</v>
      </c>
      <c r="E1040" t="s">
        <v>156</v>
      </c>
      <c r="F1040" t="s">
        <v>26</v>
      </c>
      <c r="G1040" t="s">
        <v>2819</v>
      </c>
      <c r="H1040" t="s">
        <v>157</v>
      </c>
      <c r="I1040" t="s">
        <v>29</v>
      </c>
      <c r="J1040" s="13">
        <v>46170</v>
      </c>
      <c r="K1040" s="17" t="s">
        <v>40</v>
      </c>
      <c r="L1040" s="13">
        <v>46200</v>
      </c>
      <c r="M1040" t="s">
        <v>41</v>
      </c>
      <c r="N1040" t="s">
        <v>32</v>
      </c>
      <c r="Q1040">
        <f t="shared" ca="1" si="80"/>
        <v>19</v>
      </c>
      <c r="R1040" t="str">
        <f t="shared" si="81"/>
        <v/>
      </c>
      <c r="S1040">
        <f t="shared" ca="1" si="82"/>
        <v>11</v>
      </c>
      <c r="T1040" t="str">
        <f t="shared" ca="1" si="83"/>
        <v>Overdue</v>
      </c>
      <c r="U1040" t="str">
        <f t="shared" ca="1" si="84"/>
        <v>Normal</v>
      </c>
      <c r="V1040" t="s">
        <v>42</v>
      </c>
    </row>
    <row r="1041" spans="1:22">
      <c r="A1041" t="s">
        <v>2820</v>
      </c>
      <c r="B1041" t="s">
        <v>35</v>
      </c>
      <c r="C1041" t="s">
        <v>2821</v>
      </c>
      <c r="D1041" s="16">
        <v>14989.1</v>
      </c>
      <c r="E1041" t="s">
        <v>302</v>
      </c>
      <c r="F1041" t="s">
        <v>26</v>
      </c>
      <c r="G1041" t="s">
        <v>2822</v>
      </c>
      <c r="H1041" t="s">
        <v>429</v>
      </c>
      <c r="I1041" t="s">
        <v>92</v>
      </c>
      <c r="J1041" s="13">
        <v>46146</v>
      </c>
      <c r="K1041" s="17" t="s">
        <v>49</v>
      </c>
      <c r="L1041" s="13">
        <v>46191</v>
      </c>
      <c r="M1041" t="s">
        <v>31</v>
      </c>
      <c r="N1041" t="s">
        <v>32</v>
      </c>
      <c r="O1041" s="13">
        <v>46155</v>
      </c>
      <c r="P1041" s="13">
        <v>46161</v>
      </c>
      <c r="Q1041">
        <f t="shared" ca="1" si="80"/>
        <v>43</v>
      </c>
      <c r="R1041">
        <f t="shared" si="81"/>
        <v>9</v>
      </c>
      <c r="S1041">
        <f t="shared" ca="1" si="82"/>
        <v>2</v>
      </c>
      <c r="T1041" t="str">
        <f t="shared" ca="1" si="83"/>
        <v>On Track</v>
      </c>
      <c r="U1041" t="str">
        <f t="shared" ca="1" si="84"/>
        <v>Normal</v>
      </c>
      <c r="V1041" t="s">
        <v>33</v>
      </c>
    </row>
    <row r="1042" spans="1:22">
      <c r="A1042" t="s">
        <v>2823</v>
      </c>
      <c r="B1042" t="s">
        <v>115</v>
      </c>
      <c r="C1042" t="s">
        <v>2824</v>
      </c>
      <c r="D1042" s="16">
        <v>79750.880000000005</v>
      </c>
      <c r="E1042" t="s">
        <v>25</v>
      </c>
      <c r="F1042" t="s">
        <v>26</v>
      </c>
      <c r="G1042" t="s">
        <v>2825</v>
      </c>
      <c r="H1042" t="s">
        <v>121</v>
      </c>
      <c r="I1042" t="s">
        <v>122</v>
      </c>
      <c r="J1042" s="13">
        <v>46176</v>
      </c>
      <c r="K1042" s="17" t="s">
        <v>30</v>
      </c>
      <c r="L1042" s="13">
        <v>46191</v>
      </c>
      <c r="M1042" t="s">
        <v>41</v>
      </c>
      <c r="N1042" t="s">
        <v>32</v>
      </c>
      <c r="Q1042">
        <f t="shared" ca="1" si="80"/>
        <v>13</v>
      </c>
      <c r="R1042" t="str">
        <f t="shared" si="81"/>
        <v/>
      </c>
      <c r="S1042">
        <f t="shared" ca="1" si="82"/>
        <v>2</v>
      </c>
      <c r="T1042" t="str">
        <f t="shared" ca="1" si="83"/>
        <v>Overdue</v>
      </c>
      <c r="U1042" t="str">
        <f t="shared" ca="1" si="84"/>
        <v>At Risk</v>
      </c>
      <c r="V1042" t="s">
        <v>42</v>
      </c>
    </row>
    <row r="1043" spans="1:22">
      <c r="A1043" t="s">
        <v>2826</v>
      </c>
      <c r="B1043" t="s">
        <v>137</v>
      </c>
      <c r="C1043" t="s">
        <v>2827</v>
      </c>
      <c r="D1043" s="16">
        <v>1509.74</v>
      </c>
      <c r="E1043" t="s">
        <v>111</v>
      </c>
      <c r="F1043" t="s">
        <v>26</v>
      </c>
      <c r="G1043" t="s">
        <v>2828</v>
      </c>
      <c r="H1043" t="s">
        <v>113</v>
      </c>
      <c r="I1043" t="s">
        <v>29</v>
      </c>
      <c r="J1043" s="13">
        <v>46153</v>
      </c>
      <c r="K1043" s="17" t="s">
        <v>49</v>
      </c>
      <c r="L1043" s="13">
        <v>46198</v>
      </c>
      <c r="M1043" t="s">
        <v>31</v>
      </c>
      <c r="N1043" t="s">
        <v>32</v>
      </c>
      <c r="O1043" s="13">
        <v>46159</v>
      </c>
      <c r="P1043" s="13">
        <v>46166</v>
      </c>
      <c r="Q1043">
        <f t="shared" ca="1" si="80"/>
        <v>36</v>
      </c>
      <c r="R1043">
        <f t="shared" si="81"/>
        <v>6</v>
      </c>
      <c r="S1043">
        <f t="shared" ca="1" si="82"/>
        <v>9</v>
      </c>
      <c r="T1043" t="str">
        <f t="shared" ca="1" si="83"/>
        <v>On Track</v>
      </c>
      <c r="U1043" t="str">
        <f t="shared" ca="1" si="84"/>
        <v>Normal</v>
      </c>
      <c r="V1043" t="s">
        <v>33</v>
      </c>
    </row>
    <row r="1044" spans="1:22">
      <c r="A1044" t="s">
        <v>2829</v>
      </c>
      <c r="B1044" t="s">
        <v>76</v>
      </c>
      <c r="C1044" t="s">
        <v>2830</v>
      </c>
      <c r="D1044" s="16">
        <v>12828.59</v>
      </c>
      <c r="E1044" t="s">
        <v>55</v>
      </c>
      <c r="F1044" t="s">
        <v>26</v>
      </c>
      <c r="G1044" t="s">
        <v>2831</v>
      </c>
      <c r="H1044" t="s">
        <v>579</v>
      </c>
      <c r="I1044" t="s">
        <v>92</v>
      </c>
      <c r="J1044" s="13">
        <v>46168</v>
      </c>
      <c r="K1044" s="17" t="s">
        <v>30</v>
      </c>
      <c r="L1044" s="13">
        <v>46183</v>
      </c>
      <c r="M1044" t="s">
        <v>31</v>
      </c>
      <c r="N1044" t="s">
        <v>32</v>
      </c>
      <c r="O1044" s="13">
        <v>46174</v>
      </c>
      <c r="P1044" s="13">
        <v>46177</v>
      </c>
      <c r="Q1044">
        <f t="shared" ca="1" si="80"/>
        <v>21</v>
      </c>
      <c r="R1044">
        <f t="shared" si="81"/>
        <v>6</v>
      </c>
      <c r="S1044">
        <f t="shared" ca="1" si="82"/>
        <v>-6</v>
      </c>
      <c r="T1044" t="str">
        <f t="shared" ca="1" si="83"/>
        <v>On Track</v>
      </c>
      <c r="U1044" t="str">
        <f t="shared" ca="1" si="84"/>
        <v>Normal</v>
      </c>
      <c r="V1044" t="s">
        <v>33</v>
      </c>
    </row>
    <row r="1045" spans="1:22">
      <c r="A1045" t="s">
        <v>2832</v>
      </c>
      <c r="B1045" t="s">
        <v>129</v>
      </c>
      <c r="C1045" t="s">
        <v>2833</v>
      </c>
      <c r="D1045" s="16">
        <v>1736.12</v>
      </c>
      <c r="E1045" t="s">
        <v>37</v>
      </c>
      <c r="F1045" t="s">
        <v>26</v>
      </c>
      <c r="G1045" t="s">
        <v>2834</v>
      </c>
      <c r="H1045" t="s">
        <v>39</v>
      </c>
      <c r="I1045" t="s">
        <v>29</v>
      </c>
      <c r="J1045" s="13">
        <v>46156</v>
      </c>
      <c r="K1045" s="17" t="s">
        <v>49</v>
      </c>
      <c r="L1045" s="13">
        <v>46201</v>
      </c>
      <c r="M1045" t="s">
        <v>31</v>
      </c>
      <c r="N1045" t="s">
        <v>179</v>
      </c>
      <c r="O1045" s="13">
        <v>46163</v>
      </c>
      <c r="P1045" s="13">
        <v>46206</v>
      </c>
      <c r="Q1045">
        <f t="shared" ca="1" si="80"/>
        <v>33</v>
      </c>
      <c r="R1045">
        <f t="shared" si="81"/>
        <v>7</v>
      </c>
      <c r="S1045">
        <f t="shared" ca="1" si="82"/>
        <v>12</v>
      </c>
      <c r="T1045" t="str">
        <f t="shared" ca="1" si="83"/>
        <v>On Track</v>
      </c>
      <c r="U1045" t="str">
        <f t="shared" ca="1" si="84"/>
        <v>Normal</v>
      </c>
      <c r="V1045" t="s">
        <v>107</v>
      </c>
    </row>
    <row r="1046" spans="1:22">
      <c r="A1046" t="s">
        <v>2835</v>
      </c>
      <c r="B1046" t="s">
        <v>271</v>
      </c>
      <c r="C1046" t="s">
        <v>2836</v>
      </c>
      <c r="D1046" s="16">
        <v>2988.74</v>
      </c>
      <c r="E1046" t="s">
        <v>25</v>
      </c>
      <c r="F1046" t="s">
        <v>38</v>
      </c>
      <c r="H1046" t="s">
        <v>28</v>
      </c>
      <c r="I1046" t="s">
        <v>29</v>
      </c>
      <c r="J1046" s="13">
        <v>46152</v>
      </c>
      <c r="K1046" s="17" t="s">
        <v>49</v>
      </c>
      <c r="L1046" s="13">
        <v>46197</v>
      </c>
      <c r="M1046" t="s">
        <v>31</v>
      </c>
      <c r="N1046" t="s">
        <v>100</v>
      </c>
      <c r="O1046" s="13">
        <v>46170</v>
      </c>
      <c r="P1046" s="13">
        <v>46172</v>
      </c>
      <c r="Q1046">
        <f t="shared" ca="1" si="80"/>
        <v>37</v>
      </c>
      <c r="R1046">
        <f t="shared" si="81"/>
        <v>18</v>
      </c>
      <c r="S1046">
        <f t="shared" ca="1" si="82"/>
        <v>8</v>
      </c>
      <c r="T1046" t="str">
        <f t="shared" ca="1" si="83"/>
        <v>On Track</v>
      </c>
      <c r="U1046" t="str">
        <f t="shared" ca="1" si="84"/>
        <v>Normal</v>
      </c>
      <c r="V1046" t="s">
        <v>101</v>
      </c>
    </row>
    <row r="1047" spans="1:22">
      <c r="A1047" t="s">
        <v>2837</v>
      </c>
      <c r="B1047" t="s">
        <v>271</v>
      </c>
      <c r="C1047" t="s">
        <v>2838</v>
      </c>
      <c r="D1047" s="16">
        <v>41692.03</v>
      </c>
      <c r="E1047" t="s">
        <v>55</v>
      </c>
      <c r="F1047" t="s">
        <v>38</v>
      </c>
      <c r="H1047" t="s">
        <v>121</v>
      </c>
      <c r="I1047" t="s">
        <v>122</v>
      </c>
      <c r="J1047" s="13">
        <v>46166</v>
      </c>
      <c r="K1047" s="17" t="s">
        <v>30</v>
      </c>
      <c r="L1047" s="13">
        <v>46181</v>
      </c>
      <c r="M1047" t="s">
        <v>99</v>
      </c>
      <c r="N1047" t="s">
        <v>32</v>
      </c>
      <c r="O1047" s="13">
        <v>46179</v>
      </c>
      <c r="Q1047">
        <f t="shared" ca="1" si="80"/>
        <v>23</v>
      </c>
      <c r="R1047">
        <f t="shared" si="81"/>
        <v>13</v>
      </c>
      <c r="S1047">
        <f t="shared" ca="1" si="82"/>
        <v>-8</v>
      </c>
      <c r="T1047" t="str">
        <f t="shared" ca="1" si="83"/>
        <v>On Track</v>
      </c>
      <c r="U1047" t="str">
        <f t="shared" ca="1" si="84"/>
        <v>At Risk</v>
      </c>
    </row>
    <row r="1048" spans="1:22">
      <c r="A1048" t="s">
        <v>2839</v>
      </c>
      <c r="B1048" t="s">
        <v>94</v>
      </c>
      <c r="C1048" t="s">
        <v>2840</v>
      </c>
      <c r="D1048" s="16">
        <v>21656.67</v>
      </c>
      <c r="E1048" t="s">
        <v>62</v>
      </c>
      <c r="F1048" t="s">
        <v>26</v>
      </c>
      <c r="G1048" t="s">
        <v>2841</v>
      </c>
      <c r="H1048" t="s">
        <v>106</v>
      </c>
      <c r="I1048" t="s">
        <v>92</v>
      </c>
      <c r="J1048" s="13">
        <v>46172</v>
      </c>
      <c r="K1048" s="17" t="s">
        <v>40</v>
      </c>
      <c r="L1048" s="13">
        <v>46202</v>
      </c>
      <c r="M1048" t="s">
        <v>41</v>
      </c>
      <c r="N1048" t="s">
        <v>32</v>
      </c>
      <c r="Q1048">
        <f t="shared" ca="1" si="80"/>
        <v>17</v>
      </c>
      <c r="R1048" t="str">
        <f t="shared" si="81"/>
        <v/>
      </c>
      <c r="S1048">
        <f t="shared" ca="1" si="82"/>
        <v>13</v>
      </c>
      <c r="T1048" t="str">
        <f t="shared" ca="1" si="83"/>
        <v>Overdue</v>
      </c>
      <c r="U1048" t="str">
        <f t="shared" ca="1" si="84"/>
        <v>Normal</v>
      </c>
      <c r="V1048" t="s">
        <v>42</v>
      </c>
    </row>
    <row r="1049" spans="1:22">
      <c r="A1049" t="s">
        <v>2842</v>
      </c>
      <c r="B1049" t="s">
        <v>53</v>
      </c>
      <c r="C1049" t="s">
        <v>2843</v>
      </c>
      <c r="D1049" s="16">
        <v>60715.88</v>
      </c>
      <c r="E1049" t="s">
        <v>25</v>
      </c>
      <c r="F1049" t="s">
        <v>26</v>
      </c>
      <c r="G1049" t="s">
        <v>2844</v>
      </c>
      <c r="H1049" t="s">
        <v>121</v>
      </c>
      <c r="I1049" t="s">
        <v>122</v>
      </c>
      <c r="J1049" s="13">
        <v>46151</v>
      </c>
      <c r="K1049" s="17" t="s">
        <v>57</v>
      </c>
      <c r="L1049" s="13">
        <v>46181</v>
      </c>
      <c r="M1049" t="s">
        <v>31</v>
      </c>
      <c r="N1049" t="s">
        <v>32</v>
      </c>
      <c r="O1049" s="13">
        <v>46167</v>
      </c>
      <c r="P1049" s="13">
        <v>46170</v>
      </c>
      <c r="Q1049">
        <f t="shared" ca="1" si="80"/>
        <v>38</v>
      </c>
      <c r="R1049">
        <f t="shared" si="81"/>
        <v>16</v>
      </c>
      <c r="S1049">
        <f t="shared" ca="1" si="82"/>
        <v>-8</v>
      </c>
      <c r="T1049" t="str">
        <f t="shared" ca="1" si="83"/>
        <v>On Track</v>
      </c>
      <c r="U1049" t="str">
        <f t="shared" ca="1" si="84"/>
        <v>Normal</v>
      </c>
      <c r="V1049" t="s">
        <v>33</v>
      </c>
    </row>
    <row r="1050" spans="1:22">
      <c r="A1050" t="s">
        <v>2845</v>
      </c>
      <c r="B1050" t="s">
        <v>73</v>
      </c>
      <c r="C1050" t="s">
        <v>2846</v>
      </c>
      <c r="D1050" s="16">
        <v>4732.4399999999996</v>
      </c>
      <c r="E1050" t="s">
        <v>55</v>
      </c>
      <c r="F1050" t="s">
        <v>38</v>
      </c>
      <c r="H1050" t="s">
        <v>56</v>
      </c>
      <c r="I1050" t="s">
        <v>29</v>
      </c>
      <c r="J1050" s="13">
        <v>46167</v>
      </c>
      <c r="K1050" s="17" t="s">
        <v>40</v>
      </c>
      <c r="L1050" s="13">
        <v>46197</v>
      </c>
      <c r="M1050" t="s">
        <v>99</v>
      </c>
      <c r="N1050" t="s">
        <v>50</v>
      </c>
      <c r="O1050" s="13">
        <v>46175</v>
      </c>
      <c r="Q1050">
        <f t="shared" ca="1" si="80"/>
        <v>22</v>
      </c>
      <c r="R1050">
        <f t="shared" si="81"/>
        <v>8</v>
      </c>
      <c r="S1050">
        <f t="shared" ca="1" si="82"/>
        <v>8</v>
      </c>
      <c r="T1050" t="str">
        <f t="shared" ca="1" si="83"/>
        <v>On Track</v>
      </c>
      <c r="U1050" t="str">
        <f t="shared" ca="1" si="84"/>
        <v>Normal</v>
      </c>
      <c r="V1050" t="s">
        <v>51</v>
      </c>
    </row>
    <row r="1051" spans="1:22">
      <c r="A1051" t="s">
        <v>2847</v>
      </c>
      <c r="B1051" t="s">
        <v>53</v>
      </c>
      <c r="C1051" t="s">
        <v>2848</v>
      </c>
      <c r="D1051" s="16">
        <v>1660.42</v>
      </c>
      <c r="E1051" t="s">
        <v>142</v>
      </c>
      <c r="F1051" t="s">
        <v>26</v>
      </c>
      <c r="G1051" t="s">
        <v>2849</v>
      </c>
      <c r="H1051" t="s">
        <v>335</v>
      </c>
      <c r="I1051" t="s">
        <v>29</v>
      </c>
      <c r="J1051" s="13">
        <v>46185</v>
      </c>
      <c r="K1051" s="17" t="s">
        <v>49</v>
      </c>
      <c r="L1051" s="13">
        <v>46230</v>
      </c>
      <c r="M1051" t="s">
        <v>65</v>
      </c>
      <c r="N1051" t="s">
        <v>32</v>
      </c>
      <c r="Q1051">
        <f t="shared" ca="1" si="80"/>
        <v>4</v>
      </c>
      <c r="R1051" t="str">
        <f t="shared" si="81"/>
        <v/>
      </c>
      <c r="S1051">
        <f t="shared" ca="1" si="82"/>
        <v>41</v>
      </c>
      <c r="T1051" t="str">
        <f t="shared" ca="1" si="83"/>
        <v>On Track</v>
      </c>
      <c r="U1051" t="str">
        <f t="shared" ca="1" si="84"/>
        <v>Normal</v>
      </c>
    </row>
    <row r="1052" spans="1:22">
      <c r="A1052" t="s">
        <v>2850</v>
      </c>
      <c r="B1052" t="s">
        <v>208</v>
      </c>
      <c r="C1052" t="s">
        <v>2851</v>
      </c>
      <c r="D1052" s="16">
        <v>4637.2700000000004</v>
      </c>
      <c r="E1052" t="s">
        <v>62</v>
      </c>
      <c r="F1052" t="s">
        <v>38</v>
      </c>
      <c r="H1052" t="s">
        <v>64</v>
      </c>
      <c r="I1052" t="s">
        <v>29</v>
      </c>
      <c r="J1052" s="13">
        <v>46164</v>
      </c>
      <c r="K1052" s="17" t="s">
        <v>30</v>
      </c>
      <c r="L1052" s="13">
        <v>46179</v>
      </c>
      <c r="M1052" t="s">
        <v>31</v>
      </c>
      <c r="N1052" t="s">
        <v>32</v>
      </c>
      <c r="O1052" s="13">
        <v>46168</v>
      </c>
      <c r="P1052" s="13">
        <v>46170</v>
      </c>
      <c r="Q1052">
        <f t="shared" ca="1" si="80"/>
        <v>25</v>
      </c>
      <c r="R1052">
        <f t="shared" si="81"/>
        <v>4</v>
      </c>
      <c r="S1052">
        <f t="shared" ca="1" si="82"/>
        <v>-10</v>
      </c>
      <c r="T1052" t="str">
        <f t="shared" ca="1" si="83"/>
        <v>On Track</v>
      </c>
      <c r="U1052" t="str">
        <f t="shared" ca="1" si="84"/>
        <v>Normal</v>
      </c>
      <c r="V1052" t="s">
        <v>33</v>
      </c>
    </row>
    <row r="1053" spans="1:22">
      <c r="A1053" t="s">
        <v>2852</v>
      </c>
      <c r="B1053" t="s">
        <v>251</v>
      </c>
      <c r="C1053" t="s">
        <v>2853</v>
      </c>
      <c r="D1053" s="16">
        <v>3900.83</v>
      </c>
      <c r="E1053" t="s">
        <v>302</v>
      </c>
      <c r="F1053" t="s">
        <v>38</v>
      </c>
      <c r="H1053" t="s">
        <v>304</v>
      </c>
      <c r="I1053" t="s">
        <v>29</v>
      </c>
      <c r="J1053" s="13">
        <v>46186</v>
      </c>
      <c r="K1053" s="17" t="s">
        <v>49</v>
      </c>
      <c r="L1053" s="13">
        <v>46231</v>
      </c>
      <c r="M1053" t="s">
        <v>41</v>
      </c>
      <c r="N1053" t="s">
        <v>32</v>
      </c>
      <c r="Q1053">
        <f t="shared" ca="1" si="80"/>
        <v>3</v>
      </c>
      <c r="R1053" t="str">
        <f t="shared" si="81"/>
        <v/>
      </c>
      <c r="S1053">
        <f t="shared" ca="1" si="82"/>
        <v>42</v>
      </c>
      <c r="T1053" t="str">
        <f t="shared" ca="1" si="83"/>
        <v>On Track</v>
      </c>
      <c r="U1053" t="str">
        <f t="shared" ca="1" si="84"/>
        <v>Normal</v>
      </c>
      <c r="V1053" t="s">
        <v>42</v>
      </c>
    </row>
    <row r="1054" spans="1:22">
      <c r="A1054" t="s">
        <v>2854</v>
      </c>
      <c r="B1054" t="s">
        <v>222</v>
      </c>
      <c r="C1054" t="s">
        <v>2855</v>
      </c>
      <c r="D1054" s="16">
        <v>18039.02</v>
      </c>
      <c r="E1054" t="s">
        <v>69</v>
      </c>
      <c r="F1054" t="s">
        <v>26</v>
      </c>
      <c r="G1054" t="s">
        <v>2856</v>
      </c>
      <c r="H1054" t="s">
        <v>178</v>
      </c>
      <c r="I1054" t="s">
        <v>92</v>
      </c>
      <c r="J1054" s="13">
        <v>46154</v>
      </c>
      <c r="K1054" s="17" t="s">
        <v>30</v>
      </c>
      <c r="L1054" s="13">
        <v>46169</v>
      </c>
      <c r="M1054" t="s">
        <v>31</v>
      </c>
      <c r="N1054" t="s">
        <v>32</v>
      </c>
      <c r="O1054" s="13">
        <v>46159</v>
      </c>
      <c r="P1054" s="13">
        <v>46174</v>
      </c>
      <c r="Q1054">
        <f t="shared" ca="1" si="80"/>
        <v>35</v>
      </c>
      <c r="R1054">
        <f t="shared" si="81"/>
        <v>5</v>
      </c>
      <c r="S1054">
        <f t="shared" ca="1" si="82"/>
        <v>-20</v>
      </c>
      <c r="T1054" t="str">
        <f t="shared" ca="1" si="83"/>
        <v>On Track</v>
      </c>
      <c r="U1054" t="str">
        <f t="shared" ca="1" si="84"/>
        <v>Normal</v>
      </c>
      <c r="V1054" t="s">
        <v>107</v>
      </c>
    </row>
    <row r="1055" spans="1:22">
      <c r="A1055" t="s">
        <v>2857</v>
      </c>
      <c r="B1055" t="s">
        <v>44</v>
      </c>
      <c r="C1055" t="s">
        <v>2858</v>
      </c>
      <c r="D1055" s="16">
        <v>3813.87</v>
      </c>
      <c r="E1055" t="s">
        <v>37</v>
      </c>
      <c r="F1055" t="s">
        <v>26</v>
      </c>
      <c r="G1055" t="s">
        <v>2859</v>
      </c>
      <c r="H1055" t="s">
        <v>39</v>
      </c>
      <c r="I1055" t="s">
        <v>29</v>
      </c>
      <c r="J1055" s="13">
        <v>46174</v>
      </c>
      <c r="K1055" s="17" t="s">
        <v>30</v>
      </c>
      <c r="L1055" s="13">
        <v>46189</v>
      </c>
      <c r="M1055" t="s">
        <v>65</v>
      </c>
      <c r="N1055" t="s">
        <v>32</v>
      </c>
      <c r="Q1055">
        <f t="shared" ca="1" si="80"/>
        <v>15</v>
      </c>
      <c r="R1055" t="str">
        <f t="shared" si="81"/>
        <v/>
      </c>
      <c r="S1055">
        <f t="shared" ca="1" si="82"/>
        <v>0</v>
      </c>
      <c r="T1055" t="str">
        <f t="shared" ca="1" si="83"/>
        <v>On Track</v>
      </c>
      <c r="U1055" t="str">
        <f t="shared" ca="1" si="84"/>
        <v>At Risk</v>
      </c>
    </row>
    <row r="1056" spans="1:22">
      <c r="A1056" t="s">
        <v>2860</v>
      </c>
      <c r="B1056" t="s">
        <v>67</v>
      </c>
      <c r="C1056" t="s">
        <v>2861</v>
      </c>
      <c r="D1056" s="16">
        <v>19089.189999999999</v>
      </c>
      <c r="E1056" t="s">
        <v>55</v>
      </c>
      <c r="F1056" t="s">
        <v>26</v>
      </c>
      <c r="G1056" t="s">
        <v>2862</v>
      </c>
      <c r="H1056" t="s">
        <v>579</v>
      </c>
      <c r="I1056" t="s">
        <v>92</v>
      </c>
      <c r="J1056" s="13">
        <v>46144</v>
      </c>
      <c r="K1056" s="17" t="s">
        <v>49</v>
      </c>
      <c r="L1056" s="13">
        <v>46189</v>
      </c>
      <c r="M1056" t="s">
        <v>84</v>
      </c>
      <c r="N1056" t="s">
        <v>179</v>
      </c>
      <c r="O1056" s="13">
        <v>46147</v>
      </c>
      <c r="Q1056">
        <f t="shared" ca="1" si="80"/>
        <v>45</v>
      </c>
      <c r="R1056">
        <f t="shared" si="81"/>
        <v>3</v>
      </c>
      <c r="S1056">
        <f t="shared" ca="1" si="82"/>
        <v>0</v>
      </c>
      <c r="T1056" t="str">
        <f t="shared" ca="1" si="83"/>
        <v>On Track</v>
      </c>
      <c r="U1056" t="str">
        <f t="shared" ca="1" si="84"/>
        <v>At Risk</v>
      </c>
      <c r="V1056" t="s">
        <v>180</v>
      </c>
    </row>
    <row r="1057" spans="1:22">
      <c r="A1057" t="s">
        <v>2863</v>
      </c>
      <c r="B1057" t="s">
        <v>124</v>
      </c>
      <c r="C1057" t="s">
        <v>2864</v>
      </c>
      <c r="D1057" s="16">
        <v>15466.18</v>
      </c>
      <c r="E1057" t="s">
        <v>55</v>
      </c>
      <c r="F1057" t="s">
        <v>26</v>
      </c>
      <c r="G1057" t="s">
        <v>2865</v>
      </c>
      <c r="H1057" t="s">
        <v>579</v>
      </c>
      <c r="I1057" t="s">
        <v>92</v>
      </c>
      <c r="J1057" s="13">
        <v>46184</v>
      </c>
      <c r="K1057" s="17" t="s">
        <v>30</v>
      </c>
      <c r="L1057" s="13">
        <v>46199</v>
      </c>
      <c r="M1057" t="s">
        <v>145</v>
      </c>
      <c r="N1057" t="s">
        <v>32</v>
      </c>
      <c r="O1057" s="13">
        <v>46189</v>
      </c>
      <c r="Q1057">
        <f t="shared" ca="1" si="80"/>
        <v>5</v>
      </c>
      <c r="R1057">
        <f t="shared" si="81"/>
        <v>5</v>
      </c>
      <c r="S1057">
        <f t="shared" ca="1" si="82"/>
        <v>10</v>
      </c>
      <c r="T1057" t="str">
        <f t="shared" ca="1" si="83"/>
        <v>On Track</v>
      </c>
      <c r="U1057" t="str">
        <f t="shared" ca="1" si="84"/>
        <v>Normal</v>
      </c>
    </row>
    <row r="1058" spans="1:22">
      <c r="A1058" t="s">
        <v>2866</v>
      </c>
      <c r="B1058" t="s">
        <v>222</v>
      </c>
      <c r="C1058" t="s">
        <v>2867</v>
      </c>
      <c r="D1058" s="16">
        <v>1913.4</v>
      </c>
      <c r="E1058" t="s">
        <v>142</v>
      </c>
      <c r="F1058" t="s">
        <v>38</v>
      </c>
      <c r="H1058" t="s">
        <v>335</v>
      </c>
      <c r="I1058" t="s">
        <v>29</v>
      </c>
      <c r="J1058" s="13">
        <v>46189</v>
      </c>
      <c r="K1058" s="17" t="s">
        <v>30</v>
      </c>
      <c r="L1058" s="13">
        <v>46204</v>
      </c>
      <c r="M1058" t="s">
        <v>41</v>
      </c>
      <c r="N1058" t="s">
        <v>32</v>
      </c>
      <c r="Q1058">
        <f t="shared" ca="1" si="80"/>
        <v>0</v>
      </c>
      <c r="R1058" t="str">
        <f t="shared" si="81"/>
        <v/>
      </c>
      <c r="S1058">
        <f t="shared" ca="1" si="82"/>
        <v>15</v>
      </c>
      <c r="T1058" t="str">
        <f t="shared" ca="1" si="83"/>
        <v>On Track</v>
      </c>
      <c r="U1058" t="str">
        <f t="shared" ca="1" si="84"/>
        <v>Normal</v>
      </c>
      <c r="V1058" t="s">
        <v>42</v>
      </c>
    </row>
    <row r="1059" spans="1:22">
      <c r="A1059" t="s">
        <v>2868</v>
      </c>
      <c r="B1059" t="s">
        <v>222</v>
      </c>
      <c r="C1059" t="s">
        <v>2869</v>
      </c>
      <c r="D1059" s="16">
        <v>3631.49</v>
      </c>
      <c r="E1059" t="s">
        <v>126</v>
      </c>
      <c r="F1059" t="s">
        <v>38</v>
      </c>
      <c r="H1059" t="s">
        <v>241</v>
      </c>
      <c r="I1059" t="s">
        <v>29</v>
      </c>
      <c r="J1059" s="13">
        <v>46162</v>
      </c>
      <c r="K1059" s="17" t="s">
        <v>30</v>
      </c>
      <c r="L1059" s="13">
        <v>46177</v>
      </c>
      <c r="M1059" t="s">
        <v>31</v>
      </c>
      <c r="N1059" t="s">
        <v>32</v>
      </c>
      <c r="O1059" s="13">
        <v>46172</v>
      </c>
      <c r="P1059" s="13">
        <v>46176</v>
      </c>
      <c r="Q1059">
        <f t="shared" ca="1" si="80"/>
        <v>27</v>
      </c>
      <c r="R1059">
        <f t="shared" si="81"/>
        <v>10</v>
      </c>
      <c r="S1059">
        <f t="shared" ca="1" si="82"/>
        <v>-12</v>
      </c>
      <c r="T1059" t="str">
        <f t="shared" ca="1" si="83"/>
        <v>On Track</v>
      </c>
      <c r="U1059" t="str">
        <f t="shared" ca="1" si="84"/>
        <v>Normal</v>
      </c>
      <c r="V1059" t="s">
        <v>33</v>
      </c>
    </row>
    <row r="1060" spans="1:22">
      <c r="A1060" t="s">
        <v>2870</v>
      </c>
      <c r="B1060" t="s">
        <v>115</v>
      </c>
      <c r="C1060" t="s">
        <v>2871</v>
      </c>
      <c r="D1060" s="16">
        <v>4743.78</v>
      </c>
      <c r="E1060" t="s">
        <v>78</v>
      </c>
      <c r="F1060" t="s">
        <v>26</v>
      </c>
      <c r="G1060" t="s">
        <v>2872</v>
      </c>
      <c r="H1060" t="s">
        <v>80</v>
      </c>
      <c r="I1060" t="s">
        <v>29</v>
      </c>
      <c r="J1060" s="13">
        <v>46152</v>
      </c>
      <c r="K1060" s="17" t="s">
        <v>49</v>
      </c>
      <c r="L1060" s="13">
        <v>46197</v>
      </c>
      <c r="M1060" t="s">
        <v>31</v>
      </c>
      <c r="N1060" t="s">
        <v>32</v>
      </c>
      <c r="O1060" s="13">
        <v>46155</v>
      </c>
      <c r="P1060" s="13">
        <v>46162</v>
      </c>
      <c r="Q1060">
        <f t="shared" ca="1" si="80"/>
        <v>37</v>
      </c>
      <c r="R1060">
        <f t="shared" si="81"/>
        <v>3</v>
      </c>
      <c r="S1060">
        <f t="shared" ca="1" si="82"/>
        <v>8</v>
      </c>
      <c r="T1060" t="str">
        <f t="shared" ca="1" si="83"/>
        <v>On Track</v>
      </c>
      <c r="U1060" t="str">
        <f t="shared" ca="1" si="84"/>
        <v>Normal</v>
      </c>
      <c r="V1060" t="s">
        <v>33</v>
      </c>
    </row>
    <row r="1061" spans="1:22">
      <c r="A1061" t="s">
        <v>2873</v>
      </c>
      <c r="B1061" t="s">
        <v>76</v>
      </c>
      <c r="C1061" t="s">
        <v>2874</v>
      </c>
      <c r="D1061" s="16">
        <v>3863.59</v>
      </c>
      <c r="E1061" t="s">
        <v>55</v>
      </c>
      <c r="F1061" t="s">
        <v>38</v>
      </c>
      <c r="H1061" t="s">
        <v>56</v>
      </c>
      <c r="I1061" t="s">
        <v>29</v>
      </c>
      <c r="J1061" s="13">
        <v>46144</v>
      </c>
      <c r="K1061" s="17" t="s">
        <v>57</v>
      </c>
      <c r="L1061" s="13">
        <v>46174</v>
      </c>
      <c r="M1061" t="s">
        <v>31</v>
      </c>
      <c r="N1061" t="s">
        <v>32</v>
      </c>
      <c r="O1061" s="13">
        <v>46150</v>
      </c>
      <c r="P1061" s="13">
        <v>46151</v>
      </c>
      <c r="Q1061">
        <f t="shared" ca="1" si="80"/>
        <v>45</v>
      </c>
      <c r="R1061">
        <f t="shared" si="81"/>
        <v>6</v>
      </c>
      <c r="S1061">
        <f t="shared" ca="1" si="82"/>
        <v>-15</v>
      </c>
      <c r="T1061" t="str">
        <f t="shared" ca="1" si="83"/>
        <v>On Track</v>
      </c>
      <c r="U1061" t="str">
        <f t="shared" ca="1" si="84"/>
        <v>Normal</v>
      </c>
      <c r="V1061" t="s">
        <v>33</v>
      </c>
    </row>
    <row r="1062" spans="1:22">
      <c r="A1062" t="s">
        <v>2875</v>
      </c>
      <c r="B1062" t="s">
        <v>251</v>
      </c>
      <c r="C1062" t="s">
        <v>2876</v>
      </c>
      <c r="D1062" s="16">
        <v>8661.09</v>
      </c>
      <c r="E1062" t="s">
        <v>62</v>
      </c>
      <c r="F1062" t="s">
        <v>38</v>
      </c>
      <c r="H1062" t="s">
        <v>106</v>
      </c>
      <c r="I1062" t="s">
        <v>92</v>
      </c>
      <c r="J1062" s="13">
        <v>46180</v>
      </c>
      <c r="K1062" s="17" t="s">
        <v>40</v>
      </c>
      <c r="L1062" s="13">
        <v>46210</v>
      </c>
      <c r="M1062" t="s">
        <v>99</v>
      </c>
      <c r="N1062" t="s">
        <v>32</v>
      </c>
      <c r="O1062" s="13">
        <v>46189</v>
      </c>
      <c r="Q1062">
        <f t="shared" ca="1" si="80"/>
        <v>9</v>
      </c>
      <c r="R1062">
        <f t="shared" si="81"/>
        <v>9</v>
      </c>
      <c r="S1062">
        <f t="shared" ca="1" si="82"/>
        <v>21</v>
      </c>
      <c r="T1062" t="str">
        <f t="shared" ca="1" si="83"/>
        <v>On Track</v>
      </c>
      <c r="U1062" t="str">
        <f t="shared" ca="1" si="84"/>
        <v>Normal</v>
      </c>
    </row>
    <row r="1063" spans="1:22">
      <c r="A1063" t="s">
        <v>2877</v>
      </c>
      <c r="B1063" t="s">
        <v>35</v>
      </c>
      <c r="C1063" t="s">
        <v>2878</v>
      </c>
      <c r="D1063" s="16">
        <v>4311</v>
      </c>
      <c r="E1063" t="s">
        <v>142</v>
      </c>
      <c r="F1063" t="s">
        <v>26</v>
      </c>
      <c r="G1063" t="s">
        <v>2879</v>
      </c>
      <c r="H1063" t="s">
        <v>335</v>
      </c>
      <c r="I1063" t="s">
        <v>29</v>
      </c>
      <c r="J1063" s="13">
        <v>46175</v>
      </c>
      <c r="K1063" s="17" t="s">
        <v>40</v>
      </c>
      <c r="L1063" s="13">
        <v>46205</v>
      </c>
      <c r="M1063" t="s">
        <v>41</v>
      </c>
      <c r="N1063" t="s">
        <v>32</v>
      </c>
      <c r="Q1063">
        <f t="shared" ca="1" si="80"/>
        <v>14</v>
      </c>
      <c r="R1063" t="str">
        <f t="shared" si="81"/>
        <v/>
      </c>
      <c r="S1063">
        <f t="shared" ca="1" si="82"/>
        <v>16</v>
      </c>
      <c r="T1063" t="str">
        <f t="shared" ca="1" si="83"/>
        <v>Overdue</v>
      </c>
      <c r="U1063" t="str">
        <f t="shared" ca="1" si="84"/>
        <v>Normal</v>
      </c>
      <c r="V1063" t="s">
        <v>42</v>
      </c>
    </row>
    <row r="1064" spans="1:22">
      <c r="A1064" t="s">
        <v>2880</v>
      </c>
      <c r="B1064" t="s">
        <v>137</v>
      </c>
      <c r="C1064" t="s">
        <v>2881</v>
      </c>
      <c r="D1064" s="16">
        <v>365.63</v>
      </c>
      <c r="E1064" t="s">
        <v>142</v>
      </c>
      <c r="F1064" t="s">
        <v>26</v>
      </c>
      <c r="G1064" t="s">
        <v>2882</v>
      </c>
      <c r="H1064" t="s">
        <v>335</v>
      </c>
      <c r="I1064" t="s">
        <v>29</v>
      </c>
      <c r="J1064" s="13">
        <v>46158</v>
      </c>
      <c r="K1064" s="17" t="s">
        <v>40</v>
      </c>
      <c r="L1064" s="13">
        <v>46188</v>
      </c>
      <c r="M1064" t="s">
        <v>31</v>
      </c>
      <c r="N1064" t="s">
        <v>50</v>
      </c>
      <c r="O1064" s="13">
        <v>46167</v>
      </c>
      <c r="P1064" s="13">
        <v>46169</v>
      </c>
      <c r="Q1064">
        <f t="shared" ca="1" si="80"/>
        <v>31</v>
      </c>
      <c r="R1064">
        <f t="shared" si="81"/>
        <v>9</v>
      </c>
      <c r="S1064">
        <f t="shared" ca="1" si="82"/>
        <v>-1</v>
      </c>
      <c r="T1064" t="str">
        <f t="shared" ca="1" si="83"/>
        <v>On Track</v>
      </c>
      <c r="U1064" t="str">
        <f t="shared" ca="1" si="84"/>
        <v>Normal</v>
      </c>
      <c r="V1064" t="s">
        <v>51</v>
      </c>
    </row>
    <row r="1065" spans="1:22">
      <c r="A1065" t="s">
        <v>2883</v>
      </c>
      <c r="B1065" t="s">
        <v>151</v>
      </c>
      <c r="C1065" t="s">
        <v>2884</v>
      </c>
      <c r="D1065" s="16">
        <v>4728.62</v>
      </c>
      <c r="E1065" t="s">
        <v>62</v>
      </c>
      <c r="F1065" t="s">
        <v>26</v>
      </c>
      <c r="G1065" t="s">
        <v>2885</v>
      </c>
      <c r="H1065" t="s">
        <v>64</v>
      </c>
      <c r="I1065" t="s">
        <v>29</v>
      </c>
      <c r="J1065" s="13">
        <v>46176</v>
      </c>
      <c r="K1065" s="17" t="s">
        <v>57</v>
      </c>
      <c r="L1065" s="13">
        <v>46206</v>
      </c>
      <c r="M1065" t="s">
        <v>31</v>
      </c>
      <c r="N1065" t="s">
        <v>32</v>
      </c>
      <c r="O1065" s="13">
        <v>46181</v>
      </c>
      <c r="P1065" s="13">
        <v>46187</v>
      </c>
      <c r="Q1065">
        <f t="shared" ca="1" si="80"/>
        <v>13</v>
      </c>
      <c r="R1065">
        <f t="shared" si="81"/>
        <v>5</v>
      </c>
      <c r="S1065">
        <f t="shared" ca="1" si="82"/>
        <v>17</v>
      </c>
      <c r="T1065" t="str">
        <f t="shared" ca="1" si="83"/>
        <v>On Track</v>
      </c>
      <c r="U1065" t="str">
        <f t="shared" ca="1" si="84"/>
        <v>Normal</v>
      </c>
      <c r="V1065" t="s">
        <v>33</v>
      </c>
    </row>
    <row r="1066" spans="1:22">
      <c r="A1066" t="s">
        <v>2886</v>
      </c>
      <c r="B1066" t="s">
        <v>94</v>
      </c>
      <c r="C1066" t="s">
        <v>2887</v>
      </c>
      <c r="D1066" s="16">
        <v>11901.76</v>
      </c>
      <c r="E1066" t="s">
        <v>126</v>
      </c>
      <c r="F1066" t="s">
        <v>38</v>
      </c>
      <c r="H1066" t="s">
        <v>127</v>
      </c>
      <c r="I1066" t="s">
        <v>92</v>
      </c>
      <c r="J1066" s="13">
        <v>46153</v>
      </c>
      <c r="K1066" s="17" t="s">
        <v>30</v>
      </c>
      <c r="L1066" s="13">
        <v>46168</v>
      </c>
      <c r="M1066" t="s">
        <v>65</v>
      </c>
      <c r="N1066" t="s">
        <v>58</v>
      </c>
      <c r="Q1066">
        <f t="shared" ca="1" si="80"/>
        <v>36</v>
      </c>
      <c r="R1066" t="str">
        <f t="shared" si="81"/>
        <v/>
      </c>
      <c r="S1066">
        <f t="shared" ca="1" si="82"/>
        <v>-21</v>
      </c>
      <c r="T1066" t="str">
        <f t="shared" ca="1" si="83"/>
        <v>On Track</v>
      </c>
      <c r="U1066" t="str">
        <f t="shared" ca="1" si="84"/>
        <v>At Risk</v>
      </c>
      <c r="V1066" t="s">
        <v>59</v>
      </c>
    </row>
    <row r="1067" spans="1:22">
      <c r="A1067" t="s">
        <v>2888</v>
      </c>
      <c r="B1067" t="s">
        <v>271</v>
      </c>
      <c r="C1067" t="s">
        <v>2889</v>
      </c>
      <c r="D1067" s="16">
        <v>3345.81</v>
      </c>
      <c r="E1067" t="s">
        <v>142</v>
      </c>
      <c r="F1067" t="s">
        <v>38</v>
      </c>
      <c r="H1067" t="s">
        <v>335</v>
      </c>
      <c r="I1067" t="s">
        <v>29</v>
      </c>
      <c r="J1067" s="13">
        <v>46183</v>
      </c>
      <c r="K1067" s="17" t="s">
        <v>57</v>
      </c>
      <c r="L1067" s="13">
        <v>46213</v>
      </c>
      <c r="M1067" t="s">
        <v>41</v>
      </c>
      <c r="N1067" t="s">
        <v>50</v>
      </c>
      <c r="Q1067">
        <f t="shared" ca="1" si="80"/>
        <v>6</v>
      </c>
      <c r="R1067" t="str">
        <f t="shared" si="81"/>
        <v/>
      </c>
      <c r="S1067">
        <f t="shared" ca="1" si="82"/>
        <v>24</v>
      </c>
      <c r="T1067" t="str">
        <f t="shared" ca="1" si="83"/>
        <v>Overdue</v>
      </c>
      <c r="U1067" t="str">
        <f t="shared" ca="1" si="84"/>
        <v>Normal</v>
      </c>
      <c r="V1067" t="s">
        <v>51</v>
      </c>
    </row>
    <row r="1068" spans="1:22">
      <c r="A1068" t="s">
        <v>2890</v>
      </c>
      <c r="B1068" t="s">
        <v>208</v>
      </c>
      <c r="C1068" t="s">
        <v>2891</v>
      </c>
      <c r="D1068" s="16">
        <v>2623.96</v>
      </c>
      <c r="E1068" t="s">
        <v>156</v>
      </c>
      <c r="F1068" t="s">
        <v>26</v>
      </c>
      <c r="G1068" t="s">
        <v>2892</v>
      </c>
      <c r="H1068" t="s">
        <v>157</v>
      </c>
      <c r="I1068" t="s">
        <v>29</v>
      </c>
      <c r="J1068" s="13">
        <v>46173</v>
      </c>
      <c r="K1068" s="17" t="s">
        <v>49</v>
      </c>
      <c r="L1068" s="13">
        <v>46218</v>
      </c>
      <c r="M1068" t="s">
        <v>31</v>
      </c>
      <c r="N1068" t="s">
        <v>32</v>
      </c>
      <c r="O1068" s="13">
        <v>46178</v>
      </c>
      <c r="P1068" s="13">
        <v>46181</v>
      </c>
      <c r="Q1068">
        <f t="shared" ca="1" si="80"/>
        <v>16</v>
      </c>
      <c r="R1068">
        <f t="shared" si="81"/>
        <v>5</v>
      </c>
      <c r="S1068">
        <f t="shared" ca="1" si="82"/>
        <v>29</v>
      </c>
      <c r="T1068" t="str">
        <f t="shared" ca="1" si="83"/>
        <v>On Track</v>
      </c>
      <c r="U1068" t="str">
        <f t="shared" ca="1" si="84"/>
        <v>Normal</v>
      </c>
      <c r="V1068" t="s">
        <v>33</v>
      </c>
    </row>
    <row r="1069" spans="1:22">
      <c r="A1069" t="s">
        <v>2893</v>
      </c>
      <c r="B1069" t="s">
        <v>67</v>
      </c>
      <c r="C1069" t="s">
        <v>2894</v>
      </c>
      <c r="D1069" s="16">
        <v>4449.8900000000003</v>
      </c>
      <c r="E1069" t="s">
        <v>111</v>
      </c>
      <c r="F1069" t="s">
        <v>38</v>
      </c>
      <c r="H1069" t="s">
        <v>113</v>
      </c>
      <c r="I1069" t="s">
        <v>29</v>
      </c>
      <c r="J1069" s="13">
        <v>46148</v>
      </c>
      <c r="K1069" s="17" t="s">
        <v>30</v>
      </c>
      <c r="L1069" s="13">
        <v>46163</v>
      </c>
      <c r="M1069" t="s">
        <v>99</v>
      </c>
      <c r="N1069" t="s">
        <v>58</v>
      </c>
      <c r="O1069" s="13">
        <v>46159</v>
      </c>
      <c r="Q1069">
        <f t="shared" ca="1" si="80"/>
        <v>41</v>
      </c>
      <c r="R1069">
        <f t="shared" si="81"/>
        <v>11</v>
      </c>
      <c r="S1069">
        <f t="shared" ca="1" si="82"/>
        <v>-26</v>
      </c>
      <c r="T1069" t="str">
        <f t="shared" ca="1" si="83"/>
        <v>On Track</v>
      </c>
      <c r="U1069" t="str">
        <f t="shared" ca="1" si="84"/>
        <v>At Risk</v>
      </c>
      <c r="V1069" t="s">
        <v>59</v>
      </c>
    </row>
    <row r="1070" spans="1:22">
      <c r="A1070" t="s">
        <v>2895</v>
      </c>
      <c r="B1070" t="s">
        <v>129</v>
      </c>
      <c r="C1070" t="s">
        <v>2896</v>
      </c>
      <c r="D1070" s="16">
        <v>17598.650000000001</v>
      </c>
      <c r="E1070" t="s">
        <v>55</v>
      </c>
      <c r="F1070" t="s">
        <v>26</v>
      </c>
      <c r="G1070" t="s">
        <v>2897</v>
      </c>
      <c r="H1070" t="s">
        <v>579</v>
      </c>
      <c r="I1070" t="s">
        <v>92</v>
      </c>
      <c r="J1070" s="13">
        <v>46159</v>
      </c>
      <c r="K1070" s="17" t="s">
        <v>49</v>
      </c>
      <c r="L1070" s="13">
        <v>46204</v>
      </c>
      <c r="M1070" t="s">
        <v>31</v>
      </c>
      <c r="N1070" t="s">
        <v>32</v>
      </c>
      <c r="O1070" s="13">
        <v>46164</v>
      </c>
      <c r="P1070" s="13">
        <v>46168</v>
      </c>
      <c r="Q1070">
        <f t="shared" ca="1" si="80"/>
        <v>30</v>
      </c>
      <c r="R1070">
        <f t="shared" si="81"/>
        <v>5</v>
      </c>
      <c r="S1070">
        <f t="shared" ca="1" si="82"/>
        <v>15</v>
      </c>
      <c r="T1070" t="str">
        <f t="shared" ca="1" si="83"/>
        <v>On Track</v>
      </c>
      <c r="U1070" t="str">
        <f t="shared" ca="1" si="84"/>
        <v>Normal</v>
      </c>
      <c r="V1070" t="s">
        <v>33</v>
      </c>
    </row>
    <row r="1071" spans="1:22">
      <c r="A1071" t="s">
        <v>2898</v>
      </c>
      <c r="B1071" t="s">
        <v>76</v>
      </c>
      <c r="C1071" t="s">
        <v>2899</v>
      </c>
      <c r="D1071" s="16">
        <v>3309.04</v>
      </c>
      <c r="E1071" t="s">
        <v>69</v>
      </c>
      <c r="F1071" t="s">
        <v>26</v>
      </c>
      <c r="G1071" t="s">
        <v>2900</v>
      </c>
      <c r="H1071" t="s">
        <v>71</v>
      </c>
      <c r="I1071" t="s">
        <v>29</v>
      </c>
      <c r="J1071" s="13">
        <v>46187</v>
      </c>
      <c r="K1071" s="17" t="s">
        <v>49</v>
      </c>
      <c r="L1071" s="13">
        <v>46232</v>
      </c>
      <c r="M1071" t="s">
        <v>65</v>
      </c>
      <c r="N1071" t="s">
        <v>32</v>
      </c>
      <c r="Q1071">
        <f t="shared" ca="1" si="80"/>
        <v>2</v>
      </c>
      <c r="R1071" t="str">
        <f t="shared" si="81"/>
        <v/>
      </c>
      <c r="S1071">
        <f t="shared" ca="1" si="82"/>
        <v>43</v>
      </c>
      <c r="T1071" t="str">
        <f t="shared" ca="1" si="83"/>
        <v>On Track</v>
      </c>
      <c r="U1071" t="str">
        <f t="shared" ca="1" si="84"/>
        <v>Normal</v>
      </c>
    </row>
    <row r="1072" spans="1:22">
      <c r="A1072" t="s">
        <v>2901</v>
      </c>
      <c r="B1072" t="s">
        <v>53</v>
      </c>
      <c r="C1072" t="s">
        <v>2902</v>
      </c>
      <c r="D1072" s="16">
        <v>1306.42</v>
      </c>
      <c r="E1072" t="s">
        <v>111</v>
      </c>
      <c r="F1072" t="s">
        <v>26</v>
      </c>
      <c r="G1072" t="s">
        <v>2903</v>
      </c>
      <c r="H1072" t="s">
        <v>113</v>
      </c>
      <c r="I1072" t="s">
        <v>29</v>
      </c>
      <c r="J1072" s="13">
        <v>46151</v>
      </c>
      <c r="K1072" s="17" t="s">
        <v>40</v>
      </c>
      <c r="L1072" s="13">
        <v>46181</v>
      </c>
      <c r="M1072" t="s">
        <v>145</v>
      </c>
      <c r="N1072" t="s">
        <v>32</v>
      </c>
      <c r="O1072" s="13">
        <v>46157</v>
      </c>
      <c r="Q1072">
        <f t="shared" ca="1" si="80"/>
        <v>38</v>
      </c>
      <c r="R1072">
        <f t="shared" si="81"/>
        <v>6</v>
      </c>
      <c r="S1072">
        <f t="shared" ca="1" si="82"/>
        <v>-8</v>
      </c>
      <c r="T1072" t="str">
        <f t="shared" ca="1" si="83"/>
        <v>On Track</v>
      </c>
      <c r="U1072" t="str">
        <f t="shared" ca="1" si="84"/>
        <v>At Risk</v>
      </c>
    </row>
    <row r="1073" spans="1:22">
      <c r="A1073" t="s">
        <v>2904</v>
      </c>
      <c r="B1073" t="s">
        <v>208</v>
      </c>
      <c r="C1073" t="s">
        <v>2905</v>
      </c>
      <c r="D1073" s="16">
        <v>2372.69</v>
      </c>
      <c r="E1073" t="s">
        <v>156</v>
      </c>
      <c r="F1073" t="s">
        <v>26</v>
      </c>
      <c r="G1073" t="s">
        <v>2906</v>
      </c>
      <c r="H1073" t="s">
        <v>157</v>
      </c>
      <c r="I1073" t="s">
        <v>29</v>
      </c>
      <c r="J1073" s="13">
        <v>46189</v>
      </c>
      <c r="K1073" s="17" t="s">
        <v>40</v>
      </c>
      <c r="L1073" s="13">
        <v>46219</v>
      </c>
      <c r="M1073" t="s">
        <v>41</v>
      </c>
      <c r="N1073" t="s">
        <v>32</v>
      </c>
      <c r="Q1073">
        <f t="shared" ca="1" si="80"/>
        <v>0</v>
      </c>
      <c r="R1073" t="str">
        <f t="shared" si="81"/>
        <v/>
      </c>
      <c r="S1073">
        <f t="shared" ca="1" si="82"/>
        <v>30</v>
      </c>
      <c r="T1073" t="str">
        <f t="shared" ca="1" si="83"/>
        <v>On Track</v>
      </c>
      <c r="U1073" t="str">
        <f t="shared" ca="1" si="84"/>
        <v>Normal</v>
      </c>
      <c r="V1073" t="s">
        <v>42</v>
      </c>
    </row>
    <row r="1074" spans="1:22">
      <c r="A1074" t="s">
        <v>2907</v>
      </c>
      <c r="B1074" t="s">
        <v>187</v>
      </c>
      <c r="C1074" t="s">
        <v>2908</v>
      </c>
      <c r="D1074" s="16">
        <v>9705.2099999999991</v>
      </c>
      <c r="E1074" t="s">
        <v>37</v>
      </c>
      <c r="F1074" t="s">
        <v>38</v>
      </c>
      <c r="H1074" t="s">
        <v>815</v>
      </c>
      <c r="I1074" t="s">
        <v>92</v>
      </c>
      <c r="J1074" s="13">
        <v>46175</v>
      </c>
      <c r="K1074" s="17" t="s">
        <v>40</v>
      </c>
      <c r="L1074" s="13">
        <v>46205</v>
      </c>
      <c r="M1074" t="s">
        <v>65</v>
      </c>
      <c r="N1074" t="s">
        <v>32</v>
      </c>
      <c r="Q1074">
        <f t="shared" ca="1" si="80"/>
        <v>14</v>
      </c>
      <c r="R1074" t="str">
        <f t="shared" si="81"/>
        <v/>
      </c>
      <c r="S1074">
        <f t="shared" ca="1" si="82"/>
        <v>16</v>
      </c>
      <c r="T1074" t="str">
        <f t="shared" ca="1" si="83"/>
        <v>On Track</v>
      </c>
      <c r="U1074" t="str">
        <f t="shared" ca="1" si="84"/>
        <v>Normal</v>
      </c>
    </row>
    <row r="1075" spans="1:22">
      <c r="A1075" t="s">
        <v>2909</v>
      </c>
      <c r="B1075" t="s">
        <v>35</v>
      </c>
      <c r="C1075" t="s">
        <v>2910</v>
      </c>
      <c r="D1075" s="16">
        <v>4055.15</v>
      </c>
      <c r="E1075" t="s">
        <v>142</v>
      </c>
      <c r="F1075" t="s">
        <v>38</v>
      </c>
      <c r="H1075" t="s">
        <v>335</v>
      </c>
      <c r="I1075" t="s">
        <v>29</v>
      </c>
      <c r="J1075" s="13">
        <v>46149</v>
      </c>
      <c r="K1075" s="17" t="s">
        <v>30</v>
      </c>
      <c r="L1075" s="13">
        <v>46164</v>
      </c>
      <c r="M1075" t="s">
        <v>31</v>
      </c>
      <c r="N1075" t="s">
        <v>32</v>
      </c>
      <c r="O1075" s="13">
        <v>46157</v>
      </c>
      <c r="P1075" s="13">
        <v>46161</v>
      </c>
      <c r="Q1075">
        <f t="shared" ca="1" si="80"/>
        <v>40</v>
      </c>
      <c r="R1075">
        <f t="shared" si="81"/>
        <v>8</v>
      </c>
      <c r="S1075">
        <f t="shared" ca="1" si="82"/>
        <v>-25</v>
      </c>
      <c r="T1075" t="str">
        <f t="shared" ca="1" si="83"/>
        <v>On Track</v>
      </c>
      <c r="U1075" t="str">
        <f t="shared" ca="1" si="84"/>
        <v>Normal</v>
      </c>
      <c r="V1075" t="s">
        <v>33</v>
      </c>
    </row>
    <row r="1076" spans="1:22">
      <c r="A1076" t="s">
        <v>2911</v>
      </c>
      <c r="B1076" t="s">
        <v>44</v>
      </c>
      <c r="C1076" t="s">
        <v>2912</v>
      </c>
      <c r="D1076" s="16">
        <v>82925.13</v>
      </c>
      <c r="E1076" t="s">
        <v>25</v>
      </c>
      <c r="F1076" t="s">
        <v>26</v>
      </c>
      <c r="G1076" t="s">
        <v>2913</v>
      </c>
      <c r="H1076" t="s">
        <v>121</v>
      </c>
      <c r="I1076" t="s">
        <v>122</v>
      </c>
      <c r="J1076" s="13">
        <v>46180</v>
      </c>
      <c r="K1076" s="17" t="s">
        <v>40</v>
      </c>
      <c r="L1076" s="13">
        <v>46210</v>
      </c>
      <c r="M1076" t="s">
        <v>99</v>
      </c>
      <c r="N1076" t="s">
        <v>32</v>
      </c>
      <c r="O1076" s="13">
        <v>46189</v>
      </c>
      <c r="Q1076">
        <f t="shared" ca="1" si="80"/>
        <v>9</v>
      </c>
      <c r="R1076">
        <f t="shared" si="81"/>
        <v>9</v>
      </c>
      <c r="S1076">
        <f t="shared" ca="1" si="82"/>
        <v>21</v>
      </c>
      <c r="T1076" t="str">
        <f t="shared" ca="1" si="83"/>
        <v>On Track</v>
      </c>
      <c r="U1076" t="str">
        <f t="shared" ca="1" si="84"/>
        <v>Normal</v>
      </c>
    </row>
    <row r="1077" spans="1:22">
      <c r="A1077" t="s">
        <v>2914</v>
      </c>
      <c r="B1077" t="s">
        <v>23</v>
      </c>
      <c r="C1077" t="s">
        <v>2915</v>
      </c>
      <c r="D1077" s="16">
        <v>784.5</v>
      </c>
      <c r="E1077" t="s">
        <v>25</v>
      </c>
      <c r="F1077" t="s">
        <v>38</v>
      </c>
      <c r="H1077" t="s">
        <v>28</v>
      </c>
      <c r="I1077" t="s">
        <v>29</v>
      </c>
      <c r="J1077" s="13">
        <v>46167</v>
      </c>
      <c r="K1077" s="17" t="s">
        <v>40</v>
      </c>
      <c r="L1077" s="13">
        <v>46197</v>
      </c>
      <c r="M1077" t="s">
        <v>99</v>
      </c>
      <c r="N1077" t="s">
        <v>58</v>
      </c>
      <c r="O1077" s="13">
        <v>46184</v>
      </c>
      <c r="Q1077">
        <f t="shared" ca="1" si="80"/>
        <v>22</v>
      </c>
      <c r="R1077">
        <f t="shared" si="81"/>
        <v>17</v>
      </c>
      <c r="S1077">
        <f t="shared" ca="1" si="82"/>
        <v>8</v>
      </c>
      <c r="T1077" t="str">
        <f t="shared" ca="1" si="83"/>
        <v>On Track</v>
      </c>
      <c r="U1077" t="str">
        <f t="shared" ca="1" si="84"/>
        <v>Normal</v>
      </c>
      <c r="V1077" t="s">
        <v>59</v>
      </c>
    </row>
    <row r="1078" spans="1:22">
      <c r="A1078" t="s">
        <v>2916</v>
      </c>
      <c r="B1078" t="s">
        <v>124</v>
      </c>
      <c r="C1078" t="s">
        <v>2917</v>
      </c>
      <c r="D1078" s="16">
        <v>5726.89</v>
      </c>
      <c r="E1078" t="s">
        <v>37</v>
      </c>
      <c r="F1078" t="s">
        <v>26</v>
      </c>
      <c r="G1078" t="s">
        <v>2918</v>
      </c>
      <c r="H1078" t="s">
        <v>815</v>
      </c>
      <c r="I1078" t="s">
        <v>92</v>
      </c>
      <c r="J1078" s="13">
        <v>46184</v>
      </c>
      <c r="K1078" s="17" t="s">
        <v>40</v>
      </c>
      <c r="L1078" s="13">
        <v>46214</v>
      </c>
      <c r="M1078" t="s">
        <v>41</v>
      </c>
      <c r="N1078" t="s">
        <v>32</v>
      </c>
      <c r="Q1078">
        <f t="shared" ca="1" si="80"/>
        <v>5</v>
      </c>
      <c r="R1078" t="str">
        <f t="shared" si="81"/>
        <v/>
      </c>
      <c r="S1078">
        <f t="shared" ca="1" si="82"/>
        <v>25</v>
      </c>
      <c r="T1078" t="str">
        <f t="shared" ca="1" si="83"/>
        <v>On Track</v>
      </c>
      <c r="U1078" t="str">
        <f t="shared" ca="1" si="84"/>
        <v>Normal</v>
      </c>
      <c r="V1078" t="s">
        <v>42</v>
      </c>
    </row>
    <row r="1079" spans="1:22">
      <c r="A1079" t="s">
        <v>2919</v>
      </c>
      <c r="B1079" t="s">
        <v>94</v>
      </c>
      <c r="C1079" t="s">
        <v>2920</v>
      </c>
      <c r="D1079" s="16">
        <v>32366.89</v>
      </c>
      <c r="E1079" t="s">
        <v>111</v>
      </c>
      <c r="F1079" t="s">
        <v>38</v>
      </c>
      <c r="H1079" t="s">
        <v>121</v>
      </c>
      <c r="I1079" t="s">
        <v>122</v>
      </c>
      <c r="J1079" s="13">
        <v>46145</v>
      </c>
      <c r="K1079" s="17" t="s">
        <v>40</v>
      </c>
      <c r="L1079" s="13">
        <v>46175</v>
      </c>
      <c r="M1079" t="s">
        <v>31</v>
      </c>
      <c r="N1079" t="s">
        <v>50</v>
      </c>
      <c r="O1079" s="13">
        <v>46169</v>
      </c>
      <c r="P1079" s="13">
        <v>46172</v>
      </c>
      <c r="Q1079">
        <f t="shared" ca="1" si="80"/>
        <v>44</v>
      </c>
      <c r="R1079">
        <f t="shared" si="81"/>
        <v>24</v>
      </c>
      <c r="S1079">
        <f t="shared" ca="1" si="82"/>
        <v>-14</v>
      </c>
      <c r="T1079" t="str">
        <f t="shared" ca="1" si="83"/>
        <v>On Track</v>
      </c>
      <c r="U1079" t="str">
        <f t="shared" ca="1" si="84"/>
        <v>Normal</v>
      </c>
      <c r="V1079" t="s">
        <v>51</v>
      </c>
    </row>
    <row r="1080" spans="1:22">
      <c r="A1080" t="s">
        <v>2921</v>
      </c>
      <c r="B1080" t="s">
        <v>44</v>
      </c>
      <c r="C1080" t="s">
        <v>2922</v>
      </c>
      <c r="D1080" s="16">
        <v>11327.99</v>
      </c>
      <c r="E1080" t="s">
        <v>62</v>
      </c>
      <c r="F1080" t="s">
        <v>38</v>
      </c>
      <c r="H1080" t="s">
        <v>106</v>
      </c>
      <c r="I1080" t="s">
        <v>92</v>
      </c>
      <c r="J1080" s="13">
        <v>46184</v>
      </c>
      <c r="K1080" s="17" t="s">
        <v>49</v>
      </c>
      <c r="L1080" s="13">
        <v>46229</v>
      </c>
      <c r="M1080" t="s">
        <v>145</v>
      </c>
      <c r="N1080" t="s">
        <v>58</v>
      </c>
      <c r="O1080" s="13">
        <v>46189</v>
      </c>
      <c r="Q1080">
        <f t="shared" ca="1" si="80"/>
        <v>5</v>
      </c>
      <c r="R1080">
        <f t="shared" si="81"/>
        <v>5</v>
      </c>
      <c r="S1080">
        <f t="shared" ca="1" si="82"/>
        <v>40</v>
      </c>
      <c r="T1080" t="str">
        <f t="shared" ca="1" si="83"/>
        <v>On Track</v>
      </c>
      <c r="U1080" t="str">
        <f t="shared" ca="1" si="84"/>
        <v>Normal</v>
      </c>
      <c r="V1080" t="s">
        <v>59</v>
      </c>
    </row>
    <row r="1081" spans="1:22">
      <c r="A1081" t="s">
        <v>2923</v>
      </c>
      <c r="B1081" t="s">
        <v>23</v>
      </c>
      <c r="C1081" t="s">
        <v>2924</v>
      </c>
      <c r="D1081" s="16">
        <v>19689.72</v>
      </c>
      <c r="E1081" t="s">
        <v>142</v>
      </c>
      <c r="F1081" t="s">
        <v>38</v>
      </c>
      <c r="H1081" t="s">
        <v>144</v>
      </c>
      <c r="I1081" t="s">
        <v>92</v>
      </c>
      <c r="J1081" s="13">
        <v>46155</v>
      </c>
      <c r="K1081" s="17" t="s">
        <v>40</v>
      </c>
      <c r="L1081" s="13">
        <v>46185</v>
      </c>
      <c r="M1081" t="s">
        <v>31</v>
      </c>
      <c r="N1081" t="s">
        <v>50</v>
      </c>
      <c r="O1081" s="13">
        <v>46171</v>
      </c>
      <c r="P1081" s="13">
        <v>46178</v>
      </c>
      <c r="Q1081">
        <f t="shared" ca="1" si="80"/>
        <v>34</v>
      </c>
      <c r="R1081">
        <f t="shared" si="81"/>
        <v>16</v>
      </c>
      <c r="S1081">
        <f t="shared" ca="1" si="82"/>
        <v>-4</v>
      </c>
      <c r="T1081" t="str">
        <f t="shared" ca="1" si="83"/>
        <v>On Track</v>
      </c>
      <c r="U1081" t="str">
        <f t="shared" ca="1" si="84"/>
        <v>Normal</v>
      </c>
      <c r="V1081" t="s">
        <v>51</v>
      </c>
    </row>
    <row r="1082" spans="1:22">
      <c r="A1082" t="s">
        <v>2925</v>
      </c>
      <c r="B1082" t="s">
        <v>129</v>
      </c>
      <c r="C1082" t="s">
        <v>2926</v>
      </c>
      <c r="D1082" s="16">
        <v>6975.31</v>
      </c>
      <c r="E1082" t="s">
        <v>142</v>
      </c>
      <c r="F1082" t="s">
        <v>38</v>
      </c>
      <c r="H1082" t="s">
        <v>144</v>
      </c>
      <c r="I1082" t="s">
        <v>92</v>
      </c>
      <c r="J1082" s="13">
        <v>46184</v>
      </c>
      <c r="K1082" s="17" t="s">
        <v>40</v>
      </c>
      <c r="L1082" s="13">
        <v>46214</v>
      </c>
      <c r="M1082" t="s">
        <v>41</v>
      </c>
      <c r="N1082" t="s">
        <v>32</v>
      </c>
      <c r="Q1082">
        <f t="shared" ca="1" si="80"/>
        <v>5</v>
      </c>
      <c r="R1082" t="str">
        <f t="shared" si="81"/>
        <v/>
      </c>
      <c r="S1082">
        <f t="shared" ca="1" si="82"/>
        <v>25</v>
      </c>
      <c r="T1082" t="str">
        <f t="shared" ca="1" si="83"/>
        <v>On Track</v>
      </c>
      <c r="U1082" t="str">
        <f t="shared" ca="1" si="84"/>
        <v>Normal</v>
      </c>
      <c r="V1082" t="s">
        <v>42</v>
      </c>
    </row>
    <row r="1083" spans="1:22">
      <c r="A1083" t="s">
        <v>2927</v>
      </c>
      <c r="B1083" t="s">
        <v>109</v>
      </c>
      <c r="C1083" t="s">
        <v>2928</v>
      </c>
      <c r="D1083" s="16">
        <v>3916.83</v>
      </c>
      <c r="E1083" t="s">
        <v>62</v>
      </c>
      <c r="F1083" t="s">
        <v>38</v>
      </c>
      <c r="H1083" t="s">
        <v>64</v>
      </c>
      <c r="I1083" t="s">
        <v>29</v>
      </c>
      <c r="J1083" s="13">
        <v>46154</v>
      </c>
      <c r="K1083" s="17" t="s">
        <v>57</v>
      </c>
      <c r="L1083" s="13">
        <v>46184</v>
      </c>
      <c r="M1083" t="s">
        <v>31</v>
      </c>
      <c r="N1083" t="s">
        <v>100</v>
      </c>
      <c r="O1083" s="13">
        <v>46174</v>
      </c>
      <c r="P1083" s="13">
        <v>46176</v>
      </c>
      <c r="Q1083">
        <f t="shared" ca="1" si="80"/>
        <v>35</v>
      </c>
      <c r="R1083">
        <f t="shared" si="81"/>
        <v>20</v>
      </c>
      <c r="S1083">
        <f t="shared" ca="1" si="82"/>
        <v>-5</v>
      </c>
      <c r="T1083" t="str">
        <f t="shared" ca="1" si="83"/>
        <v>On Track</v>
      </c>
      <c r="U1083" t="str">
        <f t="shared" ca="1" si="84"/>
        <v>Normal</v>
      </c>
      <c r="V1083" t="s">
        <v>101</v>
      </c>
    </row>
    <row r="1084" spans="1:22">
      <c r="A1084" t="s">
        <v>2929</v>
      </c>
      <c r="B1084" t="s">
        <v>187</v>
      </c>
      <c r="C1084" t="s">
        <v>2930</v>
      </c>
      <c r="D1084" s="16">
        <v>674.8</v>
      </c>
      <c r="E1084" t="s">
        <v>69</v>
      </c>
      <c r="F1084" t="s">
        <v>38</v>
      </c>
      <c r="H1084" t="s">
        <v>71</v>
      </c>
      <c r="I1084" t="s">
        <v>29</v>
      </c>
      <c r="J1084" s="13">
        <v>46186</v>
      </c>
      <c r="K1084" s="17" t="s">
        <v>40</v>
      </c>
      <c r="L1084" s="13">
        <v>46216</v>
      </c>
      <c r="M1084" t="s">
        <v>41</v>
      </c>
      <c r="N1084" t="s">
        <v>50</v>
      </c>
      <c r="Q1084">
        <f t="shared" ca="1" si="80"/>
        <v>3</v>
      </c>
      <c r="R1084" t="str">
        <f t="shared" si="81"/>
        <v/>
      </c>
      <c r="S1084">
        <f t="shared" ca="1" si="82"/>
        <v>27</v>
      </c>
      <c r="T1084" t="str">
        <f t="shared" ca="1" si="83"/>
        <v>On Track</v>
      </c>
      <c r="U1084" t="str">
        <f t="shared" ca="1" si="84"/>
        <v>Normal</v>
      </c>
      <c r="V1084" t="s">
        <v>51</v>
      </c>
    </row>
    <row r="1085" spans="1:22">
      <c r="A1085" t="s">
        <v>2931</v>
      </c>
      <c r="B1085" t="s">
        <v>208</v>
      </c>
      <c r="C1085" t="s">
        <v>2932</v>
      </c>
      <c r="D1085" s="16">
        <v>19357.509999999998</v>
      </c>
      <c r="E1085" t="s">
        <v>25</v>
      </c>
      <c r="F1085" t="s">
        <v>38</v>
      </c>
      <c r="H1085" t="s">
        <v>149</v>
      </c>
      <c r="I1085" t="s">
        <v>92</v>
      </c>
      <c r="J1085" s="13">
        <v>46162</v>
      </c>
      <c r="K1085" s="17" t="s">
        <v>30</v>
      </c>
      <c r="L1085" s="13">
        <v>46177</v>
      </c>
      <c r="M1085" t="s">
        <v>31</v>
      </c>
      <c r="N1085" t="s">
        <v>32</v>
      </c>
      <c r="O1085" s="13">
        <v>46169</v>
      </c>
      <c r="P1085" s="13">
        <v>46175</v>
      </c>
      <c r="Q1085">
        <f t="shared" ca="1" si="80"/>
        <v>27</v>
      </c>
      <c r="R1085">
        <f t="shared" si="81"/>
        <v>7</v>
      </c>
      <c r="S1085">
        <f t="shared" ca="1" si="82"/>
        <v>-12</v>
      </c>
      <c r="T1085" t="str">
        <f t="shared" ca="1" si="83"/>
        <v>On Track</v>
      </c>
      <c r="U1085" t="str">
        <f t="shared" ca="1" si="84"/>
        <v>Normal</v>
      </c>
      <c r="V1085" t="s">
        <v>33</v>
      </c>
    </row>
    <row r="1086" spans="1:22">
      <c r="A1086" t="s">
        <v>2933</v>
      </c>
      <c r="B1086" t="s">
        <v>94</v>
      </c>
      <c r="C1086" t="s">
        <v>2934</v>
      </c>
      <c r="D1086" s="16">
        <v>3412.61</v>
      </c>
      <c r="E1086" t="s">
        <v>62</v>
      </c>
      <c r="F1086" t="s">
        <v>26</v>
      </c>
      <c r="G1086" t="s">
        <v>2935</v>
      </c>
      <c r="H1086" t="s">
        <v>64</v>
      </c>
      <c r="I1086" t="s">
        <v>29</v>
      </c>
      <c r="J1086" s="13">
        <v>46158</v>
      </c>
      <c r="K1086" s="17" t="s">
        <v>40</v>
      </c>
      <c r="L1086" s="13">
        <v>46188</v>
      </c>
      <c r="M1086" t="s">
        <v>31</v>
      </c>
      <c r="N1086" t="s">
        <v>32</v>
      </c>
      <c r="O1086" s="13">
        <v>46163</v>
      </c>
      <c r="P1086" s="13">
        <v>46166</v>
      </c>
      <c r="Q1086">
        <f t="shared" ca="1" si="80"/>
        <v>31</v>
      </c>
      <c r="R1086">
        <f t="shared" si="81"/>
        <v>5</v>
      </c>
      <c r="S1086">
        <f t="shared" ca="1" si="82"/>
        <v>-1</v>
      </c>
      <c r="T1086" t="str">
        <f t="shared" ca="1" si="83"/>
        <v>On Track</v>
      </c>
      <c r="U1086" t="str">
        <f t="shared" ca="1" si="84"/>
        <v>Normal</v>
      </c>
      <c r="V1086" t="s">
        <v>33</v>
      </c>
    </row>
    <row r="1087" spans="1:22">
      <c r="A1087" t="s">
        <v>2936</v>
      </c>
      <c r="B1087" t="s">
        <v>94</v>
      </c>
      <c r="C1087" t="s">
        <v>2937</v>
      </c>
      <c r="D1087" s="16">
        <v>2247.2199999999998</v>
      </c>
      <c r="E1087" t="s">
        <v>37</v>
      </c>
      <c r="F1087" t="s">
        <v>26</v>
      </c>
      <c r="G1087" t="s">
        <v>2938</v>
      </c>
      <c r="H1087" t="s">
        <v>39</v>
      </c>
      <c r="I1087" t="s">
        <v>29</v>
      </c>
      <c r="J1087" s="13">
        <v>46156</v>
      </c>
      <c r="K1087" s="17" t="s">
        <v>40</v>
      </c>
      <c r="L1087" s="13">
        <v>46186</v>
      </c>
      <c r="M1087" t="s">
        <v>31</v>
      </c>
      <c r="N1087" t="s">
        <v>32</v>
      </c>
      <c r="O1087" s="13">
        <v>46163</v>
      </c>
      <c r="P1087" s="13">
        <v>46167</v>
      </c>
      <c r="Q1087">
        <f t="shared" ca="1" si="80"/>
        <v>33</v>
      </c>
      <c r="R1087">
        <f t="shared" si="81"/>
        <v>7</v>
      </c>
      <c r="S1087">
        <f t="shared" ca="1" si="82"/>
        <v>-3</v>
      </c>
      <c r="T1087" t="str">
        <f t="shared" ca="1" si="83"/>
        <v>On Track</v>
      </c>
      <c r="U1087" t="str">
        <f t="shared" ca="1" si="84"/>
        <v>Normal</v>
      </c>
      <c r="V1087" t="s">
        <v>33</v>
      </c>
    </row>
    <row r="1088" spans="1:22">
      <c r="A1088" t="s">
        <v>2939</v>
      </c>
      <c r="B1088" t="s">
        <v>44</v>
      </c>
      <c r="C1088" t="s">
        <v>2940</v>
      </c>
      <c r="D1088" s="16">
        <v>12097.39</v>
      </c>
      <c r="E1088" t="s">
        <v>69</v>
      </c>
      <c r="F1088" t="s">
        <v>38</v>
      </c>
      <c r="H1088" t="s">
        <v>178</v>
      </c>
      <c r="I1088" t="s">
        <v>92</v>
      </c>
      <c r="J1088" s="13">
        <v>46171</v>
      </c>
      <c r="K1088" s="17" t="s">
        <v>49</v>
      </c>
      <c r="L1088" s="13">
        <v>46216</v>
      </c>
      <c r="M1088" t="s">
        <v>145</v>
      </c>
      <c r="N1088" t="s">
        <v>32</v>
      </c>
      <c r="O1088" s="13">
        <v>46178</v>
      </c>
      <c r="Q1088">
        <f t="shared" ca="1" si="80"/>
        <v>18</v>
      </c>
      <c r="R1088">
        <f t="shared" si="81"/>
        <v>7</v>
      </c>
      <c r="S1088">
        <f t="shared" ca="1" si="82"/>
        <v>27</v>
      </c>
      <c r="T1088" t="str">
        <f t="shared" ca="1" si="83"/>
        <v>On Track</v>
      </c>
      <c r="U1088" t="str">
        <f t="shared" ca="1" si="84"/>
        <v>Normal</v>
      </c>
    </row>
    <row r="1089" spans="1:22">
      <c r="A1089" t="s">
        <v>2941</v>
      </c>
      <c r="B1089" t="s">
        <v>109</v>
      </c>
      <c r="C1089" t="s">
        <v>2942</v>
      </c>
      <c r="D1089" s="16">
        <v>4014.89</v>
      </c>
      <c r="E1089" t="s">
        <v>46</v>
      </c>
      <c r="F1089" t="s">
        <v>38</v>
      </c>
      <c r="H1089" t="s">
        <v>48</v>
      </c>
      <c r="I1089" t="s">
        <v>29</v>
      </c>
      <c r="J1089" s="13">
        <v>46178</v>
      </c>
      <c r="K1089" s="17" t="s">
        <v>57</v>
      </c>
      <c r="L1089" s="13">
        <v>46208</v>
      </c>
      <c r="M1089" t="s">
        <v>99</v>
      </c>
      <c r="N1089" t="s">
        <v>32</v>
      </c>
      <c r="O1089" s="13">
        <v>46189</v>
      </c>
      <c r="Q1089">
        <f t="shared" ca="1" si="80"/>
        <v>11</v>
      </c>
      <c r="R1089">
        <f t="shared" si="81"/>
        <v>11</v>
      </c>
      <c r="S1089">
        <f t="shared" ca="1" si="82"/>
        <v>19</v>
      </c>
      <c r="T1089" t="str">
        <f t="shared" ca="1" si="83"/>
        <v>On Track</v>
      </c>
      <c r="U1089" t="str">
        <f t="shared" ca="1" si="84"/>
        <v>Normal</v>
      </c>
    </row>
    <row r="1090" spans="1:22">
      <c r="A1090" t="s">
        <v>2943</v>
      </c>
      <c r="B1090" t="s">
        <v>129</v>
      </c>
      <c r="C1090" t="s">
        <v>2944</v>
      </c>
      <c r="D1090" s="16">
        <v>3444.76</v>
      </c>
      <c r="E1090" t="s">
        <v>69</v>
      </c>
      <c r="F1090" t="s">
        <v>38</v>
      </c>
      <c r="H1090" t="s">
        <v>71</v>
      </c>
      <c r="I1090" t="s">
        <v>29</v>
      </c>
      <c r="J1090" s="13">
        <v>46158</v>
      </c>
      <c r="K1090" s="17" t="s">
        <v>40</v>
      </c>
      <c r="L1090" s="13">
        <v>46188</v>
      </c>
      <c r="M1090" t="s">
        <v>31</v>
      </c>
      <c r="N1090" t="s">
        <v>32</v>
      </c>
      <c r="O1090" s="13">
        <v>46170</v>
      </c>
      <c r="P1090" s="13">
        <v>46174</v>
      </c>
      <c r="Q1090">
        <f t="shared" ref="Q1090:Q1153" ca="1" si="85">IF(J1090="","",TODAY()-J1090)</f>
        <v>31</v>
      </c>
      <c r="R1090">
        <f t="shared" ref="R1090:R1153" si="86">IF(O1090="","",O1090-J1090)</f>
        <v>12</v>
      </c>
      <c r="S1090">
        <f t="shared" ref="S1090:S1153" ca="1" si="87">IF(L1090="","",L1090-TODAY())</f>
        <v>-1</v>
      </c>
      <c r="T1090" t="str">
        <f t="shared" ref="T1090:T1153" ca="1" si="88">IF(AND(M1090="Pending Approval",Q1090&gt;5),"Overdue","On Track")</f>
        <v>On Track</v>
      </c>
      <c r="U1090" t="str">
        <f t="shared" ref="U1090:U1153" ca="1" si="89">IF(AND(M1090&lt;&gt;"Paid",S1090&lt;=5),"At Risk","Normal")</f>
        <v>Normal</v>
      </c>
      <c r="V1090" t="s">
        <v>33</v>
      </c>
    </row>
    <row r="1091" spans="1:22">
      <c r="A1091" t="s">
        <v>2945</v>
      </c>
      <c r="B1091" t="s">
        <v>271</v>
      </c>
      <c r="C1091" t="s">
        <v>2946</v>
      </c>
      <c r="D1091" s="16">
        <v>2793.43</v>
      </c>
      <c r="E1091" t="s">
        <v>302</v>
      </c>
      <c r="F1091" t="s">
        <v>26</v>
      </c>
      <c r="G1091" t="s">
        <v>2947</v>
      </c>
      <c r="H1091" t="s">
        <v>304</v>
      </c>
      <c r="I1091" t="s">
        <v>29</v>
      </c>
      <c r="J1091" s="13">
        <v>46174</v>
      </c>
      <c r="K1091" s="17" t="s">
        <v>57</v>
      </c>
      <c r="L1091" s="13">
        <v>46204</v>
      </c>
      <c r="M1091" t="s">
        <v>31</v>
      </c>
      <c r="N1091" t="s">
        <v>32</v>
      </c>
      <c r="O1091" s="13">
        <v>46181</v>
      </c>
      <c r="P1091" s="13">
        <v>46187</v>
      </c>
      <c r="Q1091">
        <f t="shared" ca="1" si="85"/>
        <v>15</v>
      </c>
      <c r="R1091">
        <f t="shared" si="86"/>
        <v>7</v>
      </c>
      <c r="S1091">
        <f t="shared" ca="1" si="87"/>
        <v>15</v>
      </c>
      <c r="T1091" t="str">
        <f t="shared" ca="1" si="88"/>
        <v>On Track</v>
      </c>
      <c r="U1091" t="str">
        <f t="shared" ca="1" si="89"/>
        <v>Normal</v>
      </c>
      <c r="V1091" t="s">
        <v>33</v>
      </c>
    </row>
    <row r="1092" spans="1:22">
      <c r="A1092" t="s">
        <v>2948</v>
      </c>
      <c r="B1092" t="s">
        <v>115</v>
      </c>
      <c r="C1092" t="s">
        <v>2949</v>
      </c>
      <c r="D1092" s="16">
        <v>76079.350000000006</v>
      </c>
      <c r="E1092" t="s">
        <v>156</v>
      </c>
      <c r="F1092" t="s">
        <v>38</v>
      </c>
      <c r="H1092" t="s">
        <v>121</v>
      </c>
      <c r="I1092" t="s">
        <v>122</v>
      </c>
      <c r="J1092" s="13">
        <v>46175</v>
      </c>
      <c r="K1092" s="17" t="s">
        <v>40</v>
      </c>
      <c r="L1092" s="13">
        <v>46205</v>
      </c>
      <c r="M1092" t="s">
        <v>41</v>
      </c>
      <c r="N1092" t="s">
        <v>32</v>
      </c>
      <c r="Q1092">
        <f t="shared" ca="1" si="85"/>
        <v>14</v>
      </c>
      <c r="R1092" t="str">
        <f t="shared" si="86"/>
        <v/>
      </c>
      <c r="S1092">
        <f t="shared" ca="1" si="87"/>
        <v>16</v>
      </c>
      <c r="T1092" t="str">
        <f t="shared" ca="1" si="88"/>
        <v>Overdue</v>
      </c>
      <c r="U1092" t="str">
        <f t="shared" ca="1" si="89"/>
        <v>Normal</v>
      </c>
      <c r="V1092" t="s">
        <v>42</v>
      </c>
    </row>
    <row r="1093" spans="1:22">
      <c r="A1093" t="s">
        <v>2950</v>
      </c>
      <c r="B1093" t="s">
        <v>67</v>
      </c>
      <c r="C1093" t="s">
        <v>2951</v>
      </c>
      <c r="D1093" s="16">
        <v>1753.93</v>
      </c>
      <c r="E1093" t="s">
        <v>69</v>
      </c>
      <c r="F1093" t="s">
        <v>26</v>
      </c>
      <c r="G1093" t="s">
        <v>2952</v>
      </c>
      <c r="H1093" t="s">
        <v>71</v>
      </c>
      <c r="I1093" t="s">
        <v>29</v>
      </c>
      <c r="J1093" s="13">
        <v>46176</v>
      </c>
      <c r="K1093" s="17" t="s">
        <v>40</v>
      </c>
      <c r="L1093" s="13">
        <v>46206</v>
      </c>
      <c r="M1093" t="s">
        <v>65</v>
      </c>
      <c r="N1093" t="s">
        <v>32</v>
      </c>
      <c r="Q1093">
        <f t="shared" ca="1" si="85"/>
        <v>13</v>
      </c>
      <c r="R1093" t="str">
        <f t="shared" si="86"/>
        <v/>
      </c>
      <c r="S1093">
        <f t="shared" ca="1" si="87"/>
        <v>17</v>
      </c>
      <c r="T1093" t="str">
        <f t="shared" ca="1" si="88"/>
        <v>On Track</v>
      </c>
      <c r="U1093" t="str">
        <f t="shared" ca="1" si="89"/>
        <v>Normal</v>
      </c>
    </row>
    <row r="1094" spans="1:22">
      <c r="A1094" t="s">
        <v>2953</v>
      </c>
      <c r="B1094" t="s">
        <v>82</v>
      </c>
      <c r="C1094" t="s">
        <v>2954</v>
      </c>
      <c r="D1094" s="16">
        <v>16455.23</v>
      </c>
      <c r="E1094" t="s">
        <v>69</v>
      </c>
      <c r="F1094" t="s">
        <v>38</v>
      </c>
      <c r="H1094" t="s">
        <v>178</v>
      </c>
      <c r="I1094" t="s">
        <v>92</v>
      </c>
      <c r="J1094" s="13">
        <v>46148</v>
      </c>
      <c r="K1094" s="17" t="s">
        <v>30</v>
      </c>
      <c r="L1094" s="13">
        <v>46163</v>
      </c>
      <c r="M1094" t="s">
        <v>65</v>
      </c>
      <c r="N1094" t="s">
        <v>32</v>
      </c>
      <c r="Q1094">
        <f t="shared" ca="1" si="85"/>
        <v>41</v>
      </c>
      <c r="R1094" t="str">
        <f t="shared" si="86"/>
        <v/>
      </c>
      <c r="S1094">
        <f t="shared" ca="1" si="87"/>
        <v>-26</v>
      </c>
      <c r="T1094" t="str">
        <f t="shared" ca="1" si="88"/>
        <v>On Track</v>
      </c>
      <c r="U1094" t="str">
        <f t="shared" ca="1" si="89"/>
        <v>At Risk</v>
      </c>
    </row>
    <row r="1095" spans="1:22">
      <c r="A1095" t="s">
        <v>2955</v>
      </c>
      <c r="B1095" t="s">
        <v>271</v>
      </c>
      <c r="C1095" t="s">
        <v>2956</v>
      </c>
      <c r="D1095" s="16">
        <v>4476.16</v>
      </c>
      <c r="E1095" t="s">
        <v>46</v>
      </c>
      <c r="F1095" t="s">
        <v>38</v>
      </c>
      <c r="H1095" t="s">
        <v>48</v>
      </c>
      <c r="I1095" t="s">
        <v>29</v>
      </c>
      <c r="J1095" s="13">
        <v>46165</v>
      </c>
      <c r="K1095" s="17" t="s">
        <v>30</v>
      </c>
      <c r="L1095" s="13">
        <v>46180</v>
      </c>
      <c r="M1095" t="s">
        <v>31</v>
      </c>
      <c r="N1095" t="s">
        <v>32</v>
      </c>
      <c r="O1095" s="13">
        <v>46176</v>
      </c>
      <c r="P1095" s="13">
        <v>46180</v>
      </c>
      <c r="Q1095">
        <f t="shared" ca="1" si="85"/>
        <v>24</v>
      </c>
      <c r="R1095">
        <f t="shared" si="86"/>
        <v>11</v>
      </c>
      <c r="S1095">
        <f t="shared" ca="1" si="87"/>
        <v>-9</v>
      </c>
      <c r="T1095" t="str">
        <f t="shared" ca="1" si="88"/>
        <v>On Track</v>
      </c>
      <c r="U1095" t="str">
        <f t="shared" ca="1" si="89"/>
        <v>Normal</v>
      </c>
      <c r="V1095" t="s">
        <v>33</v>
      </c>
    </row>
    <row r="1096" spans="1:22">
      <c r="A1096" t="s">
        <v>2957</v>
      </c>
      <c r="B1096" t="s">
        <v>73</v>
      </c>
      <c r="C1096" t="s">
        <v>2958</v>
      </c>
      <c r="D1096" s="16">
        <v>1865.96</v>
      </c>
      <c r="E1096" t="s">
        <v>46</v>
      </c>
      <c r="F1096" t="s">
        <v>38</v>
      </c>
      <c r="H1096" t="s">
        <v>48</v>
      </c>
      <c r="I1096" t="s">
        <v>29</v>
      </c>
      <c r="J1096" s="13">
        <v>46160</v>
      </c>
      <c r="K1096" s="17" t="s">
        <v>40</v>
      </c>
      <c r="L1096" s="13">
        <v>46190</v>
      </c>
      <c r="M1096" t="s">
        <v>31</v>
      </c>
      <c r="N1096" t="s">
        <v>32</v>
      </c>
      <c r="O1096" s="13">
        <v>46166</v>
      </c>
      <c r="P1096" s="13">
        <v>46172</v>
      </c>
      <c r="Q1096">
        <f t="shared" ca="1" si="85"/>
        <v>29</v>
      </c>
      <c r="R1096">
        <f t="shared" si="86"/>
        <v>6</v>
      </c>
      <c r="S1096">
        <f t="shared" ca="1" si="87"/>
        <v>1</v>
      </c>
      <c r="T1096" t="str">
        <f t="shared" ca="1" si="88"/>
        <v>On Track</v>
      </c>
      <c r="U1096" t="str">
        <f t="shared" ca="1" si="89"/>
        <v>Normal</v>
      </c>
      <c r="V1096" t="s">
        <v>33</v>
      </c>
    </row>
    <row r="1097" spans="1:22">
      <c r="A1097" t="s">
        <v>2959</v>
      </c>
      <c r="B1097" t="s">
        <v>137</v>
      </c>
      <c r="C1097" t="s">
        <v>2960</v>
      </c>
      <c r="D1097" s="16">
        <v>677.83</v>
      </c>
      <c r="E1097" t="s">
        <v>142</v>
      </c>
      <c r="F1097" t="s">
        <v>26</v>
      </c>
      <c r="G1097" t="s">
        <v>2961</v>
      </c>
      <c r="H1097" t="s">
        <v>335</v>
      </c>
      <c r="I1097" t="s">
        <v>29</v>
      </c>
      <c r="J1097" s="13">
        <v>46182</v>
      </c>
      <c r="K1097" s="17" t="s">
        <v>30</v>
      </c>
      <c r="L1097" s="13">
        <v>46197</v>
      </c>
      <c r="M1097" t="s">
        <v>99</v>
      </c>
      <c r="N1097" t="s">
        <v>100</v>
      </c>
      <c r="O1097" s="13">
        <v>46189</v>
      </c>
      <c r="Q1097">
        <f t="shared" ca="1" si="85"/>
        <v>7</v>
      </c>
      <c r="R1097">
        <f t="shared" si="86"/>
        <v>7</v>
      </c>
      <c r="S1097">
        <f t="shared" ca="1" si="87"/>
        <v>8</v>
      </c>
      <c r="T1097" t="str">
        <f t="shared" ca="1" si="88"/>
        <v>On Track</v>
      </c>
      <c r="U1097" t="str">
        <f t="shared" ca="1" si="89"/>
        <v>Normal</v>
      </c>
      <c r="V1097" t="s">
        <v>101</v>
      </c>
    </row>
    <row r="1098" spans="1:22">
      <c r="A1098" t="s">
        <v>2962</v>
      </c>
      <c r="B1098" t="s">
        <v>94</v>
      </c>
      <c r="C1098" t="s">
        <v>2963</v>
      </c>
      <c r="D1098" s="16">
        <v>1737.21</v>
      </c>
      <c r="E1098" t="s">
        <v>78</v>
      </c>
      <c r="F1098" t="s">
        <v>26</v>
      </c>
      <c r="G1098" t="s">
        <v>2964</v>
      </c>
      <c r="H1098" t="s">
        <v>80</v>
      </c>
      <c r="I1098" t="s">
        <v>29</v>
      </c>
      <c r="J1098" s="13">
        <v>46180</v>
      </c>
      <c r="K1098" s="17" t="s">
        <v>49</v>
      </c>
      <c r="L1098" s="13">
        <v>46225</v>
      </c>
      <c r="M1098" t="s">
        <v>41</v>
      </c>
      <c r="N1098" t="s">
        <v>50</v>
      </c>
      <c r="Q1098">
        <f t="shared" ca="1" si="85"/>
        <v>9</v>
      </c>
      <c r="R1098" t="str">
        <f t="shared" si="86"/>
        <v/>
      </c>
      <c r="S1098">
        <f t="shared" ca="1" si="87"/>
        <v>36</v>
      </c>
      <c r="T1098" t="str">
        <f t="shared" ca="1" si="88"/>
        <v>Overdue</v>
      </c>
      <c r="U1098" t="str">
        <f t="shared" ca="1" si="89"/>
        <v>Normal</v>
      </c>
      <c r="V1098" t="s">
        <v>51</v>
      </c>
    </row>
    <row r="1099" spans="1:22">
      <c r="A1099" t="s">
        <v>2965</v>
      </c>
      <c r="B1099" t="s">
        <v>271</v>
      </c>
      <c r="C1099" t="s">
        <v>2966</v>
      </c>
      <c r="D1099" s="16">
        <v>1820.88</v>
      </c>
      <c r="E1099" t="s">
        <v>78</v>
      </c>
      <c r="F1099" t="s">
        <v>38</v>
      </c>
      <c r="H1099" t="s">
        <v>80</v>
      </c>
      <c r="I1099" t="s">
        <v>29</v>
      </c>
      <c r="J1099" s="13">
        <v>46153</v>
      </c>
      <c r="K1099" s="17" t="s">
        <v>49</v>
      </c>
      <c r="L1099" s="13">
        <v>46198</v>
      </c>
      <c r="M1099" t="s">
        <v>99</v>
      </c>
      <c r="N1099" t="s">
        <v>32</v>
      </c>
      <c r="O1099" s="13">
        <v>46158</v>
      </c>
      <c r="Q1099">
        <f t="shared" ca="1" si="85"/>
        <v>36</v>
      </c>
      <c r="R1099">
        <f t="shared" si="86"/>
        <v>5</v>
      </c>
      <c r="S1099">
        <f t="shared" ca="1" si="87"/>
        <v>9</v>
      </c>
      <c r="T1099" t="str">
        <f t="shared" ca="1" si="88"/>
        <v>On Track</v>
      </c>
      <c r="U1099" t="str">
        <f t="shared" ca="1" si="89"/>
        <v>Normal</v>
      </c>
    </row>
    <row r="1100" spans="1:22">
      <c r="A1100" t="s">
        <v>2967</v>
      </c>
      <c r="B1100" t="s">
        <v>94</v>
      </c>
      <c r="C1100" t="s">
        <v>2968</v>
      </c>
      <c r="D1100" s="16">
        <v>2696.03</v>
      </c>
      <c r="E1100" t="s">
        <v>37</v>
      </c>
      <c r="F1100" t="s">
        <v>38</v>
      </c>
      <c r="H1100" t="s">
        <v>39</v>
      </c>
      <c r="I1100" t="s">
        <v>29</v>
      </c>
      <c r="J1100" s="13">
        <v>46151</v>
      </c>
      <c r="K1100" s="17" t="s">
        <v>49</v>
      </c>
      <c r="L1100" s="13">
        <v>46196</v>
      </c>
      <c r="M1100" t="s">
        <v>31</v>
      </c>
      <c r="N1100" t="s">
        <v>100</v>
      </c>
      <c r="O1100" s="13">
        <v>46164</v>
      </c>
      <c r="P1100" s="13">
        <v>46169</v>
      </c>
      <c r="Q1100">
        <f t="shared" ca="1" si="85"/>
        <v>38</v>
      </c>
      <c r="R1100">
        <f t="shared" si="86"/>
        <v>13</v>
      </c>
      <c r="S1100">
        <f t="shared" ca="1" si="87"/>
        <v>7</v>
      </c>
      <c r="T1100" t="str">
        <f t="shared" ca="1" si="88"/>
        <v>On Track</v>
      </c>
      <c r="U1100" t="str">
        <f t="shared" ca="1" si="89"/>
        <v>Normal</v>
      </c>
      <c r="V1100" t="s">
        <v>101</v>
      </c>
    </row>
    <row r="1101" spans="1:22">
      <c r="A1101" t="s">
        <v>2969</v>
      </c>
      <c r="B1101" t="s">
        <v>53</v>
      </c>
      <c r="C1101" t="s">
        <v>2970</v>
      </c>
      <c r="D1101" s="16">
        <v>956.4</v>
      </c>
      <c r="E1101" t="s">
        <v>62</v>
      </c>
      <c r="F1101" t="s">
        <v>38</v>
      </c>
      <c r="H1101" t="s">
        <v>64</v>
      </c>
      <c r="I1101" t="s">
        <v>29</v>
      </c>
      <c r="J1101" s="13">
        <v>46165</v>
      </c>
      <c r="K1101" s="17" t="s">
        <v>40</v>
      </c>
      <c r="L1101" s="13">
        <v>46195</v>
      </c>
      <c r="M1101" t="s">
        <v>31</v>
      </c>
      <c r="N1101" t="s">
        <v>100</v>
      </c>
      <c r="O1101" s="13">
        <v>46182</v>
      </c>
      <c r="P1101" s="13">
        <v>46183</v>
      </c>
      <c r="Q1101">
        <f t="shared" ca="1" si="85"/>
        <v>24</v>
      </c>
      <c r="R1101">
        <f t="shared" si="86"/>
        <v>17</v>
      </c>
      <c r="S1101">
        <f t="shared" ca="1" si="87"/>
        <v>6</v>
      </c>
      <c r="T1101" t="str">
        <f t="shared" ca="1" si="88"/>
        <v>On Track</v>
      </c>
      <c r="U1101" t="str">
        <f t="shared" ca="1" si="89"/>
        <v>Normal</v>
      </c>
      <c r="V1101" t="s">
        <v>101</v>
      </c>
    </row>
    <row r="1102" spans="1:22">
      <c r="A1102" t="s">
        <v>2971</v>
      </c>
      <c r="B1102" t="s">
        <v>129</v>
      </c>
      <c r="C1102" t="s">
        <v>2972</v>
      </c>
      <c r="D1102" s="16">
        <v>4619.76</v>
      </c>
      <c r="E1102" t="s">
        <v>142</v>
      </c>
      <c r="F1102" t="s">
        <v>26</v>
      </c>
      <c r="G1102" t="s">
        <v>2973</v>
      </c>
      <c r="H1102" t="s">
        <v>335</v>
      </c>
      <c r="I1102" t="s">
        <v>29</v>
      </c>
      <c r="J1102" s="13">
        <v>46169</v>
      </c>
      <c r="K1102" s="17" t="s">
        <v>30</v>
      </c>
      <c r="L1102" s="13">
        <v>46184</v>
      </c>
      <c r="M1102" t="s">
        <v>99</v>
      </c>
      <c r="N1102" t="s">
        <v>32</v>
      </c>
      <c r="O1102" s="13">
        <v>46177</v>
      </c>
      <c r="Q1102">
        <f t="shared" ca="1" si="85"/>
        <v>20</v>
      </c>
      <c r="R1102">
        <f t="shared" si="86"/>
        <v>8</v>
      </c>
      <c r="S1102">
        <f t="shared" ca="1" si="87"/>
        <v>-5</v>
      </c>
      <c r="T1102" t="str">
        <f t="shared" ca="1" si="88"/>
        <v>On Track</v>
      </c>
      <c r="U1102" t="str">
        <f t="shared" ca="1" si="89"/>
        <v>At Risk</v>
      </c>
    </row>
    <row r="1103" spans="1:22">
      <c r="A1103" t="s">
        <v>2974</v>
      </c>
      <c r="B1103" t="s">
        <v>109</v>
      </c>
      <c r="C1103" t="s">
        <v>2975</v>
      </c>
      <c r="D1103" s="16">
        <v>2615.29</v>
      </c>
      <c r="E1103" t="s">
        <v>37</v>
      </c>
      <c r="F1103" t="s">
        <v>38</v>
      </c>
      <c r="H1103" t="s">
        <v>39</v>
      </c>
      <c r="I1103" t="s">
        <v>29</v>
      </c>
      <c r="J1103" s="13">
        <v>46164</v>
      </c>
      <c r="K1103" s="17" t="s">
        <v>40</v>
      </c>
      <c r="L1103" s="13">
        <v>46194</v>
      </c>
      <c r="M1103" t="s">
        <v>31</v>
      </c>
      <c r="N1103" t="s">
        <v>58</v>
      </c>
      <c r="O1103" s="13">
        <v>46176</v>
      </c>
      <c r="P1103" s="13">
        <v>46202</v>
      </c>
      <c r="Q1103">
        <f t="shared" ca="1" si="85"/>
        <v>25</v>
      </c>
      <c r="R1103">
        <f t="shared" si="86"/>
        <v>12</v>
      </c>
      <c r="S1103">
        <f t="shared" ca="1" si="87"/>
        <v>5</v>
      </c>
      <c r="T1103" t="str">
        <f t="shared" ca="1" si="88"/>
        <v>On Track</v>
      </c>
      <c r="U1103" t="str">
        <f t="shared" ca="1" si="89"/>
        <v>Normal</v>
      </c>
      <c r="V1103" t="s">
        <v>107</v>
      </c>
    </row>
    <row r="1104" spans="1:22">
      <c r="A1104" t="s">
        <v>2976</v>
      </c>
      <c r="B1104" t="s">
        <v>151</v>
      </c>
      <c r="C1104" t="s">
        <v>2977</v>
      </c>
      <c r="D1104" s="16">
        <v>2229.88</v>
      </c>
      <c r="E1104" t="s">
        <v>111</v>
      </c>
      <c r="F1104" t="s">
        <v>26</v>
      </c>
      <c r="G1104" t="s">
        <v>2978</v>
      </c>
      <c r="H1104" t="s">
        <v>113</v>
      </c>
      <c r="I1104" t="s">
        <v>29</v>
      </c>
      <c r="J1104" s="13">
        <v>46175</v>
      </c>
      <c r="K1104" s="17" t="s">
        <v>30</v>
      </c>
      <c r="L1104" s="13">
        <v>46190</v>
      </c>
      <c r="M1104" t="s">
        <v>41</v>
      </c>
      <c r="N1104" t="s">
        <v>32</v>
      </c>
      <c r="Q1104">
        <f t="shared" ca="1" si="85"/>
        <v>14</v>
      </c>
      <c r="R1104" t="str">
        <f t="shared" si="86"/>
        <v/>
      </c>
      <c r="S1104">
        <f t="shared" ca="1" si="87"/>
        <v>1</v>
      </c>
      <c r="T1104" t="str">
        <f t="shared" ca="1" si="88"/>
        <v>Overdue</v>
      </c>
      <c r="U1104" t="str">
        <f t="shared" ca="1" si="89"/>
        <v>At Risk</v>
      </c>
      <c r="V1104" t="s">
        <v>42</v>
      </c>
    </row>
    <row r="1105" spans="1:22">
      <c r="A1105" t="s">
        <v>2979</v>
      </c>
      <c r="B1105" t="s">
        <v>251</v>
      </c>
      <c r="C1105" t="s">
        <v>2980</v>
      </c>
      <c r="D1105" s="16">
        <v>18628.580000000002</v>
      </c>
      <c r="E1105" t="s">
        <v>156</v>
      </c>
      <c r="F1105" t="s">
        <v>26</v>
      </c>
      <c r="G1105" t="s">
        <v>2981</v>
      </c>
      <c r="H1105" t="s">
        <v>394</v>
      </c>
      <c r="I1105" t="s">
        <v>92</v>
      </c>
      <c r="J1105" s="13">
        <v>46156</v>
      </c>
      <c r="K1105" s="17" t="s">
        <v>30</v>
      </c>
      <c r="L1105" s="13">
        <v>46171</v>
      </c>
      <c r="M1105" t="s">
        <v>31</v>
      </c>
      <c r="N1105" t="s">
        <v>32</v>
      </c>
      <c r="O1105" s="13">
        <v>46159</v>
      </c>
      <c r="P1105" s="13">
        <v>46172</v>
      </c>
      <c r="Q1105">
        <f t="shared" ca="1" si="85"/>
        <v>33</v>
      </c>
      <c r="R1105">
        <f t="shared" si="86"/>
        <v>3</v>
      </c>
      <c r="S1105">
        <f t="shared" ca="1" si="87"/>
        <v>-18</v>
      </c>
      <c r="T1105" t="str">
        <f t="shared" ca="1" si="88"/>
        <v>On Track</v>
      </c>
      <c r="U1105" t="str">
        <f t="shared" ca="1" si="89"/>
        <v>Normal</v>
      </c>
      <c r="V1105" t="s">
        <v>107</v>
      </c>
    </row>
    <row r="1106" spans="1:22">
      <c r="A1106" t="s">
        <v>2982</v>
      </c>
      <c r="B1106" t="s">
        <v>67</v>
      </c>
      <c r="C1106" t="s">
        <v>2983</v>
      </c>
      <c r="D1106" s="16">
        <v>1628.4</v>
      </c>
      <c r="E1106" t="s">
        <v>302</v>
      </c>
      <c r="F1106" t="s">
        <v>26</v>
      </c>
      <c r="G1106" t="s">
        <v>2984</v>
      </c>
      <c r="H1106" t="s">
        <v>304</v>
      </c>
      <c r="I1106" t="s">
        <v>29</v>
      </c>
      <c r="J1106" s="13">
        <v>46147</v>
      </c>
      <c r="K1106" s="17" t="s">
        <v>40</v>
      </c>
      <c r="L1106" s="13">
        <v>46177</v>
      </c>
      <c r="M1106" t="s">
        <v>31</v>
      </c>
      <c r="N1106" t="s">
        <v>32</v>
      </c>
      <c r="O1106" s="13">
        <v>46151</v>
      </c>
      <c r="P1106" s="13">
        <v>46179</v>
      </c>
      <c r="Q1106">
        <f t="shared" ca="1" si="85"/>
        <v>42</v>
      </c>
      <c r="R1106">
        <f t="shared" si="86"/>
        <v>4</v>
      </c>
      <c r="S1106">
        <f t="shared" ca="1" si="87"/>
        <v>-12</v>
      </c>
      <c r="T1106" t="str">
        <f t="shared" ca="1" si="88"/>
        <v>On Track</v>
      </c>
      <c r="U1106" t="str">
        <f t="shared" ca="1" si="89"/>
        <v>Normal</v>
      </c>
      <c r="V1106" t="s">
        <v>107</v>
      </c>
    </row>
    <row r="1107" spans="1:22">
      <c r="A1107" t="s">
        <v>2985</v>
      </c>
      <c r="B1107" t="s">
        <v>82</v>
      </c>
      <c r="C1107" t="s">
        <v>2986</v>
      </c>
      <c r="D1107" s="16">
        <v>4572.34</v>
      </c>
      <c r="E1107" t="s">
        <v>126</v>
      </c>
      <c r="F1107" t="s">
        <v>38</v>
      </c>
      <c r="H1107" t="s">
        <v>241</v>
      </c>
      <c r="I1107" t="s">
        <v>29</v>
      </c>
      <c r="J1107" s="13">
        <v>46189</v>
      </c>
      <c r="K1107" s="17" t="s">
        <v>49</v>
      </c>
      <c r="L1107" s="13">
        <v>46234</v>
      </c>
      <c r="M1107" t="s">
        <v>41</v>
      </c>
      <c r="N1107" t="s">
        <v>32</v>
      </c>
      <c r="Q1107">
        <f t="shared" ca="1" si="85"/>
        <v>0</v>
      </c>
      <c r="R1107" t="str">
        <f t="shared" si="86"/>
        <v/>
      </c>
      <c r="S1107">
        <f t="shared" ca="1" si="87"/>
        <v>45</v>
      </c>
      <c r="T1107" t="str">
        <f t="shared" ca="1" si="88"/>
        <v>On Track</v>
      </c>
      <c r="U1107" t="str">
        <f t="shared" ca="1" si="89"/>
        <v>Normal</v>
      </c>
      <c r="V1107" t="s">
        <v>42</v>
      </c>
    </row>
    <row r="1108" spans="1:22">
      <c r="A1108" t="s">
        <v>2987</v>
      </c>
      <c r="B1108" t="s">
        <v>172</v>
      </c>
      <c r="C1108" t="s">
        <v>2988</v>
      </c>
      <c r="D1108" s="16">
        <v>1571.51</v>
      </c>
      <c r="E1108" t="s">
        <v>69</v>
      </c>
      <c r="F1108" t="s">
        <v>38</v>
      </c>
      <c r="H1108" t="s">
        <v>71</v>
      </c>
      <c r="I1108" t="s">
        <v>29</v>
      </c>
      <c r="J1108" s="13">
        <v>46186</v>
      </c>
      <c r="K1108" s="17" t="s">
        <v>49</v>
      </c>
      <c r="L1108" s="13">
        <v>46231</v>
      </c>
      <c r="M1108" t="s">
        <v>99</v>
      </c>
      <c r="N1108" t="s">
        <v>100</v>
      </c>
      <c r="O1108" s="13">
        <v>46189</v>
      </c>
      <c r="Q1108">
        <f t="shared" ca="1" si="85"/>
        <v>3</v>
      </c>
      <c r="R1108">
        <f t="shared" si="86"/>
        <v>3</v>
      </c>
      <c r="S1108">
        <f t="shared" ca="1" si="87"/>
        <v>42</v>
      </c>
      <c r="T1108" t="str">
        <f t="shared" ca="1" si="88"/>
        <v>On Track</v>
      </c>
      <c r="U1108" t="str">
        <f t="shared" ca="1" si="89"/>
        <v>Normal</v>
      </c>
      <c r="V1108" t="s">
        <v>101</v>
      </c>
    </row>
    <row r="1109" spans="1:22">
      <c r="A1109" t="s">
        <v>2989</v>
      </c>
      <c r="B1109" t="s">
        <v>82</v>
      </c>
      <c r="C1109" t="s">
        <v>2990</v>
      </c>
      <c r="D1109" s="16">
        <v>1370.09</v>
      </c>
      <c r="E1109" t="s">
        <v>46</v>
      </c>
      <c r="F1109" t="s">
        <v>38</v>
      </c>
      <c r="H1109" t="s">
        <v>48</v>
      </c>
      <c r="I1109" t="s">
        <v>29</v>
      </c>
      <c r="J1109" s="13">
        <v>46171</v>
      </c>
      <c r="K1109" s="17" t="s">
        <v>49</v>
      </c>
      <c r="L1109" s="13">
        <v>46216</v>
      </c>
      <c r="M1109" t="s">
        <v>41</v>
      </c>
      <c r="N1109" t="s">
        <v>32</v>
      </c>
      <c r="Q1109">
        <f t="shared" ca="1" si="85"/>
        <v>18</v>
      </c>
      <c r="R1109" t="str">
        <f t="shared" si="86"/>
        <v/>
      </c>
      <c r="S1109">
        <f t="shared" ca="1" si="87"/>
        <v>27</v>
      </c>
      <c r="T1109" t="str">
        <f t="shared" ca="1" si="88"/>
        <v>Overdue</v>
      </c>
      <c r="U1109" t="str">
        <f t="shared" ca="1" si="89"/>
        <v>Normal</v>
      </c>
      <c r="V1109" t="s">
        <v>42</v>
      </c>
    </row>
    <row r="1110" spans="1:22">
      <c r="A1110" t="s">
        <v>2991</v>
      </c>
      <c r="B1110" t="s">
        <v>168</v>
      </c>
      <c r="C1110" t="s">
        <v>2992</v>
      </c>
      <c r="D1110" s="16">
        <v>4349.8900000000003</v>
      </c>
      <c r="E1110" t="s">
        <v>55</v>
      </c>
      <c r="F1110" t="s">
        <v>38</v>
      </c>
      <c r="H1110" t="s">
        <v>56</v>
      </c>
      <c r="I1110" t="s">
        <v>29</v>
      </c>
      <c r="J1110" s="13">
        <v>46175</v>
      </c>
      <c r="K1110" s="17" t="s">
        <v>49</v>
      </c>
      <c r="L1110" s="13">
        <v>46220</v>
      </c>
      <c r="M1110" t="s">
        <v>41</v>
      </c>
      <c r="N1110" t="s">
        <v>32</v>
      </c>
      <c r="Q1110">
        <f t="shared" ca="1" si="85"/>
        <v>14</v>
      </c>
      <c r="R1110" t="str">
        <f t="shared" si="86"/>
        <v/>
      </c>
      <c r="S1110">
        <f t="shared" ca="1" si="87"/>
        <v>31</v>
      </c>
      <c r="T1110" t="str">
        <f t="shared" ca="1" si="88"/>
        <v>Overdue</v>
      </c>
      <c r="U1110" t="str">
        <f t="shared" ca="1" si="89"/>
        <v>Normal</v>
      </c>
      <c r="V1110" t="s">
        <v>42</v>
      </c>
    </row>
    <row r="1111" spans="1:22">
      <c r="A1111" t="s">
        <v>2993</v>
      </c>
      <c r="B1111" t="s">
        <v>222</v>
      </c>
      <c r="C1111" t="s">
        <v>2994</v>
      </c>
      <c r="D1111" s="16">
        <v>570.89</v>
      </c>
      <c r="E1111" t="s">
        <v>111</v>
      </c>
      <c r="F1111" t="s">
        <v>26</v>
      </c>
      <c r="G1111" t="s">
        <v>2995</v>
      </c>
      <c r="H1111" t="s">
        <v>113</v>
      </c>
      <c r="I1111" t="s">
        <v>29</v>
      </c>
      <c r="J1111" s="13">
        <v>46175</v>
      </c>
      <c r="K1111" s="17" t="s">
        <v>30</v>
      </c>
      <c r="L1111" s="13">
        <v>46190</v>
      </c>
      <c r="M1111" t="s">
        <v>31</v>
      </c>
      <c r="N1111" t="s">
        <v>32</v>
      </c>
      <c r="O1111" s="13">
        <v>46181</v>
      </c>
      <c r="P1111" s="13">
        <v>46187</v>
      </c>
      <c r="Q1111">
        <f t="shared" ca="1" si="85"/>
        <v>14</v>
      </c>
      <c r="R1111">
        <f t="shared" si="86"/>
        <v>6</v>
      </c>
      <c r="S1111">
        <f t="shared" ca="1" si="87"/>
        <v>1</v>
      </c>
      <c r="T1111" t="str">
        <f t="shared" ca="1" si="88"/>
        <v>On Track</v>
      </c>
      <c r="U1111" t="str">
        <f t="shared" ca="1" si="89"/>
        <v>Normal</v>
      </c>
      <c r="V1111" t="s">
        <v>33</v>
      </c>
    </row>
    <row r="1112" spans="1:22">
      <c r="A1112" t="s">
        <v>2996</v>
      </c>
      <c r="B1112" t="s">
        <v>118</v>
      </c>
      <c r="C1112" t="s">
        <v>2997</v>
      </c>
      <c r="D1112" s="16">
        <v>12764.99</v>
      </c>
      <c r="E1112" t="s">
        <v>69</v>
      </c>
      <c r="F1112" t="s">
        <v>26</v>
      </c>
      <c r="G1112" t="s">
        <v>2998</v>
      </c>
      <c r="H1112" t="s">
        <v>178</v>
      </c>
      <c r="I1112" t="s">
        <v>92</v>
      </c>
      <c r="J1112" s="13">
        <v>46180</v>
      </c>
      <c r="K1112" s="17" t="s">
        <v>49</v>
      </c>
      <c r="L1112" s="13">
        <v>46225</v>
      </c>
      <c r="M1112" t="s">
        <v>99</v>
      </c>
      <c r="N1112" t="s">
        <v>32</v>
      </c>
      <c r="O1112" s="13">
        <v>46182</v>
      </c>
      <c r="Q1112">
        <f t="shared" ca="1" si="85"/>
        <v>9</v>
      </c>
      <c r="R1112">
        <f t="shared" si="86"/>
        <v>2</v>
      </c>
      <c r="S1112">
        <f t="shared" ca="1" si="87"/>
        <v>36</v>
      </c>
      <c r="T1112" t="str">
        <f t="shared" ca="1" si="88"/>
        <v>On Track</v>
      </c>
      <c r="U1112" t="str">
        <f t="shared" ca="1" si="89"/>
        <v>Normal</v>
      </c>
    </row>
    <row r="1113" spans="1:22">
      <c r="A1113" t="s">
        <v>2999</v>
      </c>
      <c r="B1113" t="s">
        <v>137</v>
      </c>
      <c r="C1113" t="s">
        <v>3000</v>
      </c>
      <c r="D1113" s="16">
        <v>8915.3700000000008</v>
      </c>
      <c r="E1113" t="s">
        <v>78</v>
      </c>
      <c r="F1113" t="s">
        <v>26</v>
      </c>
      <c r="G1113" t="s">
        <v>3001</v>
      </c>
      <c r="H1113" t="s">
        <v>91</v>
      </c>
      <c r="I1113" t="s">
        <v>92</v>
      </c>
      <c r="J1113" s="13">
        <v>46174</v>
      </c>
      <c r="K1113" s="17" t="s">
        <v>40</v>
      </c>
      <c r="L1113" s="13">
        <v>46204</v>
      </c>
      <c r="M1113" t="s">
        <v>31</v>
      </c>
      <c r="N1113" t="s">
        <v>32</v>
      </c>
      <c r="O1113" s="13">
        <v>46178</v>
      </c>
      <c r="P1113" s="13">
        <v>46182</v>
      </c>
      <c r="Q1113">
        <f t="shared" ca="1" si="85"/>
        <v>15</v>
      </c>
      <c r="R1113">
        <f t="shared" si="86"/>
        <v>4</v>
      </c>
      <c r="S1113">
        <f t="shared" ca="1" si="87"/>
        <v>15</v>
      </c>
      <c r="T1113" t="str">
        <f t="shared" ca="1" si="88"/>
        <v>On Track</v>
      </c>
      <c r="U1113" t="str">
        <f t="shared" ca="1" si="89"/>
        <v>Normal</v>
      </c>
      <c r="V1113" t="s">
        <v>33</v>
      </c>
    </row>
    <row r="1114" spans="1:22">
      <c r="A1114" t="s">
        <v>3002</v>
      </c>
      <c r="B1114" t="s">
        <v>137</v>
      </c>
      <c r="C1114" t="s">
        <v>3003</v>
      </c>
      <c r="D1114" s="16">
        <v>9714.16</v>
      </c>
      <c r="E1114" t="s">
        <v>69</v>
      </c>
      <c r="F1114" t="s">
        <v>38</v>
      </c>
      <c r="H1114" t="s">
        <v>178</v>
      </c>
      <c r="I1114" t="s">
        <v>92</v>
      </c>
      <c r="J1114" s="13">
        <v>46172</v>
      </c>
      <c r="K1114" s="17" t="s">
        <v>57</v>
      </c>
      <c r="L1114" s="13">
        <v>46202</v>
      </c>
      <c r="M1114" t="s">
        <v>41</v>
      </c>
      <c r="N1114" t="s">
        <v>32</v>
      </c>
      <c r="Q1114">
        <f t="shared" ca="1" si="85"/>
        <v>17</v>
      </c>
      <c r="R1114" t="str">
        <f t="shared" si="86"/>
        <v/>
      </c>
      <c r="S1114">
        <f t="shared" ca="1" si="87"/>
        <v>13</v>
      </c>
      <c r="T1114" t="str">
        <f t="shared" ca="1" si="88"/>
        <v>Overdue</v>
      </c>
      <c r="U1114" t="str">
        <f t="shared" ca="1" si="89"/>
        <v>Normal</v>
      </c>
      <c r="V1114" t="s">
        <v>42</v>
      </c>
    </row>
    <row r="1115" spans="1:22">
      <c r="A1115" t="s">
        <v>3004</v>
      </c>
      <c r="B1115" t="s">
        <v>115</v>
      </c>
      <c r="C1115" t="s">
        <v>3005</v>
      </c>
      <c r="D1115" s="16">
        <v>49223.65</v>
      </c>
      <c r="E1115" t="s">
        <v>302</v>
      </c>
      <c r="F1115" t="s">
        <v>38</v>
      </c>
      <c r="H1115" t="s">
        <v>121</v>
      </c>
      <c r="I1115" t="s">
        <v>122</v>
      </c>
      <c r="J1115" s="13">
        <v>46155</v>
      </c>
      <c r="K1115" s="17" t="s">
        <v>49</v>
      </c>
      <c r="L1115" s="13">
        <v>46200</v>
      </c>
      <c r="M1115" t="s">
        <v>31</v>
      </c>
      <c r="N1115" t="s">
        <v>32</v>
      </c>
      <c r="O1115" s="13">
        <v>46163</v>
      </c>
      <c r="P1115" s="13">
        <v>46166</v>
      </c>
      <c r="Q1115">
        <f t="shared" ca="1" si="85"/>
        <v>34</v>
      </c>
      <c r="R1115">
        <f t="shared" si="86"/>
        <v>8</v>
      </c>
      <c r="S1115">
        <f t="shared" ca="1" si="87"/>
        <v>11</v>
      </c>
      <c r="T1115" t="str">
        <f t="shared" ca="1" si="88"/>
        <v>On Track</v>
      </c>
      <c r="U1115" t="str">
        <f t="shared" ca="1" si="89"/>
        <v>Normal</v>
      </c>
      <c r="V1115" t="s">
        <v>33</v>
      </c>
    </row>
    <row r="1116" spans="1:22">
      <c r="A1116" t="s">
        <v>3006</v>
      </c>
      <c r="B1116" t="s">
        <v>137</v>
      </c>
      <c r="C1116" t="s">
        <v>3007</v>
      </c>
      <c r="D1116" s="16">
        <v>1134.24</v>
      </c>
      <c r="E1116" t="s">
        <v>126</v>
      </c>
      <c r="F1116" t="s">
        <v>38</v>
      </c>
      <c r="H1116" t="s">
        <v>241</v>
      </c>
      <c r="I1116" t="s">
        <v>29</v>
      </c>
      <c r="J1116" s="13">
        <v>46172</v>
      </c>
      <c r="K1116" s="17" t="s">
        <v>30</v>
      </c>
      <c r="L1116" s="13">
        <v>46187</v>
      </c>
      <c r="M1116" t="s">
        <v>145</v>
      </c>
      <c r="N1116" t="s">
        <v>179</v>
      </c>
      <c r="O1116" s="13">
        <v>46186</v>
      </c>
      <c r="Q1116">
        <f t="shared" ca="1" si="85"/>
        <v>17</v>
      </c>
      <c r="R1116">
        <f t="shared" si="86"/>
        <v>14</v>
      </c>
      <c r="S1116">
        <f t="shared" ca="1" si="87"/>
        <v>-2</v>
      </c>
      <c r="T1116" t="str">
        <f t="shared" ca="1" si="88"/>
        <v>On Track</v>
      </c>
      <c r="U1116" t="str">
        <f t="shared" ca="1" si="89"/>
        <v>At Risk</v>
      </c>
      <c r="V1116" t="s">
        <v>180</v>
      </c>
    </row>
    <row r="1117" spans="1:22">
      <c r="A1117" t="s">
        <v>3008</v>
      </c>
      <c r="B1117" t="s">
        <v>271</v>
      </c>
      <c r="C1117" t="s">
        <v>3009</v>
      </c>
      <c r="D1117" s="16">
        <v>1694.87</v>
      </c>
      <c r="E1117" t="s">
        <v>46</v>
      </c>
      <c r="F1117" t="s">
        <v>26</v>
      </c>
      <c r="G1117" t="s">
        <v>3010</v>
      </c>
      <c r="H1117" t="s">
        <v>48</v>
      </c>
      <c r="I1117" t="s">
        <v>29</v>
      </c>
      <c r="J1117" s="13">
        <v>46170</v>
      </c>
      <c r="K1117" s="17" t="s">
        <v>30</v>
      </c>
      <c r="L1117" s="13">
        <v>46185</v>
      </c>
      <c r="M1117" t="s">
        <v>41</v>
      </c>
      <c r="N1117" t="s">
        <v>32</v>
      </c>
      <c r="Q1117">
        <f t="shared" ca="1" si="85"/>
        <v>19</v>
      </c>
      <c r="R1117" t="str">
        <f t="shared" si="86"/>
        <v/>
      </c>
      <c r="S1117">
        <f t="shared" ca="1" si="87"/>
        <v>-4</v>
      </c>
      <c r="T1117" t="str">
        <f t="shared" ca="1" si="88"/>
        <v>Overdue</v>
      </c>
      <c r="U1117" t="str">
        <f t="shared" ca="1" si="89"/>
        <v>At Risk</v>
      </c>
      <c r="V1117" t="s">
        <v>42</v>
      </c>
    </row>
    <row r="1118" spans="1:22">
      <c r="A1118" t="s">
        <v>3011</v>
      </c>
      <c r="B1118" t="s">
        <v>103</v>
      </c>
      <c r="C1118" t="s">
        <v>3012</v>
      </c>
      <c r="D1118" s="16">
        <v>722.26</v>
      </c>
      <c r="E1118" t="s">
        <v>302</v>
      </c>
      <c r="F1118" t="s">
        <v>26</v>
      </c>
      <c r="G1118" t="s">
        <v>3013</v>
      </c>
      <c r="H1118" t="s">
        <v>304</v>
      </c>
      <c r="I1118" t="s">
        <v>29</v>
      </c>
      <c r="J1118" s="13">
        <v>46144</v>
      </c>
      <c r="K1118" s="17" t="s">
        <v>30</v>
      </c>
      <c r="L1118" s="13">
        <v>46159</v>
      </c>
      <c r="M1118" t="s">
        <v>31</v>
      </c>
      <c r="N1118" t="s">
        <v>50</v>
      </c>
      <c r="O1118" s="13">
        <v>46157</v>
      </c>
      <c r="P1118" s="13">
        <v>46163</v>
      </c>
      <c r="Q1118">
        <f t="shared" ca="1" si="85"/>
        <v>45</v>
      </c>
      <c r="R1118">
        <f t="shared" si="86"/>
        <v>13</v>
      </c>
      <c r="S1118">
        <f t="shared" ca="1" si="87"/>
        <v>-30</v>
      </c>
      <c r="T1118" t="str">
        <f t="shared" ca="1" si="88"/>
        <v>On Track</v>
      </c>
      <c r="U1118" t="str">
        <f t="shared" ca="1" si="89"/>
        <v>Normal</v>
      </c>
      <c r="V1118" t="s">
        <v>51</v>
      </c>
    </row>
    <row r="1119" spans="1:22">
      <c r="A1119" t="s">
        <v>3014</v>
      </c>
      <c r="B1119" t="s">
        <v>115</v>
      </c>
      <c r="C1119" t="s">
        <v>3015</v>
      </c>
      <c r="D1119" s="16">
        <v>3202.32</v>
      </c>
      <c r="E1119" t="s">
        <v>78</v>
      </c>
      <c r="F1119" t="s">
        <v>38</v>
      </c>
      <c r="H1119" t="s">
        <v>80</v>
      </c>
      <c r="I1119" t="s">
        <v>29</v>
      </c>
      <c r="J1119" s="13">
        <v>46180</v>
      </c>
      <c r="K1119" s="17" t="s">
        <v>40</v>
      </c>
      <c r="L1119" s="13">
        <v>46210</v>
      </c>
      <c r="M1119" t="s">
        <v>41</v>
      </c>
      <c r="N1119" t="s">
        <v>32</v>
      </c>
      <c r="Q1119">
        <f t="shared" ca="1" si="85"/>
        <v>9</v>
      </c>
      <c r="R1119" t="str">
        <f t="shared" si="86"/>
        <v/>
      </c>
      <c r="S1119">
        <f t="shared" ca="1" si="87"/>
        <v>21</v>
      </c>
      <c r="T1119" t="str">
        <f t="shared" ca="1" si="88"/>
        <v>Overdue</v>
      </c>
      <c r="U1119" t="str">
        <f t="shared" ca="1" si="89"/>
        <v>Normal</v>
      </c>
      <c r="V1119" t="s">
        <v>42</v>
      </c>
    </row>
    <row r="1120" spans="1:22">
      <c r="A1120" t="s">
        <v>3016</v>
      </c>
      <c r="B1120" t="s">
        <v>44</v>
      </c>
      <c r="C1120" t="s">
        <v>3017</v>
      </c>
      <c r="D1120" s="16">
        <v>69750.48</v>
      </c>
      <c r="E1120" t="s">
        <v>142</v>
      </c>
      <c r="F1120" t="s">
        <v>26</v>
      </c>
      <c r="G1120" t="s">
        <v>3018</v>
      </c>
      <c r="H1120" t="s">
        <v>121</v>
      </c>
      <c r="I1120" t="s">
        <v>122</v>
      </c>
      <c r="J1120" s="13">
        <v>46153</v>
      </c>
      <c r="K1120" s="17" t="s">
        <v>40</v>
      </c>
      <c r="L1120" s="13">
        <v>46183</v>
      </c>
      <c r="M1120" t="s">
        <v>31</v>
      </c>
      <c r="N1120" t="s">
        <v>32</v>
      </c>
      <c r="O1120" s="13">
        <v>46162</v>
      </c>
      <c r="P1120" s="13">
        <v>46165</v>
      </c>
      <c r="Q1120">
        <f t="shared" ca="1" si="85"/>
        <v>36</v>
      </c>
      <c r="R1120">
        <f t="shared" si="86"/>
        <v>9</v>
      </c>
      <c r="S1120">
        <f t="shared" ca="1" si="87"/>
        <v>-6</v>
      </c>
      <c r="T1120" t="str">
        <f t="shared" ca="1" si="88"/>
        <v>On Track</v>
      </c>
      <c r="U1120" t="str">
        <f t="shared" ca="1" si="89"/>
        <v>Normal</v>
      </c>
      <c r="V1120" t="s">
        <v>33</v>
      </c>
    </row>
    <row r="1121" spans="1:22">
      <c r="A1121" t="s">
        <v>3019</v>
      </c>
      <c r="B1121" t="s">
        <v>76</v>
      </c>
      <c r="C1121" t="s">
        <v>3020</v>
      </c>
      <c r="D1121" s="16">
        <v>52497.4</v>
      </c>
      <c r="E1121" t="s">
        <v>46</v>
      </c>
      <c r="F1121" t="s">
        <v>26</v>
      </c>
      <c r="G1121" t="s">
        <v>3021</v>
      </c>
      <c r="H1121" t="s">
        <v>121</v>
      </c>
      <c r="I1121" t="s">
        <v>122</v>
      </c>
      <c r="J1121" s="13">
        <v>46167</v>
      </c>
      <c r="K1121" s="17" t="s">
        <v>30</v>
      </c>
      <c r="L1121" s="13">
        <v>46182</v>
      </c>
      <c r="M1121" t="s">
        <v>31</v>
      </c>
      <c r="N1121" t="s">
        <v>32</v>
      </c>
      <c r="O1121" s="13">
        <v>46174</v>
      </c>
      <c r="P1121" s="13">
        <v>46178</v>
      </c>
      <c r="Q1121">
        <f t="shared" ca="1" si="85"/>
        <v>22</v>
      </c>
      <c r="R1121">
        <f t="shared" si="86"/>
        <v>7</v>
      </c>
      <c r="S1121">
        <f t="shared" ca="1" si="87"/>
        <v>-7</v>
      </c>
      <c r="T1121" t="str">
        <f t="shared" ca="1" si="88"/>
        <v>On Track</v>
      </c>
      <c r="U1121" t="str">
        <f t="shared" ca="1" si="89"/>
        <v>Normal</v>
      </c>
      <c r="V1121" t="s">
        <v>33</v>
      </c>
    </row>
    <row r="1122" spans="1:22">
      <c r="A1122" t="s">
        <v>3022</v>
      </c>
      <c r="B1122" t="s">
        <v>109</v>
      </c>
      <c r="C1122" t="s">
        <v>3023</v>
      </c>
      <c r="D1122" s="16">
        <v>24256.04</v>
      </c>
      <c r="E1122" t="s">
        <v>78</v>
      </c>
      <c r="F1122" t="s">
        <v>26</v>
      </c>
      <c r="G1122" t="s">
        <v>3024</v>
      </c>
      <c r="H1122" t="s">
        <v>91</v>
      </c>
      <c r="I1122" t="s">
        <v>92</v>
      </c>
      <c r="J1122" s="13">
        <v>46166</v>
      </c>
      <c r="K1122" s="17" t="s">
        <v>57</v>
      </c>
      <c r="L1122" s="13">
        <v>46196</v>
      </c>
      <c r="M1122" t="s">
        <v>31</v>
      </c>
      <c r="N1122" t="s">
        <v>100</v>
      </c>
      <c r="O1122" s="13">
        <v>46179</v>
      </c>
      <c r="P1122" s="13">
        <v>46204</v>
      </c>
      <c r="Q1122">
        <f t="shared" ca="1" si="85"/>
        <v>23</v>
      </c>
      <c r="R1122">
        <f t="shared" si="86"/>
        <v>13</v>
      </c>
      <c r="S1122">
        <f t="shared" ca="1" si="87"/>
        <v>7</v>
      </c>
      <c r="T1122" t="str">
        <f t="shared" ca="1" si="88"/>
        <v>On Track</v>
      </c>
      <c r="U1122" t="str">
        <f t="shared" ca="1" si="89"/>
        <v>Normal</v>
      </c>
      <c r="V1122" t="s">
        <v>107</v>
      </c>
    </row>
    <row r="1123" spans="1:22">
      <c r="A1123" t="s">
        <v>3025</v>
      </c>
      <c r="B1123" t="s">
        <v>208</v>
      </c>
      <c r="C1123" t="s">
        <v>3026</v>
      </c>
      <c r="D1123" s="16">
        <v>1733.35</v>
      </c>
      <c r="E1123" t="s">
        <v>62</v>
      </c>
      <c r="F1123" t="s">
        <v>26</v>
      </c>
      <c r="G1123" t="s">
        <v>3027</v>
      </c>
      <c r="H1123" t="s">
        <v>64</v>
      </c>
      <c r="I1123" t="s">
        <v>29</v>
      </c>
      <c r="J1123" s="13">
        <v>46177</v>
      </c>
      <c r="K1123" s="17" t="s">
        <v>57</v>
      </c>
      <c r="L1123" s="13">
        <v>46207</v>
      </c>
      <c r="M1123" t="s">
        <v>145</v>
      </c>
      <c r="N1123" t="s">
        <v>32</v>
      </c>
      <c r="O1123" s="13">
        <v>46182</v>
      </c>
      <c r="Q1123">
        <f t="shared" ca="1" si="85"/>
        <v>12</v>
      </c>
      <c r="R1123">
        <f t="shared" si="86"/>
        <v>5</v>
      </c>
      <c r="S1123">
        <f t="shared" ca="1" si="87"/>
        <v>18</v>
      </c>
      <c r="T1123" t="str">
        <f t="shared" ca="1" si="88"/>
        <v>On Track</v>
      </c>
      <c r="U1123" t="str">
        <f t="shared" ca="1" si="89"/>
        <v>Normal</v>
      </c>
    </row>
    <row r="1124" spans="1:22">
      <c r="A1124" t="s">
        <v>3028</v>
      </c>
      <c r="B1124" t="s">
        <v>118</v>
      </c>
      <c r="C1124" t="s">
        <v>3029</v>
      </c>
      <c r="D1124" s="16">
        <v>2358.36</v>
      </c>
      <c r="E1124" t="s">
        <v>37</v>
      </c>
      <c r="F1124" t="s">
        <v>38</v>
      </c>
      <c r="H1124" t="s">
        <v>39</v>
      </c>
      <c r="I1124" t="s">
        <v>29</v>
      </c>
      <c r="J1124" s="13">
        <v>46170</v>
      </c>
      <c r="K1124" s="17" t="s">
        <v>49</v>
      </c>
      <c r="L1124" s="13">
        <v>46215</v>
      </c>
      <c r="M1124" t="s">
        <v>31</v>
      </c>
      <c r="N1124" t="s">
        <v>32</v>
      </c>
      <c r="O1124" s="13">
        <v>46177</v>
      </c>
      <c r="P1124" s="13">
        <v>46183</v>
      </c>
      <c r="Q1124">
        <f t="shared" ca="1" si="85"/>
        <v>19</v>
      </c>
      <c r="R1124">
        <f t="shared" si="86"/>
        <v>7</v>
      </c>
      <c r="S1124">
        <f t="shared" ca="1" si="87"/>
        <v>26</v>
      </c>
      <c r="T1124" t="str">
        <f t="shared" ca="1" si="88"/>
        <v>On Track</v>
      </c>
      <c r="U1124" t="str">
        <f t="shared" ca="1" si="89"/>
        <v>Normal</v>
      </c>
      <c r="V1124" t="s">
        <v>33</v>
      </c>
    </row>
    <row r="1125" spans="1:22">
      <c r="A1125" t="s">
        <v>3030</v>
      </c>
      <c r="B1125" t="s">
        <v>151</v>
      </c>
      <c r="C1125" t="s">
        <v>3031</v>
      </c>
      <c r="D1125" s="16">
        <v>1157.31</v>
      </c>
      <c r="E1125" t="s">
        <v>37</v>
      </c>
      <c r="F1125" t="s">
        <v>26</v>
      </c>
      <c r="G1125" t="s">
        <v>3032</v>
      </c>
      <c r="H1125" t="s">
        <v>39</v>
      </c>
      <c r="I1125" t="s">
        <v>29</v>
      </c>
      <c r="J1125" s="13">
        <v>46154</v>
      </c>
      <c r="K1125" s="17" t="s">
        <v>40</v>
      </c>
      <c r="L1125" s="13">
        <v>46184</v>
      </c>
      <c r="M1125" t="s">
        <v>65</v>
      </c>
      <c r="N1125" t="s">
        <v>100</v>
      </c>
      <c r="Q1125">
        <f t="shared" ca="1" si="85"/>
        <v>35</v>
      </c>
      <c r="R1125" t="str">
        <f t="shared" si="86"/>
        <v/>
      </c>
      <c r="S1125">
        <f t="shared" ca="1" si="87"/>
        <v>-5</v>
      </c>
      <c r="T1125" t="str">
        <f t="shared" ca="1" si="88"/>
        <v>On Track</v>
      </c>
      <c r="U1125" t="str">
        <f t="shared" ca="1" si="89"/>
        <v>At Risk</v>
      </c>
      <c r="V1125" t="s">
        <v>101</v>
      </c>
    </row>
    <row r="1126" spans="1:22">
      <c r="A1126" t="s">
        <v>3033</v>
      </c>
      <c r="B1126" t="s">
        <v>109</v>
      </c>
      <c r="C1126" t="s">
        <v>3034</v>
      </c>
      <c r="D1126" s="16">
        <v>3284.82</v>
      </c>
      <c r="E1126" t="s">
        <v>126</v>
      </c>
      <c r="F1126" t="s">
        <v>26</v>
      </c>
      <c r="G1126" t="s">
        <v>3035</v>
      </c>
      <c r="H1126" t="s">
        <v>241</v>
      </c>
      <c r="I1126" t="s">
        <v>29</v>
      </c>
      <c r="J1126" s="13">
        <v>46187</v>
      </c>
      <c r="K1126" s="17" t="s">
        <v>57</v>
      </c>
      <c r="L1126" s="13">
        <v>46217</v>
      </c>
      <c r="M1126" t="s">
        <v>41</v>
      </c>
      <c r="N1126" t="s">
        <v>32</v>
      </c>
      <c r="Q1126">
        <f t="shared" ca="1" si="85"/>
        <v>2</v>
      </c>
      <c r="R1126" t="str">
        <f t="shared" si="86"/>
        <v/>
      </c>
      <c r="S1126">
        <f t="shared" ca="1" si="87"/>
        <v>28</v>
      </c>
      <c r="T1126" t="str">
        <f t="shared" ca="1" si="88"/>
        <v>On Track</v>
      </c>
      <c r="U1126" t="str">
        <f t="shared" ca="1" si="89"/>
        <v>Normal</v>
      </c>
      <c r="V1126" t="s">
        <v>42</v>
      </c>
    </row>
    <row r="1127" spans="1:22">
      <c r="A1127" t="s">
        <v>3036</v>
      </c>
      <c r="B1127" t="s">
        <v>124</v>
      </c>
      <c r="C1127" t="s">
        <v>3037</v>
      </c>
      <c r="D1127" s="16">
        <v>7545.82</v>
      </c>
      <c r="E1127" t="s">
        <v>126</v>
      </c>
      <c r="F1127" t="s">
        <v>38</v>
      </c>
      <c r="H1127" t="s">
        <v>127</v>
      </c>
      <c r="I1127" t="s">
        <v>92</v>
      </c>
      <c r="J1127" s="13">
        <v>46164</v>
      </c>
      <c r="K1127" s="17" t="s">
        <v>30</v>
      </c>
      <c r="L1127" s="13">
        <v>46179</v>
      </c>
      <c r="M1127" t="s">
        <v>31</v>
      </c>
      <c r="N1127" t="s">
        <v>32</v>
      </c>
      <c r="O1127" s="13">
        <v>46170</v>
      </c>
      <c r="P1127" s="13">
        <v>46177</v>
      </c>
      <c r="Q1127">
        <f t="shared" ca="1" si="85"/>
        <v>25</v>
      </c>
      <c r="R1127">
        <f t="shared" si="86"/>
        <v>6</v>
      </c>
      <c r="S1127">
        <f t="shared" ca="1" si="87"/>
        <v>-10</v>
      </c>
      <c r="T1127" t="str">
        <f t="shared" ca="1" si="88"/>
        <v>On Track</v>
      </c>
      <c r="U1127" t="str">
        <f t="shared" ca="1" si="89"/>
        <v>Normal</v>
      </c>
      <c r="V1127" t="s">
        <v>33</v>
      </c>
    </row>
    <row r="1128" spans="1:22">
      <c r="A1128" t="s">
        <v>3038</v>
      </c>
      <c r="B1128" t="s">
        <v>73</v>
      </c>
      <c r="C1128" t="s">
        <v>3039</v>
      </c>
      <c r="D1128" s="16">
        <v>4353.21</v>
      </c>
      <c r="E1128" t="s">
        <v>25</v>
      </c>
      <c r="F1128" t="s">
        <v>26</v>
      </c>
      <c r="G1128" t="s">
        <v>3040</v>
      </c>
      <c r="H1128" t="s">
        <v>28</v>
      </c>
      <c r="I1128" t="s">
        <v>29</v>
      </c>
      <c r="J1128" s="13">
        <v>46157</v>
      </c>
      <c r="K1128" s="17" t="s">
        <v>49</v>
      </c>
      <c r="L1128" s="13">
        <v>46202</v>
      </c>
      <c r="M1128" t="s">
        <v>41</v>
      </c>
      <c r="N1128" t="s">
        <v>50</v>
      </c>
      <c r="Q1128">
        <f t="shared" ca="1" si="85"/>
        <v>32</v>
      </c>
      <c r="R1128" t="str">
        <f t="shared" si="86"/>
        <v/>
      </c>
      <c r="S1128">
        <f t="shared" ca="1" si="87"/>
        <v>13</v>
      </c>
      <c r="T1128" t="str">
        <f t="shared" ca="1" si="88"/>
        <v>Overdue</v>
      </c>
      <c r="U1128" t="str">
        <f t="shared" ca="1" si="89"/>
        <v>Normal</v>
      </c>
      <c r="V1128" t="s">
        <v>51</v>
      </c>
    </row>
    <row r="1129" spans="1:22">
      <c r="A1129" t="s">
        <v>3041</v>
      </c>
      <c r="B1129" t="s">
        <v>124</v>
      </c>
      <c r="C1129" t="s">
        <v>3042</v>
      </c>
      <c r="D1129" s="16">
        <v>1047.24</v>
      </c>
      <c r="E1129" t="s">
        <v>62</v>
      </c>
      <c r="F1129" t="s">
        <v>26</v>
      </c>
      <c r="G1129" t="s">
        <v>3043</v>
      </c>
      <c r="H1129" t="s">
        <v>64</v>
      </c>
      <c r="I1129" t="s">
        <v>29</v>
      </c>
      <c r="J1129" s="13">
        <v>46179</v>
      </c>
      <c r="K1129" s="17" t="s">
        <v>57</v>
      </c>
      <c r="L1129" s="13">
        <v>46209</v>
      </c>
      <c r="M1129" t="s">
        <v>99</v>
      </c>
      <c r="N1129" t="s">
        <v>179</v>
      </c>
      <c r="O1129" s="13">
        <v>46188</v>
      </c>
      <c r="Q1129">
        <f t="shared" ca="1" si="85"/>
        <v>10</v>
      </c>
      <c r="R1129">
        <f t="shared" si="86"/>
        <v>9</v>
      </c>
      <c r="S1129">
        <f t="shared" ca="1" si="87"/>
        <v>20</v>
      </c>
      <c r="T1129" t="str">
        <f t="shared" ca="1" si="88"/>
        <v>On Track</v>
      </c>
      <c r="U1129" t="str">
        <f t="shared" ca="1" si="89"/>
        <v>Normal</v>
      </c>
      <c r="V1129" t="s">
        <v>180</v>
      </c>
    </row>
    <row r="1130" spans="1:22">
      <c r="A1130" t="s">
        <v>3044</v>
      </c>
      <c r="B1130" t="s">
        <v>187</v>
      </c>
      <c r="C1130" t="s">
        <v>3045</v>
      </c>
      <c r="D1130" s="16">
        <v>2763.06</v>
      </c>
      <c r="E1130" t="s">
        <v>55</v>
      </c>
      <c r="F1130" t="s">
        <v>26</v>
      </c>
      <c r="G1130" t="s">
        <v>3046</v>
      </c>
      <c r="H1130" t="s">
        <v>56</v>
      </c>
      <c r="I1130" t="s">
        <v>29</v>
      </c>
      <c r="J1130" s="13">
        <v>46188</v>
      </c>
      <c r="K1130" s="17" t="s">
        <v>57</v>
      </c>
      <c r="L1130" s="13">
        <v>46218</v>
      </c>
      <c r="M1130" t="s">
        <v>41</v>
      </c>
      <c r="N1130" t="s">
        <v>100</v>
      </c>
      <c r="Q1130">
        <f t="shared" ca="1" si="85"/>
        <v>1</v>
      </c>
      <c r="R1130" t="str">
        <f t="shared" si="86"/>
        <v/>
      </c>
      <c r="S1130">
        <f t="shared" ca="1" si="87"/>
        <v>29</v>
      </c>
      <c r="T1130" t="str">
        <f t="shared" ca="1" si="88"/>
        <v>On Track</v>
      </c>
      <c r="U1130" t="str">
        <f t="shared" ca="1" si="89"/>
        <v>Normal</v>
      </c>
      <c r="V1130" t="s">
        <v>101</v>
      </c>
    </row>
    <row r="1131" spans="1:22">
      <c r="A1131" t="s">
        <v>3047</v>
      </c>
      <c r="B1131" t="s">
        <v>222</v>
      </c>
      <c r="C1131" t="s">
        <v>3048</v>
      </c>
      <c r="D1131" s="16">
        <v>2419.8000000000002</v>
      </c>
      <c r="E1131" t="s">
        <v>55</v>
      </c>
      <c r="F1131" t="s">
        <v>38</v>
      </c>
      <c r="H1131" t="s">
        <v>56</v>
      </c>
      <c r="I1131" t="s">
        <v>29</v>
      </c>
      <c r="J1131" s="13">
        <v>46181</v>
      </c>
      <c r="K1131" s="17" t="s">
        <v>49</v>
      </c>
      <c r="L1131" s="13">
        <v>46226</v>
      </c>
      <c r="M1131" t="s">
        <v>84</v>
      </c>
      <c r="N1131" t="s">
        <v>100</v>
      </c>
      <c r="O1131" s="13">
        <v>46188</v>
      </c>
      <c r="Q1131">
        <f t="shared" ca="1" si="85"/>
        <v>8</v>
      </c>
      <c r="R1131">
        <f t="shared" si="86"/>
        <v>7</v>
      </c>
      <c r="S1131">
        <f t="shared" ca="1" si="87"/>
        <v>37</v>
      </c>
      <c r="T1131" t="str">
        <f t="shared" ca="1" si="88"/>
        <v>On Track</v>
      </c>
      <c r="U1131" t="str">
        <f t="shared" ca="1" si="89"/>
        <v>Normal</v>
      </c>
      <c r="V1131" t="s">
        <v>101</v>
      </c>
    </row>
    <row r="1132" spans="1:22">
      <c r="A1132" t="s">
        <v>3049</v>
      </c>
      <c r="B1132" t="s">
        <v>137</v>
      </c>
      <c r="C1132" t="s">
        <v>3050</v>
      </c>
      <c r="D1132" s="16">
        <v>863.99</v>
      </c>
      <c r="E1132" t="s">
        <v>142</v>
      </c>
      <c r="F1132" t="s">
        <v>26</v>
      </c>
      <c r="G1132" t="s">
        <v>3051</v>
      </c>
      <c r="H1132" t="s">
        <v>335</v>
      </c>
      <c r="I1132" t="s">
        <v>29</v>
      </c>
      <c r="J1132" s="13">
        <v>46153</v>
      </c>
      <c r="K1132" s="17" t="s">
        <v>30</v>
      </c>
      <c r="L1132" s="13">
        <v>46168</v>
      </c>
      <c r="M1132" t="s">
        <v>31</v>
      </c>
      <c r="N1132" t="s">
        <v>100</v>
      </c>
      <c r="O1132" s="13">
        <v>46165</v>
      </c>
      <c r="P1132" s="13">
        <v>46171</v>
      </c>
      <c r="Q1132">
        <f t="shared" ca="1" si="85"/>
        <v>36</v>
      </c>
      <c r="R1132">
        <f t="shared" si="86"/>
        <v>12</v>
      </c>
      <c r="S1132">
        <f t="shared" ca="1" si="87"/>
        <v>-21</v>
      </c>
      <c r="T1132" t="str">
        <f t="shared" ca="1" si="88"/>
        <v>On Track</v>
      </c>
      <c r="U1132" t="str">
        <f t="shared" ca="1" si="89"/>
        <v>Normal</v>
      </c>
      <c r="V1132" t="s">
        <v>101</v>
      </c>
    </row>
    <row r="1133" spans="1:22">
      <c r="A1133" t="s">
        <v>3052</v>
      </c>
      <c r="B1133" t="s">
        <v>137</v>
      </c>
      <c r="C1133" t="s">
        <v>3053</v>
      </c>
      <c r="D1133" s="16">
        <v>3886.9</v>
      </c>
      <c r="E1133" t="s">
        <v>142</v>
      </c>
      <c r="F1133" t="s">
        <v>26</v>
      </c>
      <c r="G1133" t="s">
        <v>3054</v>
      </c>
      <c r="H1133" t="s">
        <v>335</v>
      </c>
      <c r="I1133" t="s">
        <v>29</v>
      </c>
      <c r="J1133" s="13">
        <v>46181</v>
      </c>
      <c r="K1133" s="17" t="s">
        <v>40</v>
      </c>
      <c r="L1133" s="13">
        <v>46211</v>
      </c>
      <c r="M1133" t="s">
        <v>99</v>
      </c>
      <c r="N1133" t="s">
        <v>100</v>
      </c>
      <c r="O1133" s="13">
        <v>46189</v>
      </c>
      <c r="Q1133">
        <f t="shared" ca="1" si="85"/>
        <v>8</v>
      </c>
      <c r="R1133">
        <f t="shared" si="86"/>
        <v>8</v>
      </c>
      <c r="S1133">
        <f t="shared" ca="1" si="87"/>
        <v>22</v>
      </c>
      <c r="T1133" t="str">
        <f t="shared" ca="1" si="88"/>
        <v>On Track</v>
      </c>
      <c r="U1133" t="str">
        <f t="shared" ca="1" si="89"/>
        <v>Normal</v>
      </c>
      <c r="V1133" t="s">
        <v>101</v>
      </c>
    </row>
    <row r="1134" spans="1:22">
      <c r="A1134" t="s">
        <v>3055</v>
      </c>
      <c r="B1134" t="s">
        <v>35</v>
      </c>
      <c r="C1134" t="s">
        <v>3056</v>
      </c>
      <c r="D1134" s="16">
        <v>4371.47</v>
      </c>
      <c r="E1134" t="s">
        <v>302</v>
      </c>
      <c r="F1134" t="s">
        <v>26</v>
      </c>
      <c r="G1134" t="s">
        <v>3057</v>
      </c>
      <c r="H1134" t="s">
        <v>304</v>
      </c>
      <c r="I1134" t="s">
        <v>29</v>
      </c>
      <c r="J1134" s="13">
        <v>46188</v>
      </c>
      <c r="K1134" s="17" t="s">
        <v>49</v>
      </c>
      <c r="L1134" s="13">
        <v>46233</v>
      </c>
      <c r="M1134" t="s">
        <v>41</v>
      </c>
      <c r="N1134" t="s">
        <v>32</v>
      </c>
      <c r="Q1134">
        <f t="shared" ca="1" si="85"/>
        <v>1</v>
      </c>
      <c r="R1134" t="str">
        <f t="shared" si="86"/>
        <v/>
      </c>
      <c r="S1134">
        <f t="shared" ca="1" si="87"/>
        <v>44</v>
      </c>
      <c r="T1134" t="str">
        <f t="shared" ca="1" si="88"/>
        <v>On Track</v>
      </c>
      <c r="U1134" t="str">
        <f t="shared" ca="1" si="89"/>
        <v>Normal</v>
      </c>
      <c r="V1134" t="s">
        <v>42</v>
      </c>
    </row>
    <row r="1135" spans="1:22">
      <c r="A1135" t="s">
        <v>3058</v>
      </c>
      <c r="B1135" t="s">
        <v>76</v>
      </c>
      <c r="C1135" t="s">
        <v>3059</v>
      </c>
      <c r="D1135" s="16">
        <v>615.11</v>
      </c>
      <c r="E1135" t="s">
        <v>111</v>
      </c>
      <c r="F1135" t="s">
        <v>26</v>
      </c>
      <c r="G1135" t="s">
        <v>3060</v>
      </c>
      <c r="H1135" t="s">
        <v>113</v>
      </c>
      <c r="I1135" t="s">
        <v>29</v>
      </c>
      <c r="J1135" s="13">
        <v>46183</v>
      </c>
      <c r="K1135" s="17" t="s">
        <v>30</v>
      </c>
      <c r="L1135" s="13">
        <v>46198</v>
      </c>
      <c r="M1135" t="s">
        <v>41</v>
      </c>
      <c r="N1135" t="s">
        <v>32</v>
      </c>
      <c r="Q1135">
        <f t="shared" ca="1" si="85"/>
        <v>6</v>
      </c>
      <c r="R1135" t="str">
        <f t="shared" si="86"/>
        <v/>
      </c>
      <c r="S1135">
        <f t="shared" ca="1" si="87"/>
        <v>9</v>
      </c>
      <c r="T1135" t="str">
        <f t="shared" ca="1" si="88"/>
        <v>Overdue</v>
      </c>
      <c r="U1135" t="str">
        <f t="shared" ca="1" si="89"/>
        <v>Normal</v>
      </c>
      <c r="V1135" t="s">
        <v>42</v>
      </c>
    </row>
    <row r="1136" spans="1:22">
      <c r="A1136" t="s">
        <v>3061</v>
      </c>
      <c r="B1136" t="s">
        <v>251</v>
      </c>
      <c r="C1136" t="s">
        <v>3062</v>
      </c>
      <c r="D1136" s="16">
        <v>3413.56</v>
      </c>
      <c r="E1136" t="s">
        <v>55</v>
      </c>
      <c r="F1136" t="s">
        <v>26</v>
      </c>
      <c r="G1136" t="s">
        <v>3063</v>
      </c>
      <c r="H1136" t="s">
        <v>56</v>
      </c>
      <c r="I1136" t="s">
        <v>29</v>
      </c>
      <c r="J1136" s="13">
        <v>46165</v>
      </c>
      <c r="K1136" s="17" t="s">
        <v>49</v>
      </c>
      <c r="L1136" s="13">
        <v>46210</v>
      </c>
      <c r="M1136" t="s">
        <v>31</v>
      </c>
      <c r="N1136" t="s">
        <v>50</v>
      </c>
      <c r="O1136" s="13">
        <v>46178</v>
      </c>
      <c r="P1136" s="13">
        <v>46180</v>
      </c>
      <c r="Q1136">
        <f t="shared" ca="1" si="85"/>
        <v>24</v>
      </c>
      <c r="R1136">
        <f t="shared" si="86"/>
        <v>13</v>
      </c>
      <c r="S1136">
        <f t="shared" ca="1" si="87"/>
        <v>21</v>
      </c>
      <c r="T1136" t="str">
        <f t="shared" ca="1" si="88"/>
        <v>On Track</v>
      </c>
      <c r="U1136" t="str">
        <f t="shared" ca="1" si="89"/>
        <v>Normal</v>
      </c>
      <c r="V1136" t="s">
        <v>51</v>
      </c>
    </row>
    <row r="1137" spans="1:22">
      <c r="A1137" t="s">
        <v>3064</v>
      </c>
      <c r="B1137" t="s">
        <v>76</v>
      </c>
      <c r="C1137" t="s">
        <v>3065</v>
      </c>
      <c r="D1137" s="16">
        <v>2474.1799999999998</v>
      </c>
      <c r="E1137" t="s">
        <v>156</v>
      </c>
      <c r="F1137" t="s">
        <v>26</v>
      </c>
      <c r="G1137" t="s">
        <v>3066</v>
      </c>
      <c r="H1137" t="s">
        <v>157</v>
      </c>
      <c r="I1137" t="s">
        <v>29</v>
      </c>
      <c r="J1137" s="13">
        <v>46172</v>
      </c>
      <c r="K1137" s="17" t="s">
        <v>30</v>
      </c>
      <c r="L1137" s="13">
        <v>46187</v>
      </c>
      <c r="M1137" t="s">
        <v>41</v>
      </c>
      <c r="N1137" t="s">
        <v>50</v>
      </c>
      <c r="Q1137">
        <f t="shared" ca="1" si="85"/>
        <v>17</v>
      </c>
      <c r="R1137" t="str">
        <f t="shared" si="86"/>
        <v/>
      </c>
      <c r="S1137">
        <f t="shared" ca="1" si="87"/>
        <v>-2</v>
      </c>
      <c r="T1137" t="str">
        <f t="shared" ca="1" si="88"/>
        <v>Overdue</v>
      </c>
      <c r="U1137" t="str">
        <f t="shared" ca="1" si="89"/>
        <v>At Risk</v>
      </c>
      <c r="V1137" t="s">
        <v>51</v>
      </c>
    </row>
    <row r="1138" spans="1:22">
      <c r="A1138" t="s">
        <v>3067</v>
      </c>
      <c r="B1138" t="s">
        <v>53</v>
      </c>
      <c r="C1138" t="s">
        <v>3068</v>
      </c>
      <c r="D1138" s="16">
        <v>1948.92</v>
      </c>
      <c r="E1138" t="s">
        <v>126</v>
      </c>
      <c r="F1138" t="s">
        <v>26</v>
      </c>
      <c r="G1138" t="s">
        <v>3069</v>
      </c>
      <c r="H1138" t="s">
        <v>241</v>
      </c>
      <c r="I1138" t="s">
        <v>29</v>
      </c>
      <c r="J1138" s="13">
        <v>46159</v>
      </c>
      <c r="K1138" s="17" t="s">
        <v>30</v>
      </c>
      <c r="L1138" s="13">
        <v>46174</v>
      </c>
      <c r="M1138" t="s">
        <v>31</v>
      </c>
      <c r="N1138" t="s">
        <v>50</v>
      </c>
      <c r="O1138" s="13">
        <v>46171</v>
      </c>
      <c r="P1138" s="13">
        <v>46178</v>
      </c>
      <c r="Q1138">
        <f t="shared" ca="1" si="85"/>
        <v>30</v>
      </c>
      <c r="R1138">
        <f t="shared" si="86"/>
        <v>12</v>
      </c>
      <c r="S1138">
        <f t="shared" ca="1" si="87"/>
        <v>-15</v>
      </c>
      <c r="T1138" t="str">
        <f t="shared" ca="1" si="88"/>
        <v>On Track</v>
      </c>
      <c r="U1138" t="str">
        <f t="shared" ca="1" si="89"/>
        <v>Normal</v>
      </c>
      <c r="V1138" t="s">
        <v>51</v>
      </c>
    </row>
    <row r="1139" spans="1:22">
      <c r="A1139" t="s">
        <v>3070</v>
      </c>
      <c r="B1139" t="s">
        <v>187</v>
      </c>
      <c r="C1139" t="s">
        <v>3071</v>
      </c>
      <c r="D1139" s="16">
        <v>3098.88</v>
      </c>
      <c r="E1139" t="s">
        <v>25</v>
      </c>
      <c r="F1139" t="s">
        <v>38</v>
      </c>
      <c r="H1139" t="s">
        <v>28</v>
      </c>
      <c r="I1139" t="s">
        <v>29</v>
      </c>
      <c r="J1139" s="13">
        <v>46173</v>
      </c>
      <c r="K1139" s="17" t="s">
        <v>49</v>
      </c>
      <c r="L1139" s="13">
        <v>46218</v>
      </c>
      <c r="M1139" t="s">
        <v>41</v>
      </c>
      <c r="N1139" t="s">
        <v>58</v>
      </c>
      <c r="Q1139">
        <f t="shared" ca="1" si="85"/>
        <v>16</v>
      </c>
      <c r="R1139" t="str">
        <f t="shared" si="86"/>
        <v/>
      </c>
      <c r="S1139">
        <f t="shared" ca="1" si="87"/>
        <v>29</v>
      </c>
      <c r="T1139" t="str">
        <f t="shared" ca="1" si="88"/>
        <v>Overdue</v>
      </c>
      <c r="U1139" t="str">
        <f t="shared" ca="1" si="89"/>
        <v>Normal</v>
      </c>
      <c r="V1139" t="s">
        <v>59</v>
      </c>
    </row>
    <row r="1140" spans="1:22">
      <c r="A1140" t="s">
        <v>3072</v>
      </c>
      <c r="B1140" t="s">
        <v>76</v>
      </c>
      <c r="C1140" t="s">
        <v>3073</v>
      </c>
      <c r="D1140" s="16">
        <v>3518.06</v>
      </c>
      <c r="E1140" t="s">
        <v>25</v>
      </c>
      <c r="F1140" t="s">
        <v>26</v>
      </c>
      <c r="G1140" t="s">
        <v>3074</v>
      </c>
      <c r="H1140" t="s">
        <v>28</v>
      </c>
      <c r="I1140" t="s">
        <v>29</v>
      </c>
      <c r="J1140" s="13">
        <v>46187</v>
      </c>
      <c r="K1140" s="17" t="s">
        <v>57</v>
      </c>
      <c r="L1140" s="13">
        <v>46217</v>
      </c>
      <c r="M1140" t="s">
        <v>41</v>
      </c>
      <c r="N1140" t="s">
        <v>32</v>
      </c>
      <c r="Q1140">
        <f t="shared" ca="1" si="85"/>
        <v>2</v>
      </c>
      <c r="R1140" t="str">
        <f t="shared" si="86"/>
        <v/>
      </c>
      <c r="S1140">
        <f t="shared" ca="1" si="87"/>
        <v>28</v>
      </c>
      <c r="T1140" t="str">
        <f t="shared" ca="1" si="88"/>
        <v>On Track</v>
      </c>
      <c r="U1140" t="str">
        <f t="shared" ca="1" si="89"/>
        <v>Normal</v>
      </c>
      <c r="V1140" t="s">
        <v>42</v>
      </c>
    </row>
    <row r="1141" spans="1:22">
      <c r="A1141" t="s">
        <v>3075</v>
      </c>
      <c r="B1141" t="s">
        <v>35</v>
      </c>
      <c r="C1141" t="s">
        <v>3076</v>
      </c>
      <c r="D1141" s="16">
        <v>1147.71</v>
      </c>
      <c r="E1141" t="s">
        <v>126</v>
      </c>
      <c r="F1141" t="s">
        <v>38</v>
      </c>
      <c r="H1141" t="s">
        <v>241</v>
      </c>
      <c r="I1141" t="s">
        <v>29</v>
      </c>
      <c r="J1141" s="13">
        <v>46182</v>
      </c>
      <c r="K1141" s="17" t="s">
        <v>57</v>
      </c>
      <c r="L1141" s="13">
        <v>46212</v>
      </c>
      <c r="M1141" t="s">
        <v>99</v>
      </c>
      <c r="N1141" t="s">
        <v>32</v>
      </c>
      <c r="O1141" s="13">
        <v>46189</v>
      </c>
      <c r="Q1141">
        <f t="shared" ca="1" si="85"/>
        <v>7</v>
      </c>
      <c r="R1141">
        <f t="shared" si="86"/>
        <v>7</v>
      </c>
      <c r="S1141">
        <f t="shared" ca="1" si="87"/>
        <v>23</v>
      </c>
      <c r="T1141" t="str">
        <f t="shared" ca="1" si="88"/>
        <v>On Track</v>
      </c>
      <c r="U1141" t="str">
        <f t="shared" ca="1" si="89"/>
        <v>Normal</v>
      </c>
    </row>
    <row r="1142" spans="1:22">
      <c r="A1142" t="s">
        <v>3077</v>
      </c>
      <c r="B1142" t="s">
        <v>271</v>
      </c>
      <c r="C1142" t="s">
        <v>3078</v>
      </c>
      <c r="D1142" s="16">
        <v>4245.7</v>
      </c>
      <c r="E1142" t="s">
        <v>126</v>
      </c>
      <c r="F1142" t="s">
        <v>26</v>
      </c>
      <c r="G1142" t="s">
        <v>3079</v>
      </c>
      <c r="H1142" t="s">
        <v>241</v>
      </c>
      <c r="I1142" t="s">
        <v>29</v>
      </c>
      <c r="J1142" s="13">
        <v>46188</v>
      </c>
      <c r="K1142" s="17" t="s">
        <v>30</v>
      </c>
      <c r="L1142" s="13">
        <v>46203</v>
      </c>
      <c r="M1142" t="s">
        <v>41</v>
      </c>
      <c r="N1142" t="s">
        <v>32</v>
      </c>
      <c r="Q1142">
        <f t="shared" ca="1" si="85"/>
        <v>1</v>
      </c>
      <c r="R1142" t="str">
        <f t="shared" si="86"/>
        <v/>
      </c>
      <c r="S1142">
        <f t="shared" ca="1" si="87"/>
        <v>14</v>
      </c>
      <c r="T1142" t="str">
        <f t="shared" ca="1" si="88"/>
        <v>On Track</v>
      </c>
      <c r="U1142" t="str">
        <f t="shared" ca="1" si="89"/>
        <v>Normal</v>
      </c>
      <c r="V1142" t="s">
        <v>42</v>
      </c>
    </row>
    <row r="1143" spans="1:22">
      <c r="A1143" t="s">
        <v>3080</v>
      </c>
      <c r="B1143" t="s">
        <v>73</v>
      </c>
      <c r="C1143" t="s">
        <v>3081</v>
      </c>
      <c r="D1143" s="16">
        <v>3140.6</v>
      </c>
      <c r="E1143" t="s">
        <v>126</v>
      </c>
      <c r="F1143" t="s">
        <v>26</v>
      </c>
      <c r="G1143" t="s">
        <v>3082</v>
      </c>
      <c r="H1143" t="s">
        <v>241</v>
      </c>
      <c r="I1143" t="s">
        <v>29</v>
      </c>
      <c r="J1143" s="13">
        <v>46170</v>
      </c>
      <c r="K1143" s="17" t="s">
        <v>49</v>
      </c>
      <c r="L1143" s="13">
        <v>46215</v>
      </c>
      <c r="M1143" t="s">
        <v>41</v>
      </c>
      <c r="N1143" t="s">
        <v>32</v>
      </c>
      <c r="Q1143">
        <f t="shared" ca="1" si="85"/>
        <v>19</v>
      </c>
      <c r="R1143" t="str">
        <f t="shared" si="86"/>
        <v/>
      </c>
      <c r="S1143">
        <f t="shared" ca="1" si="87"/>
        <v>26</v>
      </c>
      <c r="T1143" t="str">
        <f t="shared" ca="1" si="88"/>
        <v>Overdue</v>
      </c>
      <c r="U1143" t="str">
        <f t="shared" ca="1" si="89"/>
        <v>Normal</v>
      </c>
      <c r="V1143" t="s">
        <v>42</v>
      </c>
    </row>
    <row r="1144" spans="1:22">
      <c r="A1144" t="s">
        <v>3083</v>
      </c>
      <c r="B1144" t="s">
        <v>129</v>
      </c>
      <c r="C1144" t="s">
        <v>3084</v>
      </c>
      <c r="D1144" s="16">
        <v>4302.03</v>
      </c>
      <c r="E1144" t="s">
        <v>78</v>
      </c>
      <c r="F1144" t="s">
        <v>38</v>
      </c>
      <c r="H1144" t="s">
        <v>80</v>
      </c>
      <c r="I1144" t="s">
        <v>29</v>
      </c>
      <c r="J1144" s="13">
        <v>46162</v>
      </c>
      <c r="K1144" s="17" t="s">
        <v>57</v>
      </c>
      <c r="L1144" s="13">
        <v>46192</v>
      </c>
      <c r="M1144" t="s">
        <v>31</v>
      </c>
      <c r="N1144" t="s">
        <v>50</v>
      </c>
      <c r="O1144" s="13">
        <v>46170</v>
      </c>
      <c r="P1144" s="13">
        <v>46176</v>
      </c>
      <c r="Q1144">
        <f t="shared" ca="1" si="85"/>
        <v>27</v>
      </c>
      <c r="R1144">
        <f t="shared" si="86"/>
        <v>8</v>
      </c>
      <c r="S1144">
        <f t="shared" ca="1" si="87"/>
        <v>3</v>
      </c>
      <c r="T1144" t="str">
        <f t="shared" ca="1" si="88"/>
        <v>On Track</v>
      </c>
      <c r="U1144" t="str">
        <f t="shared" ca="1" si="89"/>
        <v>Normal</v>
      </c>
      <c r="V1144" t="s">
        <v>51</v>
      </c>
    </row>
    <row r="1145" spans="1:22">
      <c r="A1145" t="s">
        <v>3085</v>
      </c>
      <c r="B1145" t="s">
        <v>94</v>
      </c>
      <c r="C1145" t="s">
        <v>3086</v>
      </c>
      <c r="D1145" s="16">
        <v>1698.71</v>
      </c>
      <c r="E1145" t="s">
        <v>69</v>
      </c>
      <c r="F1145" t="s">
        <v>38</v>
      </c>
      <c r="H1145" t="s">
        <v>71</v>
      </c>
      <c r="I1145" t="s">
        <v>29</v>
      </c>
      <c r="J1145" s="13">
        <v>46167</v>
      </c>
      <c r="K1145" s="17" t="s">
        <v>30</v>
      </c>
      <c r="L1145" s="13">
        <v>46182</v>
      </c>
      <c r="M1145" t="s">
        <v>31</v>
      </c>
      <c r="N1145" t="s">
        <v>32</v>
      </c>
      <c r="O1145" s="13">
        <v>46177</v>
      </c>
      <c r="P1145" s="13">
        <v>46184</v>
      </c>
      <c r="Q1145">
        <f t="shared" ca="1" si="85"/>
        <v>22</v>
      </c>
      <c r="R1145">
        <f t="shared" si="86"/>
        <v>10</v>
      </c>
      <c r="S1145">
        <f t="shared" ca="1" si="87"/>
        <v>-7</v>
      </c>
      <c r="T1145" t="str">
        <f t="shared" ca="1" si="88"/>
        <v>On Track</v>
      </c>
      <c r="U1145" t="str">
        <f t="shared" ca="1" si="89"/>
        <v>Normal</v>
      </c>
      <c r="V1145" t="s">
        <v>33</v>
      </c>
    </row>
    <row r="1146" spans="1:22">
      <c r="A1146" t="s">
        <v>3087</v>
      </c>
      <c r="B1146" t="s">
        <v>103</v>
      </c>
      <c r="C1146" t="s">
        <v>3088</v>
      </c>
      <c r="D1146" s="16">
        <v>2475.35</v>
      </c>
      <c r="E1146" t="s">
        <v>62</v>
      </c>
      <c r="F1146" t="s">
        <v>26</v>
      </c>
      <c r="G1146" t="s">
        <v>3089</v>
      </c>
      <c r="H1146" t="s">
        <v>64</v>
      </c>
      <c r="I1146" t="s">
        <v>29</v>
      </c>
      <c r="J1146" s="13">
        <v>46156</v>
      </c>
      <c r="K1146" s="17" t="s">
        <v>57</v>
      </c>
      <c r="L1146" s="13">
        <v>46186</v>
      </c>
      <c r="M1146" t="s">
        <v>31</v>
      </c>
      <c r="N1146" t="s">
        <v>32</v>
      </c>
      <c r="O1146" s="13">
        <v>46158</v>
      </c>
      <c r="P1146" s="13">
        <v>46162</v>
      </c>
      <c r="Q1146">
        <f t="shared" ca="1" si="85"/>
        <v>33</v>
      </c>
      <c r="R1146">
        <f t="shared" si="86"/>
        <v>2</v>
      </c>
      <c r="S1146">
        <f t="shared" ca="1" si="87"/>
        <v>-3</v>
      </c>
      <c r="T1146" t="str">
        <f t="shared" ca="1" si="88"/>
        <v>On Track</v>
      </c>
      <c r="U1146" t="str">
        <f t="shared" ca="1" si="89"/>
        <v>Normal</v>
      </c>
      <c r="V1146" t="s">
        <v>33</v>
      </c>
    </row>
    <row r="1147" spans="1:22">
      <c r="A1147" t="s">
        <v>3090</v>
      </c>
      <c r="B1147" t="s">
        <v>124</v>
      </c>
      <c r="C1147" t="s">
        <v>3091</v>
      </c>
      <c r="D1147" s="16">
        <v>21506.39</v>
      </c>
      <c r="E1147" t="s">
        <v>142</v>
      </c>
      <c r="F1147" t="s">
        <v>38</v>
      </c>
      <c r="H1147" t="s">
        <v>144</v>
      </c>
      <c r="I1147" t="s">
        <v>92</v>
      </c>
      <c r="J1147" s="13">
        <v>46173</v>
      </c>
      <c r="K1147" s="17" t="s">
        <v>40</v>
      </c>
      <c r="L1147" s="13">
        <v>46203</v>
      </c>
      <c r="M1147" t="s">
        <v>99</v>
      </c>
      <c r="N1147" t="s">
        <v>50</v>
      </c>
      <c r="O1147" s="13">
        <v>46189</v>
      </c>
      <c r="Q1147">
        <f t="shared" ca="1" si="85"/>
        <v>16</v>
      </c>
      <c r="R1147">
        <f t="shared" si="86"/>
        <v>16</v>
      </c>
      <c r="S1147">
        <f t="shared" ca="1" si="87"/>
        <v>14</v>
      </c>
      <c r="T1147" t="str">
        <f t="shared" ca="1" si="88"/>
        <v>On Track</v>
      </c>
      <c r="U1147" t="str">
        <f t="shared" ca="1" si="89"/>
        <v>Normal</v>
      </c>
      <c r="V1147" t="s">
        <v>51</v>
      </c>
    </row>
    <row r="1148" spans="1:22">
      <c r="A1148" t="s">
        <v>3092</v>
      </c>
      <c r="B1148" t="s">
        <v>23</v>
      </c>
      <c r="C1148" t="s">
        <v>3093</v>
      </c>
      <c r="D1148" s="16">
        <v>313.47000000000003</v>
      </c>
      <c r="E1148" t="s">
        <v>46</v>
      </c>
      <c r="F1148" t="s">
        <v>38</v>
      </c>
      <c r="H1148" t="s">
        <v>48</v>
      </c>
      <c r="I1148" t="s">
        <v>29</v>
      </c>
      <c r="J1148" s="13">
        <v>46186</v>
      </c>
      <c r="K1148" s="17" t="s">
        <v>57</v>
      </c>
      <c r="L1148" s="13">
        <v>46216</v>
      </c>
      <c r="M1148" t="s">
        <v>41</v>
      </c>
      <c r="N1148" t="s">
        <v>32</v>
      </c>
      <c r="Q1148">
        <f t="shared" ca="1" si="85"/>
        <v>3</v>
      </c>
      <c r="R1148" t="str">
        <f t="shared" si="86"/>
        <v/>
      </c>
      <c r="S1148">
        <f t="shared" ca="1" si="87"/>
        <v>27</v>
      </c>
      <c r="T1148" t="str">
        <f t="shared" ca="1" si="88"/>
        <v>On Track</v>
      </c>
      <c r="U1148" t="str">
        <f t="shared" ca="1" si="89"/>
        <v>Normal</v>
      </c>
      <c r="V1148" t="s">
        <v>42</v>
      </c>
    </row>
    <row r="1149" spans="1:22">
      <c r="A1149" t="s">
        <v>3094</v>
      </c>
      <c r="B1149" t="s">
        <v>222</v>
      </c>
      <c r="C1149" t="s">
        <v>3095</v>
      </c>
      <c r="D1149" s="16">
        <v>348.65</v>
      </c>
      <c r="E1149" t="s">
        <v>156</v>
      </c>
      <c r="F1149" t="s">
        <v>26</v>
      </c>
      <c r="G1149" t="s">
        <v>3096</v>
      </c>
      <c r="H1149" t="s">
        <v>157</v>
      </c>
      <c r="I1149" t="s">
        <v>29</v>
      </c>
      <c r="J1149" s="13">
        <v>46179</v>
      </c>
      <c r="K1149" s="17" t="s">
        <v>49</v>
      </c>
      <c r="L1149" s="13">
        <v>46224</v>
      </c>
      <c r="M1149" t="s">
        <v>41</v>
      </c>
      <c r="N1149" t="s">
        <v>32</v>
      </c>
      <c r="Q1149">
        <f t="shared" ca="1" si="85"/>
        <v>10</v>
      </c>
      <c r="R1149" t="str">
        <f t="shared" si="86"/>
        <v/>
      </c>
      <c r="S1149">
        <f t="shared" ca="1" si="87"/>
        <v>35</v>
      </c>
      <c r="T1149" t="str">
        <f t="shared" ca="1" si="88"/>
        <v>Overdue</v>
      </c>
      <c r="U1149" t="str">
        <f t="shared" ca="1" si="89"/>
        <v>Normal</v>
      </c>
      <c r="V1149" t="s">
        <v>42</v>
      </c>
    </row>
    <row r="1150" spans="1:22">
      <c r="A1150" t="s">
        <v>3097</v>
      </c>
      <c r="B1150" t="s">
        <v>168</v>
      </c>
      <c r="C1150" t="s">
        <v>3098</v>
      </c>
      <c r="D1150" s="16">
        <v>36607.54</v>
      </c>
      <c r="E1150" t="s">
        <v>55</v>
      </c>
      <c r="F1150" t="s">
        <v>38</v>
      </c>
      <c r="H1150" t="s">
        <v>121</v>
      </c>
      <c r="I1150" t="s">
        <v>122</v>
      </c>
      <c r="J1150" s="13">
        <v>46147</v>
      </c>
      <c r="K1150" s="17" t="s">
        <v>49</v>
      </c>
      <c r="L1150" s="13">
        <v>46192</v>
      </c>
      <c r="M1150" t="s">
        <v>31</v>
      </c>
      <c r="N1150" t="s">
        <v>100</v>
      </c>
      <c r="O1150" s="13">
        <v>46166</v>
      </c>
      <c r="P1150" s="13">
        <v>46169</v>
      </c>
      <c r="Q1150">
        <f t="shared" ca="1" si="85"/>
        <v>42</v>
      </c>
      <c r="R1150">
        <f t="shared" si="86"/>
        <v>19</v>
      </c>
      <c r="S1150">
        <f t="shared" ca="1" si="87"/>
        <v>3</v>
      </c>
      <c r="T1150" t="str">
        <f t="shared" ca="1" si="88"/>
        <v>On Track</v>
      </c>
      <c r="U1150" t="str">
        <f t="shared" ca="1" si="89"/>
        <v>Normal</v>
      </c>
      <c r="V1150" t="s">
        <v>101</v>
      </c>
    </row>
    <row r="1151" spans="1:22">
      <c r="A1151" t="s">
        <v>3099</v>
      </c>
      <c r="B1151" t="s">
        <v>129</v>
      </c>
      <c r="C1151" t="s">
        <v>3100</v>
      </c>
      <c r="D1151" s="16">
        <v>81351.73</v>
      </c>
      <c r="E1151" t="s">
        <v>78</v>
      </c>
      <c r="F1151" t="s">
        <v>26</v>
      </c>
      <c r="G1151" t="s">
        <v>3101</v>
      </c>
      <c r="H1151" t="s">
        <v>121</v>
      </c>
      <c r="I1151" t="s">
        <v>122</v>
      </c>
      <c r="J1151" s="13">
        <v>46163</v>
      </c>
      <c r="K1151" s="17" t="s">
        <v>57</v>
      </c>
      <c r="L1151" s="13">
        <v>46193</v>
      </c>
      <c r="M1151" t="s">
        <v>31</v>
      </c>
      <c r="N1151" t="s">
        <v>32</v>
      </c>
      <c r="O1151" s="13">
        <v>46170</v>
      </c>
      <c r="P1151" s="13">
        <v>46174</v>
      </c>
      <c r="Q1151">
        <f t="shared" ca="1" si="85"/>
        <v>26</v>
      </c>
      <c r="R1151">
        <f t="shared" si="86"/>
        <v>7</v>
      </c>
      <c r="S1151">
        <f t="shared" ca="1" si="87"/>
        <v>4</v>
      </c>
      <c r="T1151" t="str">
        <f t="shared" ca="1" si="88"/>
        <v>On Track</v>
      </c>
      <c r="U1151" t="str">
        <f t="shared" ca="1" si="89"/>
        <v>Normal</v>
      </c>
      <c r="V1151" t="s">
        <v>33</v>
      </c>
    </row>
    <row r="1152" spans="1:22">
      <c r="A1152" t="s">
        <v>3102</v>
      </c>
      <c r="B1152" t="s">
        <v>53</v>
      </c>
      <c r="C1152" t="s">
        <v>3103</v>
      </c>
      <c r="D1152" s="16">
        <v>1532.63</v>
      </c>
      <c r="E1152" t="s">
        <v>37</v>
      </c>
      <c r="F1152" t="s">
        <v>38</v>
      </c>
      <c r="H1152" t="s">
        <v>39</v>
      </c>
      <c r="I1152" t="s">
        <v>29</v>
      </c>
      <c r="J1152" s="13">
        <v>46188</v>
      </c>
      <c r="K1152" s="17" t="s">
        <v>57</v>
      </c>
      <c r="L1152" s="13">
        <v>46218</v>
      </c>
      <c r="M1152" t="s">
        <v>41</v>
      </c>
      <c r="N1152" t="s">
        <v>32</v>
      </c>
      <c r="Q1152">
        <f t="shared" ca="1" si="85"/>
        <v>1</v>
      </c>
      <c r="R1152" t="str">
        <f t="shared" si="86"/>
        <v/>
      </c>
      <c r="S1152">
        <f t="shared" ca="1" si="87"/>
        <v>29</v>
      </c>
      <c r="T1152" t="str">
        <f t="shared" ca="1" si="88"/>
        <v>On Track</v>
      </c>
      <c r="U1152" t="str">
        <f t="shared" ca="1" si="89"/>
        <v>Normal</v>
      </c>
      <c r="V1152" t="s">
        <v>42</v>
      </c>
    </row>
    <row r="1153" spans="1:22">
      <c r="A1153" t="s">
        <v>3104</v>
      </c>
      <c r="B1153" t="s">
        <v>129</v>
      </c>
      <c r="C1153" t="s">
        <v>3105</v>
      </c>
      <c r="D1153" s="16">
        <v>73335.58</v>
      </c>
      <c r="E1153" t="s">
        <v>126</v>
      </c>
      <c r="F1153" t="s">
        <v>38</v>
      </c>
      <c r="H1153" t="s">
        <v>121</v>
      </c>
      <c r="I1153" t="s">
        <v>122</v>
      </c>
      <c r="J1153" s="13">
        <v>46164</v>
      </c>
      <c r="K1153" s="17" t="s">
        <v>40</v>
      </c>
      <c r="L1153" s="13">
        <v>46194</v>
      </c>
      <c r="M1153" t="s">
        <v>99</v>
      </c>
      <c r="N1153" t="s">
        <v>58</v>
      </c>
      <c r="O1153" s="13">
        <v>46189</v>
      </c>
      <c r="Q1153">
        <f t="shared" ca="1" si="85"/>
        <v>25</v>
      </c>
      <c r="R1153">
        <f t="shared" si="86"/>
        <v>25</v>
      </c>
      <c r="S1153">
        <f t="shared" ca="1" si="87"/>
        <v>5</v>
      </c>
      <c r="T1153" t="str">
        <f t="shared" ca="1" si="88"/>
        <v>On Track</v>
      </c>
      <c r="U1153" t="str">
        <f t="shared" ca="1" si="89"/>
        <v>At Risk</v>
      </c>
      <c r="V1153" t="s">
        <v>59</v>
      </c>
    </row>
    <row r="1154" spans="1:22">
      <c r="A1154" t="s">
        <v>3106</v>
      </c>
      <c r="B1154" t="s">
        <v>23</v>
      </c>
      <c r="C1154" t="s">
        <v>3107</v>
      </c>
      <c r="D1154" s="16">
        <v>41410.410000000003</v>
      </c>
      <c r="E1154" t="s">
        <v>37</v>
      </c>
      <c r="F1154" t="s">
        <v>26</v>
      </c>
      <c r="G1154" t="s">
        <v>3108</v>
      </c>
      <c r="H1154" t="s">
        <v>121</v>
      </c>
      <c r="I1154" t="s">
        <v>122</v>
      </c>
      <c r="J1154" s="13">
        <v>46159</v>
      </c>
      <c r="K1154" s="17" t="s">
        <v>40</v>
      </c>
      <c r="L1154" s="13">
        <v>46189</v>
      </c>
      <c r="M1154" t="s">
        <v>31</v>
      </c>
      <c r="N1154" t="s">
        <v>32</v>
      </c>
      <c r="O1154" s="13">
        <v>46161</v>
      </c>
      <c r="P1154" s="13">
        <v>46197</v>
      </c>
      <c r="Q1154">
        <f t="shared" ref="Q1154:Q1201" ca="1" si="90">IF(J1154="","",TODAY()-J1154)</f>
        <v>30</v>
      </c>
      <c r="R1154">
        <f t="shared" ref="R1154:R1201" si="91">IF(O1154="","",O1154-J1154)</f>
        <v>2</v>
      </c>
      <c r="S1154">
        <f t="shared" ref="S1154:S1201" ca="1" si="92">IF(L1154="","",L1154-TODAY())</f>
        <v>0</v>
      </c>
      <c r="T1154" t="str">
        <f t="shared" ref="T1154:T1201" ca="1" si="93">IF(AND(M1154="Pending Approval",Q1154&gt;5),"Overdue","On Track")</f>
        <v>On Track</v>
      </c>
      <c r="U1154" t="str">
        <f t="shared" ref="U1154:U1201" ca="1" si="94">IF(AND(M1154&lt;&gt;"Paid",S1154&lt;=5),"At Risk","Normal")</f>
        <v>Normal</v>
      </c>
      <c r="V1154" t="s">
        <v>107</v>
      </c>
    </row>
    <row r="1155" spans="1:22">
      <c r="A1155" t="s">
        <v>3109</v>
      </c>
      <c r="B1155" t="s">
        <v>222</v>
      </c>
      <c r="C1155" t="s">
        <v>3110</v>
      </c>
      <c r="D1155" s="16">
        <v>2658.02</v>
      </c>
      <c r="E1155" t="s">
        <v>37</v>
      </c>
      <c r="F1155" t="s">
        <v>26</v>
      </c>
      <c r="G1155" t="s">
        <v>3111</v>
      </c>
      <c r="H1155" t="s">
        <v>39</v>
      </c>
      <c r="I1155" t="s">
        <v>29</v>
      </c>
      <c r="J1155" s="13">
        <v>46161</v>
      </c>
      <c r="K1155" s="17" t="s">
        <v>30</v>
      </c>
      <c r="L1155" s="13">
        <v>46176</v>
      </c>
      <c r="M1155" t="s">
        <v>99</v>
      </c>
      <c r="N1155" t="s">
        <v>32</v>
      </c>
      <c r="O1155" s="13">
        <v>46165</v>
      </c>
      <c r="Q1155">
        <f t="shared" ca="1" si="90"/>
        <v>28</v>
      </c>
      <c r="R1155">
        <f t="shared" si="91"/>
        <v>4</v>
      </c>
      <c r="S1155">
        <f t="shared" ca="1" si="92"/>
        <v>-13</v>
      </c>
      <c r="T1155" t="str">
        <f t="shared" ca="1" si="93"/>
        <v>On Track</v>
      </c>
      <c r="U1155" t="str">
        <f t="shared" ca="1" si="94"/>
        <v>At Risk</v>
      </c>
    </row>
    <row r="1156" spans="1:22">
      <c r="A1156" t="s">
        <v>3112</v>
      </c>
      <c r="B1156" t="s">
        <v>109</v>
      </c>
      <c r="C1156" t="s">
        <v>3113</v>
      </c>
      <c r="D1156" s="16">
        <v>3788.8</v>
      </c>
      <c r="E1156" t="s">
        <v>46</v>
      </c>
      <c r="F1156" t="s">
        <v>26</v>
      </c>
      <c r="G1156" t="s">
        <v>3114</v>
      </c>
      <c r="H1156" t="s">
        <v>48</v>
      </c>
      <c r="I1156" t="s">
        <v>29</v>
      </c>
      <c r="J1156" s="13">
        <v>46184</v>
      </c>
      <c r="K1156" s="17" t="s">
        <v>30</v>
      </c>
      <c r="L1156" s="13">
        <v>46199</v>
      </c>
      <c r="M1156" t="s">
        <v>65</v>
      </c>
      <c r="N1156" t="s">
        <v>32</v>
      </c>
      <c r="Q1156">
        <f t="shared" ca="1" si="90"/>
        <v>5</v>
      </c>
      <c r="R1156" t="str">
        <f t="shared" si="91"/>
        <v/>
      </c>
      <c r="S1156">
        <f t="shared" ca="1" si="92"/>
        <v>10</v>
      </c>
      <c r="T1156" t="str">
        <f t="shared" ca="1" si="93"/>
        <v>On Track</v>
      </c>
      <c r="U1156" t="str">
        <f t="shared" ca="1" si="94"/>
        <v>Normal</v>
      </c>
    </row>
    <row r="1157" spans="1:22">
      <c r="A1157" t="s">
        <v>3115</v>
      </c>
      <c r="B1157" t="s">
        <v>44</v>
      </c>
      <c r="C1157" t="s">
        <v>3116</v>
      </c>
      <c r="D1157" s="16">
        <v>1679.47</v>
      </c>
      <c r="E1157" t="s">
        <v>142</v>
      </c>
      <c r="F1157" t="s">
        <v>38</v>
      </c>
      <c r="H1157" t="s">
        <v>335</v>
      </c>
      <c r="I1157" t="s">
        <v>29</v>
      </c>
      <c r="J1157" s="13">
        <v>46156</v>
      </c>
      <c r="K1157" s="17" t="s">
        <v>57</v>
      </c>
      <c r="L1157" s="13">
        <v>46186</v>
      </c>
      <c r="M1157" t="s">
        <v>31</v>
      </c>
      <c r="N1157" t="s">
        <v>100</v>
      </c>
      <c r="O1157" s="13">
        <v>46169</v>
      </c>
      <c r="P1157" s="13">
        <v>46171</v>
      </c>
      <c r="Q1157">
        <f t="shared" ca="1" si="90"/>
        <v>33</v>
      </c>
      <c r="R1157">
        <f t="shared" si="91"/>
        <v>13</v>
      </c>
      <c r="S1157">
        <f t="shared" ca="1" si="92"/>
        <v>-3</v>
      </c>
      <c r="T1157" t="str">
        <f t="shared" ca="1" si="93"/>
        <v>On Track</v>
      </c>
      <c r="U1157" t="str">
        <f t="shared" ca="1" si="94"/>
        <v>Normal</v>
      </c>
      <c r="V1157" t="s">
        <v>101</v>
      </c>
    </row>
    <row r="1158" spans="1:22">
      <c r="A1158" t="s">
        <v>3117</v>
      </c>
      <c r="B1158" t="s">
        <v>35</v>
      </c>
      <c r="C1158" t="s">
        <v>3118</v>
      </c>
      <c r="D1158" s="16">
        <v>1960.84</v>
      </c>
      <c r="E1158" t="s">
        <v>156</v>
      </c>
      <c r="F1158" t="s">
        <v>38</v>
      </c>
      <c r="H1158" t="s">
        <v>157</v>
      </c>
      <c r="I1158" t="s">
        <v>29</v>
      </c>
      <c r="J1158" s="13">
        <v>46144</v>
      </c>
      <c r="K1158" s="17" t="s">
        <v>49</v>
      </c>
      <c r="L1158" s="13">
        <v>46189</v>
      </c>
      <c r="M1158" t="s">
        <v>31</v>
      </c>
      <c r="N1158" t="s">
        <v>58</v>
      </c>
      <c r="O1158" s="13">
        <v>46152</v>
      </c>
      <c r="P1158" s="13">
        <v>46159</v>
      </c>
      <c r="Q1158">
        <f t="shared" ca="1" si="90"/>
        <v>45</v>
      </c>
      <c r="R1158">
        <f t="shared" si="91"/>
        <v>8</v>
      </c>
      <c r="S1158">
        <f t="shared" ca="1" si="92"/>
        <v>0</v>
      </c>
      <c r="T1158" t="str">
        <f t="shared" ca="1" si="93"/>
        <v>On Track</v>
      </c>
      <c r="U1158" t="str">
        <f t="shared" ca="1" si="94"/>
        <v>Normal</v>
      </c>
      <c r="V1158" t="s">
        <v>59</v>
      </c>
    </row>
    <row r="1159" spans="1:22">
      <c r="A1159" t="s">
        <v>3119</v>
      </c>
      <c r="B1159" t="s">
        <v>124</v>
      </c>
      <c r="C1159" t="s">
        <v>3120</v>
      </c>
      <c r="D1159" s="16">
        <v>964.25</v>
      </c>
      <c r="E1159" t="s">
        <v>111</v>
      </c>
      <c r="F1159" t="s">
        <v>26</v>
      </c>
      <c r="G1159" t="s">
        <v>3121</v>
      </c>
      <c r="H1159" t="s">
        <v>113</v>
      </c>
      <c r="I1159" t="s">
        <v>29</v>
      </c>
      <c r="J1159" s="13">
        <v>46150</v>
      </c>
      <c r="K1159" s="17" t="s">
        <v>49</v>
      </c>
      <c r="L1159" s="13">
        <v>46195</v>
      </c>
      <c r="M1159" t="s">
        <v>31</v>
      </c>
      <c r="N1159" t="s">
        <v>32</v>
      </c>
      <c r="O1159" s="13">
        <v>46154</v>
      </c>
      <c r="P1159" s="13">
        <v>46158</v>
      </c>
      <c r="Q1159">
        <f t="shared" ca="1" si="90"/>
        <v>39</v>
      </c>
      <c r="R1159">
        <f t="shared" si="91"/>
        <v>4</v>
      </c>
      <c r="S1159">
        <f t="shared" ca="1" si="92"/>
        <v>6</v>
      </c>
      <c r="T1159" t="str">
        <f t="shared" ca="1" si="93"/>
        <v>On Track</v>
      </c>
      <c r="U1159" t="str">
        <f t="shared" ca="1" si="94"/>
        <v>Normal</v>
      </c>
      <c r="V1159" t="s">
        <v>33</v>
      </c>
    </row>
    <row r="1160" spans="1:22">
      <c r="A1160" t="s">
        <v>3122</v>
      </c>
      <c r="B1160" t="s">
        <v>271</v>
      </c>
      <c r="C1160" t="s">
        <v>3123</v>
      </c>
      <c r="D1160" s="16">
        <v>4600.28</v>
      </c>
      <c r="E1160" t="s">
        <v>37</v>
      </c>
      <c r="F1160" t="s">
        <v>26</v>
      </c>
      <c r="G1160" t="s">
        <v>3124</v>
      </c>
      <c r="H1160" t="s">
        <v>39</v>
      </c>
      <c r="I1160" t="s">
        <v>29</v>
      </c>
      <c r="J1160" s="13">
        <v>46164</v>
      </c>
      <c r="K1160" s="17" t="s">
        <v>40</v>
      </c>
      <c r="L1160" s="13">
        <v>46194</v>
      </c>
      <c r="M1160" t="s">
        <v>99</v>
      </c>
      <c r="N1160" t="s">
        <v>32</v>
      </c>
      <c r="O1160" s="13">
        <v>46170</v>
      </c>
      <c r="Q1160">
        <f t="shared" ca="1" si="90"/>
        <v>25</v>
      </c>
      <c r="R1160">
        <f t="shared" si="91"/>
        <v>6</v>
      </c>
      <c r="S1160">
        <f t="shared" ca="1" si="92"/>
        <v>5</v>
      </c>
      <c r="T1160" t="str">
        <f t="shared" ca="1" si="93"/>
        <v>On Track</v>
      </c>
      <c r="U1160" t="str">
        <f t="shared" ca="1" si="94"/>
        <v>At Risk</v>
      </c>
    </row>
    <row r="1161" spans="1:22">
      <c r="A1161" t="s">
        <v>3125</v>
      </c>
      <c r="B1161" t="s">
        <v>67</v>
      </c>
      <c r="C1161" t="s">
        <v>3126</v>
      </c>
      <c r="D1161" s="16">
        <v>3190.79</v>
      </c>
      <c r="E1161" t="s">
        <v>302</v>
      </c>
      <c r="F1161" t="s">
        <v>26</v>
      </c>
      <c r="G1161" t="s">
        <v>3127</v>
      </c>
      <c r="H1161" t="s">
        <v>304</v>
      </c>
      <c r="I1161" t="s">
        <v>29</v>
      </c>
      <c r="J1161" s="13">
        <v>46183</v>
      </c>
      <c r="K1161" s="17" t="s">
        <v>30</v>
      </c>
      <c r="L1161" s="13">
        <v>46198</v>
      </c>
      <c r="M1161" t="s">
        <v>65</v>
      </c>
      <c r="N1161" t="s">
        <v>32</v>
      </c>
      <c r="Q1161">
        <f t="shared" ca="1" si="90"/>
        <v>6</v>
      </c>
      <c r="R1161" t="str">
        <f t="shared" si="91"/>
        <v/>
      </c>
      <c r="S1161">
        <f t="shared" ca="1" si="92"/>
        <v>9</v>
      </c>
      <c r="T1161" t="str">
        <f t="shared" ca="1" si="93"/>
        <v>On Track</v>
      </c>
      <c r="U1161" t="str">
        <f t="shared" ca="1" si="94"/>
        <v>Normal</v>
      </c>
    </row>
    <row r="1162" spans="1:22">
      <c r="A1162" t="s">
        <v>3128</v>
      </c>
      <c r="B1162" t="s">
        <v>82</v>
      </c>
      <c r="C1162" t="s">
        <v>3129</v>
      </c>
      <c r="D1162" s="16">
        <v>3513.58</v>
      </c>
      <c r="E1162" t="s">
        <v>78</v>
      </c>
      <c r="F1162" t="s">
        <v>26</v>
      </c>
      <c r="G1162" t="s">
        <v>3130</v>
      </c>
      <c r="H1162" t="s">
        <v>80</v>
      </c>
      <c r="I1162" t="s">
        <v>29</v>
      </c>
      <c r="J1162" s="13">
        <v>46148</v>
      </c>
      <c r="K1162" s="17" t="s">
        <v>57</v>
      </c>
      <c r="L1162" s="13">
        <v>46178</v>
      </c>
      <c r="M1162" t="s">
        <v>65</v>
      </c>
      <c r="N1162" t="s">
        <v>32</v>
      </c>
      <c r="Q1162">
        <f t="shared" ca="1" si="90"/>
        <v>41</v>
      </c>
      <c r="R1162" t="str">
        <f t="shared" si="91"/>
        <v/>
      </c>
      <c r="S1162">
        <f t="shared" ca="1" si="92"/>
        <v>-11</v>
      </c>
      <c r="T1162" t="str">
        <f t="shared" ca="1" si="93"/>
        <v>On Track</v>
      </c>
      <c r="U1162" t="str">
        <f t="shared" ca="1" si="94"/>
        <v>At Risk</v>
      </c>
    </row>
    <row r="1163" spans="1:22">
      <c r="A1163" t="s">
        <v>3131</v>
      </c>
      <c r="B1163" t="s">
        <v>137</v>
      </c>
      <c r="C1163" t="s">
        <v>3132</v>
      </c>
      <c r="D1163" s="16">
        <v>49001.98</v>
      </c>
      <c r="E1163" t="s">
        <v>142</v>
      </c>
      <c r="F1163" t="s">
        <v>26</v>
      </c>
      <c r="G1163" t="s">
        <v>3133</v>
      </c>
      <c r="H1163" t="s">
        <v>121</v>
      </c>
      <c r="I1163" t="s">
        <v>122</v>
      </c>
      <c r="J1163" s="13">
        <v>46148</v>
      </c>
      <c r="K1163" s="17" t="s">
        <v>40</v>
      </c>
      <c r="L1163" s="13">
        <v>46178</v>
      </c>
      <c r="M1163" t="s">
        <v>31</v>
      </c>
      <c r="N1163" t="s">
        <v>32</v>
      </c>
      <c r="O1163" s="13">
        <v>46150</v>
      </c>
      <c r="P1163" s="13">
        <v>46156</v>
      </c>
      <c r="Q1163">
        <f t="shared" ca="1" si="90"/>
        <v>41</v>
      </c>
      <c r="R1163">
        <f t="shared" si="91"/>
        <v>2</v>
      </c>
      <c r="S1163">
        <f t="shared" ca="1" si="92"/>
        <v>-11</v>
      </c>
      <c r="T1163" t="str">
        <f t="shared" ca="1" si="93"/>
        <v>On Track</v>
      </c>
      <c r="U1163" t="str">
        <f t="shared" ca="1" si="94"/>
        <v>Normal</v>
      </c>
      <c r="V1163" t="s">
        <v>33</v>
      </c>
    </row>
    <row r="1164" spans="1:22">
      <c r="A1164" t="s">
        <v>3134</v>
      </c>
      <c r="B1164" t="s">
        <v>208</v>
      </c>
      <c r="C1164" t="s">
        <v>3135</v>
      </c>
      <c r="D1164" s="16">
        <v>3993.95</v>
      </c>
      <c r="E1164" t="s">
        <v>69</v>
      </c>
      <c r="F1164" t="s">
        <v>38</v>
      </c>
      <c r="H1164" t="s">
        <v>71</v>
      </c>
      <c r="I1164" t="s">
        <v>29</v>
      </c>
      <c r="J1164" s="13">
        <v>46172</v>
      </c>
      <c r="K1164" s="17" t="s">
        <v>57</v>
      </c>
      <c r="L1164" s="13">
        <v>46202</v>
      </c>
      <c r="M1164" t="s">
        <v>31</v>
      </c>
      <c r="N1164" t="s">
        <v>32</v>
      </c>
      <c r="O1164" s="13">
        <v>46179</v>
      </c>
      <c r="P1164" s="13">
        <v>46185</v>
      </c>
      <c r="Q1164">
        <f t="shared" ca="1" si="90"/>
        <v>17</v>
      </c>
      <c r="R1164">
        <f t="shared" si="91"/>
        <v>7</v>
      </c>
      <c r="S1164">
        <f t="shared" ca="1" si="92"/>
        <v>13</v>
      </c>
      <c r="T1164" t="str">
        <f t="shared" ca="1" si="93"/>
        <v>On Track</v>
      </c>
      <c r="U1164" t="str">
        <f t="shared" ca="1" si="94"/>
        <v>Normal</v>
      </c>
      <c r="V1164" t="s">
        <v>33</v>
      </c>
    </row>
    <row r="1165" spans="1:22">
      <c r="A1165" t="s">
        <v>3136</v>
      </c>
      <c r="B1165" t="s">
        <v>67</v>
      </c>
      <c r="C1165" t="s">
        <v>3137</v>
      </c>
      <c r="D1165" s="16">
        <v>4085.16</v>
      </c>
      <c r="E1165" t="s">
        <v>302</v>
      </c>
      <c r="F1165" t="s">
        <v>26</v>
      </c>
      <c r="G1165" t="s">
        <v>3138</v>
      </c>
      <c r="H1165" t="s">
        <v>304</v>
      </c>
      <c r="I1165" t="s">
        <v>29</v>
      </c>
      <c r="J1165" s="13">
        <v>46146</v>
      </c>
      <c r="K1165" s="17" t="s">
        <v>57</v>
      </c>
      <c r="L1165" s="13">
        <v>46176</v>
      </c>
      <c r="M1165" t="s">
        <v>31</v>
      </c>
      <c r="N1165" t="s">
        <v>50</v>
      </c>
      <c r="O1165" s="13">
        <v>46157</v>
      </c>
      <c r="P1165" s="13">
        <v>46161</v>
      </c>
      <c r="Q1165">
        <f t="shared" ca="1" si="90"/>
        <v>43</v>
      </c>
      <c r="R1165">
        <f t="shared" si="91"/>
        <v>11</v>
      </c>
      <c r="S1165">
        <f t="shared" ca="1" si="92"/>
        <v>-13</v>
      </c>
      <c r="T1165" t="str">
        <f t="shared" ca="1" si="93"/>
        <v>On Track</v>
      </c>
      <c r="U1165" t="str">
        <f t="shared" ca="1" si="94"/>
        <v>Normal</v>
      </c>
      <c r="V1165" t="s">
        <v>51</v>
      </c>
    </row>
    <row r="1166" spans="1:22">
      <c r="A1166" t="s">
        <v>3139</v>
      </c>
      <c r="B1166" t="s">
        <v>23</v>
      </c>
      <c r="C1166" t="s">
        <v>3140</v>
      </c>
      <c r="D1166" s="16">
        <v>2571.62</v>
      </c>
      <c r="E1166" t="s">
        <v>111</v>
      </c>
      <c r="F1166" t="s">
        <v>26</v>
      </c>
      <c r="G1166" t="s">
        <v>3141</v>
      </c>
      <c r="H1166" t="s">
        <v>113</v>
      </c>
      <c r="I1166" t="s">
        <v>29</v>
      </c>
      <c r="J1166" s="13">
        <v>46186</v>
      </c>
      <c r="K1166" s="17" t="s">
        <v>40</v>
      </c>
      <c r="L1166" s="13">
        <v>46216</v>
      </c>
      <c r="M1166" t="s">
        <v>41</v>
      </c>
      <c r="N1166" t="s">
        <v>32</v>
      </c>
      <c r="Q1166">
        <f t="shared" ca="1" si="90"/>
        <v>3</v>
      </c>
      <c r="R1166" t="str">
        <f t="shared" si="91"/>
        <v/>
      </c>
      <c r="S1166">
        <f t="shared" ca="1" si="92"/>
        <v>27</v>
      </c>
      <c r="T1166" t="str">
        <f t="shared" ca="1" si="93"/>
        <v>On Track</v>
      </c>
      <c r="U1166" t="str">
        <f t="shared" ca="1" si="94"/>
        <v>Normal</v>
      </c>
      <c r="V1166" t="s">
        <v>42</v>
      </c>
    </row>
    <row r="1167" spans="1:22">
      <c r="A1167" t="s">
        <v>3142</v>
      </c>
      <c r="B1167" t="s">
        <v>172</v>
      </c>
      <c r="C1167" t="s">
        <v>3143</v>
      </c>
      <c r="D1167" s="16">
        <v>282.54000000000002</v>
      </c>
      <c r="E1167" t="s">
        <v>126</v>
      </c>
      <c r="F1167" t="s">
        <v>38</v>
      </c>
      <c r="H1167" t="s">
        <v>241</v>
      </c>
      <c r="I1167" t="s">
        <v>29</v>
      </c>
      <c r="J1167" s="13">
        <v>46181</v>
      </c>
      <c r="K1167" s="17" t="s">
        <v>49</v>
      </c>
      <c r="L1167" s="13">
        <v>46226</v>
      </c>
      <c r="M1167" t="s">
        <v>99</v>
      </c>
      <c r="N1167" t="s">
        <v>32</v>
      </c>
      <c r="O1167" s="13">
        <v>46189</v>
      </c>
      <c r="Q1167">
        <f t="shared" ca="1" si="90"/>
        <v>8</v>
      </c>
      <c r="R1167">
        <f t="shared" si="91"/>
        <v>8</v>
      </c>
      <c r="S1167">
        <f t="shared" ca="1" si="92"/>
        <v>37</v>
      </c>
      <c r="T1167" t="str">
        <f t="shared" ca="1" si="93"/>
        <v>On Track</v>
      </c>
      <c r="U1167" t="str">
        <f t="shared" ca="1" si="94"/>
        <v>Normal</v>
      </c>
    </row>
    <row r="1168" spans="1:22">
      <c r="A1168" t="s">
        <v>3144</v>
      </c>
      <c r="B1168" t="s">
        <v>76</v>
      </c>
      <c r="C1168" t="s">
        <v>3145</v>
      </c>
      <c r="D1168" s="16">
        <v>2781</v>
      </c>
      <c r="E1168" t="s">
        <v>37</v>
      </c>
      <c r="F1168" t="s">
        <v>26</v>
      </c>
      <c r="G1168" t="s">
        <v>3146</v>
      </c>
      <c r="H1168" t="s">
        <v>39</v>
      </c>
      <c r="I1168" t="s">
        <v>29</v>
      </c>
      <c r="J1168" s="13">
        <v>46156</v>
      </c>
      <c r="K1168" s="17" t="s">
        <v>49</v>
      </c>
      <c r="L1168" s="13">
        <v>46201</v>
      </c>
      <c r="M1168" t="s">
        <v>41</v>
      </c>
      <c r="N1168" t="s">
        <v>32</v>
      </c>
      <c r="Q1168">
        <f t="shared" ca="1" si="90"/>
        <v>33</v>
      </c>
      <c r="R1168" t="str">
        <f t="shared" si="91"/>
        <v/>
      </c>
      <c r="S1168">
        <f t="shared" ca="1" si="92"/>
        <v>12</v>
      </c>
      <c r="T1168" t="str">
        <f t="shared" ca="1" si="93"/>
        <v>Overdue</v>
      </c>
      <c r="U1168" t="str">
        <f t="shared" ca="1" si="94"/>
        <v>Normal</v>
      </c>
      <c r="V1168" t="s">
        <v>42</v>
      </c>
    </row>
    <row r="1169" spans="1:22">
      <c r="A1169" t="s">
        <v>3147</v>
      </c>
      <c r="B1169" t="s">
        <v>53</v>
      </c>
      <c r="C1169" t="s">
        <v>3148</v>
      </c>
      <c r="D1169" s="16">
        <v>381.12</v>
      </c>
      <c r="E1169" t="s">
        <v>111</v>
      </c>
      <c r="F1169" t="s">
        <v>38</v>
      </c>
      <c r="H1169" t="s">
        <v>113</v>
      </c>
      <c r="I1169" t="s">
        <v>29</v>
      </c>
      <c r="J1169" s="13">
        <v>46185</v>
      </c>
      <c r="K1169" s="17" t="s">
        <v>40</v>
      </c>
      <c r="L1169" s="13">
        <v>46215</v>
      </c>
      <c r="M1169" t="s">
        <v>145</v>
      </c>
      <c r="N1169" t="s">
        <v>50</v>
      </c>
      <c r="O1169" s="13">
        <v>46189</v>
      </c>
      <c r="Q1169">
        <f t="shared" ca="1" si="90"/>
        <v>4</v>
      </c>
      <c r="R1169">
        <f t="shared" si="91"/>
        <v>4</v>
      </c>
      <c r="S1169">
        <f t="shared" ca="1" si="92"/>
        <v>26</v>
      </c>
      <c r="T1169" t="str">
        <f t="shared" ca="1" si="93"/>
        <v>On Track</v>
      </c>
      <c r="U1169" t="str">
        <f t="shared" ca="1" si="94"/>
        <v>Normal</v>
      </c>
      <c r="V1169" t="s">
        <v>51</v>
      </c>
    </row>
    <row r="1170" spans="1:22">
      <c r="A1170" t="s">
        <v>3149</v>
      </c>
      <c r="B1170" t="s">
        <v>76</v>
      </c>
      <c r="C1170" t="s">
        <v>3150</v>
      </c>
      <c r="D1170" s="16">
        <v>18147.02</v>
      </c>
      <c r="E1170" t="s">
        <v>156</v>
      </c>
      <c r="F1170" t="s">
        <v>38</v>
      </c>
      <c r="H1170" t="s">
        <v>394</v>
      </c>
      <c r="I1170" t="s">
        <v>92</v>
      </c>
      <c r="J1170" s="13">
        <v>46163</v>
      </c>
      <c r="K1170" s="17" t="s">
        <v>49</v>
      </c>
      <c r="L1170" s="13">
        <v>46208</v>
      </c>
      <c r="M1170" t="s">
        <v>31</v>
      </c>
      <c r="N1170" t="s">
        <v>32</v>
      </c>
      <c r="O1170" s="13">
        <v>46170</v>
      </c>
      <c r="P1170" s="13">
        <v>46171</v>
      </c>
      <c r="Q1170">
        <f t="shared" ca="1" si="90"/>
        <v>26</v>
      </c>
      <c r="R1170">
        <f t="shared" si="91"/>
        <v>7</v>
      </c>
      <c r="S1170">
        <f t="shared" ca="1" si="92"/>
        <v>19</v>
      </c>
      <c r="T1170" t="str">
        <f t="shared" ca="1" si="93"/>
        <v>On Track</v>
      </c>
      <c r="U1170" t="str">
        <f t="shared" ca="1" si="94"/>
        <v>Normal</v>
      </c>
      <c r="V1170" t="s">
        <v>33</v>
      </c>
    </row>
    <row r="1171" spans="1:22">
      <c r="A1171" t="s">
        <v>3151</v>
      </c>
      <c r="B1171" t="s">
        <v>94</v>
      </c>
      <c r="C1171" t="s">
        <v>3152</v>
      </c>
      <c r="D1171" s="16">
        <v>21776.98</v>
      </c>
      <c r="E1171" t="s">
        <v>126</v>
      </c>
      <c r="F1171" t="s">
        <v>26</v>
      </c>
      <c r="G1171" t="s">
        <v>3153</v>
      </c>
      <c r="H1171" t="s">
        <v>127</v>
      </c>
      <c r="I1171" t="s">
        <v>92</v>
      </c>
      <c r="J1171" s="13">
        <v>46168</v>
      </c>
      <c r="K1171" s="17" t="s">
        <v>49</v>
      </c>
      <c r="L1171" s="13">
        <v>46213</v>
      </c>
      <c r="M1171" t="s">
        <v>31</v>
      </c>
      <c r="N1171" t="s">
        <v>32</v>
      </c>
      <c r="O1171" s="13">
        <v>46181</v>
      </c>
      <c r="P1171" s="13">
        <v>46183</v>
      </c>
      <c r="Q1171">
        <f t="shared" ca="1" si="90"/>
        <v>21</v>
      </c>
      <c r="R1171">
        <f t="shared" si="91"/>
        <v>13</v>
      </c>
      <c r="S1171">
        <f t="shared" ca="1" si="92"/>
        <v>24</v>
      </c>
      <c r="T1171" t="str">
        <f t="shared" ca="1" si="93"/>
        <v>On Track</v>
      </c>
      <c r="U1171" t="str">
        <f t="shared" ca="1" si="94"/>
        <v>Normal</v>
      </c>
      <c r="V1171" t="s">
        <v>33</v>
      </c>
    </row>
    <row r="1172" spans="1:22">
      <c r="A1172" t="s">
        <v>3154</v>
      </c>
      <c r="B1172" t="s">
        <v>251</v>
      </c>
      <c r="C1172" t="s">
        <v>3155</v>
      </c>
      <c r="D1172" s="16">
        <v>3867.26</v>
      </c>
      <c r="E1172" t="s">
        <v>78</v>
      </c>
      <c r="F1172" t="s">
        <v>38</v>
      </c>
      <c r="H1172" t="s">
        <v>80</v>
      </c>
      <c r="I1172" t="s">
        <v>29</v>
      </c>
      <c r="J1172" s="13">
        <v>46159</v>
      </c>
      <c r="K1172" s="17" t="s">
        <v>30</v>
      </c>
      <c r="L1172" s="13">
        <v>46174</v>
      </c>
      <c r="M1172" t="s">
        <v>145</v>
      </c>
      <c r="N1172" t="s">
        <v>32</v>
      </c>
      <c r="O1172" s="13">
        <v>46161</v>
      </c>
      <c r="Q1172">
        <f t="shared" ca="1" si="90"/>
        <v>30</v>
      </c>
      <c r="R1172">
        <f t="shared" si="91"/>
        <v>2</v>
      </c>
      <c r="S1172">
        <f t="shared" ca="1" si="92"/>
        <v>-15</v>
      </c>
      <c r="T1172" t="str">
        <f t="shared" ca="1" si="93"/>
        <v>On Track</v>
      </c>
      <c r="U1172" t="str">
        <f t="shared" ca="1" si="94"/>
        <v>At Risk</v>
      </c>
    </row>
    <row r="1173" spans="1:22">
      <c r="A1173" t="s">
        <v>3156</v>
      </c>
      <c r="B1173" t="s">
        <v>94</v>
      </c>
      <c r="C1173" t="s">
        <v>3157</v>
      </c>
      <c r="D1173" s="16">
        <v>3565.8</v>
      </c>
      <c r="E1173" t="s">
        <v>156</v>
      </c>
      <c r="F1173" t="s">
        <v>38</v>
      </c>
      <c r="H1173" t="s">
        <v>157</v>
      </c>
      <c r="I1173" t="s">
        <v>29</v>
      </c>
      <c r="J1173" s="13">
        <v>46150</v>
      </c>
      <c r="K1173" s="17" t="s">
        <v>30</v>
      </c>
      <c r="L1173" s="13">
        <v>46165</v>
      </c>
      <c r="M1173" t="s">
        <v>31</v>
      </c>
      <c r="N1173" t="s">
        <v>32</v>
      </c>
      <c r="O1173" s="13">
        <v>46160</v>
      </c>
      <c r="P1173" s="13">
        <v>46164</v>
      </c>
      <c r="Q1173">
        <f t="shared" ca="1" si="90"/>
        <v>39</v>
      </c>
      <c r="R1173">
        <f t="shared" si="91"/>
        <v>10</v>
      </c>
      <c r="S1173">
        <f t="shared" ca="1" si="92"/>
        <v>-24</v>
      </c>
      <c r="T1173" t="str">
        <f t="shared" ca="1" si="93"/>
        <v>On Track</v>
      </c>
      <c r="U1173" t="str">
        <f t="shared" ca="1" si="94"/>
        <v>Normal</v>
      </c>
      <c r="V1173" t="s">
        <v>33</v>
      </c>
    </row>
    <row r="1174" spans="1:22">
      <c r="A1174" t="s">
        <v>3158</v>
      </c>
      <c r="B1174" t="s">
        <v>94</v>
      </c>
      <c r="C1174" t="s">
        <v>3159</v>
      </c>
      <c r="D1174" s="16">
        <v>22521.17</v>
      </c>
      <c r="E1174" t="s">
        <v>156</v>
      </c>
      <c r="F1174" t="s">
        <v>26</v>
      </c>
      <c r="G1174" t="s">
        <v>3160</v>
      </c>
      <c r="H1174" t="s">
        <v>394</v>
      </c>
      <c r="I1174" t="s">
        <v>92</v>
      </c>
      <c r="J1174" s="13">
        <v>46173</v>
      </c>
      <c r="K1174" s="17" t="s">
        <v>57</v>
      </c>
      <c r="L1174" s="13">
        <v>46203</v>
      </c>
      <c r="M1174" t="s">
        <v>65</v>
      </c>
      <c r="N1174" t="s">
        <v>32</v>
      </c>
      <c r="Q1174">
        <f t="shared" ca="1" si="90"/>
        <v>16</v>
      </c>
      <c r="R1174" t="str">
        <f t="shared" si="91"/>
        <v/>
      </c>
      <c r="S1174">
        <f t="shared" ca="1" si="92"/>
        <v>14</v>
      </c>
      <c r="T1174" t="str">
        <f t="shared" ca="1" si="93"/>
        <v>On Track</v>
      </c>
      <c r="U1174" t="str">
        <f t="shared" ca="1" si="94"/>
        <v>Normal</v>
      </c>
    </row>
    <row r="1175" spans="1:22">
      <c r="A1175" t="s">
        <v>3161</v>
      </c>
      <c r="B1175" t="s">
        <v>271</v>
      </c>
      <c r="C1175" t="s">
        <v>3162</v>
      </c>
      <c r="D1175" s="16">
        <v>3547.88</v>
      </c>
      <c r="E1175" t="s">
        <v>302</v>
      </c>
      <c r="F1175" t="s">
        <v>26</v>
      </c>
      <c r="G1175" t="s">
        <v>3163</v>
      </c>
      <c r="H1175" t="s">
        <v>304</v>
      </c>
      <c r="I1175" t="s">
        <v>29</v>
      </c>
      <c r="J1175" s="13">
        <v>46181</v>
      </c>
      <c r="K1175" s="17" t="s">
        <v>49</v>
      </c>
      <c r="L1175" s="13">
        <v>46226</v>
      </c>
      <c r="M1175" t="s">
        <v>99</v>
      </c>
      <c r="N1175" t="s">
        <v>32</v>
      </c>
      <c r="O1175" s="13">
        <v>46189</v>
      </c>
      <c r="Q1175">
        <f t="shared" ca="1" si="90"/>
        <v>8</v>
      </c>
      <c r="R1175">
        <f t="shared" si="91"/>
        <v>8</v>
      </c>
      <c r="S1175">
        <f t="shared" ca="1" si="92"/>
        <v>37</v>
      </c>
      <c r="T1175" t="str">
        <f t="shared" ca="1" si="93"/>
        <v>On Track</v>
      </c>
      <c r="U1175" t="str">
        <f t="shared" ca="1" si="94"/>
        <v>Normal</v>
      </c>
    </row>
    <row r="1176" spans="1:22">
      <c r="A1176" t="s">
        <v>3164</v>
      </c>
      <c r="B1176" t="s">
        <v>172</v>
      </c>
      <c r="C1176" t="s">
        <v>3165</v>
      </c>
      <c r="D1176" s="16">
        <v>1967.28</v>
      </c>
      <c r="E1176" t="s">
        <v>25</v>
      </c>
      <c r="F1176" t="s">
        <v>26</v>
      </c>
      <c r="G1176" t="s">
        <v>3166</v>
      </c>
      <c r="H1176" t="s">
        <v>28</v>
      </c>
      <c r="I1176" t="s">
        <v>29</v>
      </c>
      <c r="J1176" s="13">
        <v>46173</v>
      </c>
      <c r="K1176" s="17" t="s">
        <v>40</v>
      </c>
      <c r="L1176" s="13">
        <v>46203</v>
      </c>
      <c r="M1176" t="s">
        <v>41</v>
      </c>
      <c r="N1176" t="s">
        <v>32</v>
      </c>
      <c r="Q1176">
        <f t="shared" ca="1" si="90"/>
        <v>16</v>
      </c>
      <c r="R1176" t="str">
        <f t="shared" si="91"/>
        <v/>
      </c>
      <c r="S1176">
        <f t="shared" ca="1" si="92"/>
        <v>14</v>
      </c>
      <c r="T1176" t="str">
        <f t="shared" ca="1" si="93"/>
        <v>Overdue</v>
      </c>
      <c r="U1176" t="str">
        <f t="shared" ca="1" si="94"/>
        <v>Normal</v>
      </c>
      <c r="V1176" t="s">
        <v>42</v>
      </c>
    </row>
    <row r="1177" spans="1:22">
      <c r="A1177" t="s">
        <v>3167</v>
      </c>
      <c r="B1177" t="s">
        <v>118</v>
      </c>
      <c r="C1177" t="s">
        <v>3168</v>
      </c>
      <c r="D1177" s="16">
        <v>86408.12</v>
      </c>
      <c r="E1177" t="s">
        <v>25</v>
      </c>
      <c r="F1177" t="s">
        <v>38</v>
      </c>
      <c r="H1177" t="s">
        <v>121</v>
      </c>
      <c r="I1177" t="s">
        <v>122</v>
      </c>
      <c r="J1177" s="13">
        <v>46174</v>
      </c>
      <c r="K1177" s="17" t="s">
        <v>57</v>
      </c>
      <c r="L1177" s="13">
        <v>46204</v>
      </c>
      <c r="M1177" t="s">
        <v>99</v>
      </c>
      <c r="N1177" t="s">
        <v>58</v>
      </c>
      <c r="O1177" s="13">
        <v>46189</v>
      </c>
      <c r="Q1177">
        <f t="shared" ca="1" si="90"/>
        <v>15</v>
      </c>
      <c r="R1177">
        <f t="shared" si="91"/>
        <v>15</v>
      </c>
      <c r="S1177">
        <f t="shared" ca="1" si="92"/>
        <v>15</v>
      </c>
      <c r="T1177" t="str">
        <f t="shared" ca="1" si="93"/>
        <v>On Track</v>
      </c>
      <c r="U1177" t="str">
        <f t="shared" ca="1" si="94"/>
        <v>Normal</v>
      </c>
      <c r="V1177" t="s">
        <v>59</v>
      </c>
    </row>
    <row r="1178" spans="1:22">
      <c r="A1178" t="s">
        <v>3169</v>
      </c>
      <c r="B1178" t="s">
        <v>94</v>
      </c>
      <c r="C1178" t="s">
        <v>3170</v>
      </c>
      <c r="D1178" s="16">
        <v>2812.61</v>
      </c>
      <c r="E1178" t="s">
        <v>111</v>
      </c>
      <c r="F1178" t="s">
        <v>38</v>
      </c>
      <c r="H1178" t="s">
        <v>113</v>
      </c>
      <c r="I1178" t="s">
        <v>29</v>
      </c>
      <c r="J1178" s="13">
        <v>46179</v>
      </c>
      <c r="K1178" s="17" t="s">
        <v>40</v>
      </c>
      <c r="L1178" s="13">
        <v>46209</v>
      </c>
      <c r="M1178" t="s">
        <v>99</v>
      </c>
      <c r="N1178" t="s">
        <v>58</v>
      </c>
      <c r="O1178" s="13">
        <v>46188</v>
      </c>
      <c r="Q1178">
        <f t="shared" ca="1" si="90"/>
        <v>10</v>
      </c>
      <c r="R1178">
        <f t="shared" si="91"/>
        <v>9</v>
      </c>
      <c r="S1178">
        <f t="shared" ca="1" si="92"/>
        <v>20</v>
      </c>
      <c r="T1178" t="str">
        <f t="shared" ca="1" si="93"/>
        <v>On Track</v>
      </c>
      <c r="U1178" t="str">
        <f t="shared" ca="1" si="94"/>
        <v>Normal</v>
      </c>
      <c r="V1178" t="s">
        <v>59</v>
      </c>
    </row>
    <row r="1179" spans="1:22">
      <c r="A1179" t="s">
        <v>3171</v>
      </c>
      <c r="B1179" t="s">
        <v>251</v>
      </c>
      <c r="C1179" t="s">
        <v>3172</v>
      </c>
      <c r="D1179" s="16">
        <v>3246.64</v>
      </c>
      <c r="E1179" t="s">
        <v>78</v>
      </c>
      <c r="F1179" t="s">
        <v>26</v>
      </c>
      <c r="G1179" t="s">
        <v>3173</v>
      </c>
      <c r="H1179" t="s">
        <v>80</v>
      </c>
      <c r="I1179" t="s">
        <v>29</v>
      </c>
      <c r="J1179" s="13">
        <v>46178</v>
      </c>
      <c r="K1179" s="17" t="s">
        <v>57</v>
      </c>
      <c r="L1179" s="13">
        <v>46208</v>
      </c>
      <c r="M1179" t="s">
        <v>99</v>
      </c>
      <c r="N1179" t="s">
        <v>32</v>
      </c>
      <c r="O1179" s="13">
        <v>46184</v>
      </c>
      <c r="Q1179">
        <f t="shared" ca="1" si="90"/>
        <v>11</v>
      </c>
      <c r="R1179">
        <f t="shared" si="91"/>
        <v>6</v>
      </c>
      <c r="S1179">
        <f t="shared" ca="1" si="92"/>
        <v>19</v>
      </c>
      <c r="T1179" t="str">
        <f t="shared" ca="1" si="93"/>
        <v>On Track</v>
      </c>
      <c r="U1179" t="str">
        <f t="shared" ca="1" si="94"/>
        <v>Normal</v>
      </c>
    </row>
    <row r="1180" spans="1:22">
      <c r="A1180" t="s">
        <v>3174</v>
      </c>
      <c r="B1180" t="s">
        <v>208</v>
      </c>
      <c r="C1180" t="s">
        <v>3175</v>
      </c>
      <c r="D1180" s="16">
        <v>1830.84</v>
      </c>
      <c r="E1180" t="s">
        <v>142</v>
      </c>
      <c r="F1180" t="s">
        <v>26</v>
      </c>
      <c r="G1180" t="s">
        <v>3176</v>
      </c>
      <c r="H1180" t="s">
        <v>335</v>
      </c>
      <c r="I1180" t="s">
        <v>29</v>
      </c>
      <c r="J1180" s="13">
        <v>46187</v>
      </c>
      <c r="K1180" s="17" t="s">
        <v>40</v>
      </c>
      <c r="L1180" s="13">
        <v>46217</v>
      </c>
      <c r="M1180" t="s">
        <v>41</v>
      </c>
      <c r="N1180" t="s">
        <v>32</v>
      </c>
      <c r="Q1180">
        <f t="shared" ca="1" si="90"/>
        <v>2</v>
      </c>
      <c r="R1180" t="str">
        <f t="shared" si="91"/>
        <v/>
      </c>
      <c r="S1180">
        <f t="shared" ca="1" si="92"/>
        <v>28</v>
      </c>
      <c r="T1180" t="str">
        <f t="shared" ca="1" si="93"/>
        <v>On Track</v>
      </c>
      <c r="U1180" t="str">
        <f t="shared" ca="1" si="94"/>
        <v>Normal</v>
      </c>
      <c r="V1180" t="s">
        <v>42</v>
      </c>
    </row>
    <row r="1181" spans="1:22">
      <c r="A1181" t="s">
        <v>3177</v>
      </c>
      <c r="B1181" t="s">
        <v>137</v>
      </c>
      <c r="C1181" t="s">
        <v>3178</v>
      </c>
      <c r="D1181" s="16">
        <v>876.27</v>
      </c>
      <c r="E1181" t="s">
        <v>37</v>
      </c>
      <c r="F1181" t="s">
        <v>38</v>
      </c>
      <c r="H1181" t="s">
        <v>39</v>
      </c>
      <c r="I1181" t="s">
        <v>29</v>
      </c>
      <c r="J1181" s="13">
        <v>46185</v>
      </c>
      <c r="K1181" s="17" t="s">
        <v>40</v>
      </c>
      <c r="L1181" s="13">
        <v>46215</v>
      </c>
      <c r="M1181" t="s">
        <v>41</v>
      </c>
      <c r="N1181" t="s">
        <v>32</v>
      </c>
      <c r="Q1181">
        <f t="shared" ca="1" si="90"/>
        <v>4</v>
      </c>
      <c r="R1181" t="str">
        <f t="shared" si="91"/>
        <v/>
      </c>
      <c r="S1181">
        <f t="shared" ca="1" si="92"/>
        <v>26</v>
      </c>
      <c r="T1181" t="str">
        <f t="shared" ca="1" si="93"/>
        <v>On Track</v>
      </c>
      <c r="U1181" t="str">
        <f t="shared" ca="1" si="94"/>
        <v>Normal</v>
      </c>
      <c r="V1181" t="s">
        <v>42</v>
      </c>
    </row>
    <row r="1182" spans="1:22">
      <c r="A1182" t="s">
        <v>3179</v>
      </c>
      <c r="B1182" t="s">
        <v>222</v>
      </c>
      <c r="C1182" t="s">
        <v>3180</v>
      </c>
      <c r="D1182" s="16">
        <v>3128.77</v>
      </c>
      <c r="E1182" t="s">
        <v>37</v>
      </c>
      <c r="F1182" t="s">
        <v>38</v>
      </c>
      <c r="H1182" t="s">
        <v>39</v>
      </c>
      <c r="I1182" t="s">
        <v>29</v>
      </c>
      <c r="J1182" s="13">
        <v>46180</v>
      </c>
      <c r="K1182" s="17" t="s">
        <v>57</v>
      </c>
      <c r="L1182" s="13">
        <v>46210</v>
      </c>
      <c r="M1182" t="s">
        <v>41</v>
      </c>
      <c r="N1182" t="s">
        <v>100</v>
      </c>
      <c r="Q1182">
        <f t="shared" ca="1" si="90"/>
        <v>9</v>
      </c>
      <c r="R1182" t="str">
        <f t="shared" si="91"/>
        <v/>
      </c>
      <c r="S1182">
        <f t="shared" ca="1" si="92"/>
        <v>21</v>
      </c>
      <c r="T1182" t="str">
        <f t="shared" ca="1" si="93"/>
        <v>Overdue</v>
      </c>
      <c r="U1182" t="str">
        <f t="shared" ca="1" si="94"/>
        <v>Normal</v>
      </c>
      <c r="V1182" t="s">
        <v>101</v>
      </c>
    </row>
    <row r="1183" spans="1:22">
      <c r="A1183" t="s">
        <v>3181</v>
      </c>
      <c r="B1183" t="s">
        <v>35</v>
      </c>
      <c r="C1183" t="s">
        <v>3182</v>
      </c>
      <c r="D1183" s="16">
        <v>722.36</v>
      </c>
      <c r="E1183" t="s">
        <v>78</v>
      </c>
      <c r="F1183" t="s">
        <v>26</v>
      </c>
      <c r="G1183" t="s">
        <v>3183</v>
      </c>
      <c r="H1183" t="s">
        <v>80</v>
      </c>
      <c r="I1183" t="s">
        <v>29</v>
      </c>
      <c r="J1183" s="13">
        <v>46186</v>
      </c>
      <c r="K1183" s="17" t="s">
        <v>57</v>
      </c>
      <c r="L1183" s="13">
        <v>46216</v>
      </c>
      <c r="M1183" t="s">
        <v>65</v>
      </c>
      <c r="N1183" t="s">
        <v>32</v>
      </c>
      <c r="Q1183">
        <f t="shared" ca="1" si="90"/>
        <v>3</v>
      </c>
      <c r="R1183" t="str">
        <f t="shared" si="91"/>
        <v/>
      </c>
      <c r="S1183">
        <f t="shared" ca="1" si="92"/>
        <v>27</v>
      </c>
      <c r="T1183" t="str">
        <f t="shared" ca="1" si="93"/>
        <v>On Track</v>
      </c>
      <c r="U1183" t="str">
        <f t="shared" ca="1" si="94"/>
        <v>Normal</v>
      </c>
    </row>
    <row r="1184" spans="1:22">
      <c r="A1184" t="s">
        <v>3184</v>
      </c>
      <c r="B1184" t="s">
        <v>76</v>
      </c>
      <c r="C1184" t="s">
        <v>3185</v>
      </c>
      <c r="D1184" s="16">
        <v>2047.07</v>
      </c>
      <c r="E1184" t="s">
        <v>142</v>
      </c>
      <c r="F1184" t="s">
        <v>38</v>
      </c>
      <c r="H1184" t="s">
        <v>335</v>
      </c>
      <c r="I1184" t="s">
        <v>29</v>
      </c>
      <c r="J1184" s="13">
        <v>46169</v>
      </c>
      <c r="K1184" s="17" t="s">
        <v>57</v>
      </c>
      <c r="L1184" s="13">
        <v>46199</v>
      </c>
      <c r="M1184" t="s">
        <v>31</v>
      </c>
      <c r="N1184" t="s">
        <v>32</v>
      </c>
      <c r="O1184" s="13">
        <v>46173</v>
      </c>
      <c r="P1184" s="13">
        <v>46177</v>
      </c>
      <c r="Q1184">
        <f t="shared" ca="1" si="90"/>
        <v>20</v>
      </c>
      <c r="R1184">
        <f t="shared" si="91"/>
        <v>4</v>
      </c>
      <c r="S1184">
        <f t="shared" ca="1" si="92"/>
        <v>10</v>
      </c>
      <c r="T1184" t="str">
        <f t="shared" ca="1" si="93"/>
        <v>On Track</v>
      </c>
      <c r="U1184" t="str">
        <f t="shared" ca="1" si="94"/>
        <v>Normal</v>
      </c>
      <c r="V1184" t="s">
        <v>33</v>
      </c>
    </row>
    <row r="1185" spans="1:22">
      <c r="A1185" t="s">
        <v>3186</v>
      </c>
      <c r="B1185" t="s">
        <v>109</v>
      </c>
      <c r="C1185" t="s">
        <v>3187</v>
      </c>
      <c r="D1185" s="16">
        <v>4313.99</v>
      </c>
      <c r="E1185" t="s">
        <v>126</v>
      </c>
      <c r="F1185" t="s">
        <v>38</v>
      </c>
      <c r="H1185" t="s">
        <v>241</v>
      </c>
      <c r="I1185" t="s">
        <v>29</v>
      </c>
      <c r="J1185" s="13">
        <v>46150</v>
      </c>
      <c r="K1185" s="17" t="s">
        <v>40</v>
      </c>
      <c r="L1185" s="13">
        <v>46180</v>
      </c>
      <c r="M1185" t="s">
        <v>99</v>
      </c>
      <c r="N1185" t="s">
        <v>50</v>
      </c>
      <c r="O1185" s="13">
        <v>46167</v>
      </c>
      <c r="Q1185">
        <f t="shared" ca="1" si="90"/>
        <v>39</v>
      </c>
      <c r="R1185">
        <f t="shared" si="91"/>
        <v>17</v>
      </c>
      <c r="S1185">
        <f t="shared" ca="1" si="92"/>
        <v>-9</v>
      </c>
      <c r="T1185" t="str">
        <f t="shared" ca="1" si="93"/>
        <v>On Track</v>
      </c>
      <c r="U1185" t="str">
        <f t="shared" ca="1" si="94"/>
        <v>At Risk</v>
      </c>
      <c r="V1185" t="s">
        <v>51</v>
      </c>
    </row>
    <row r="1186" spans="1:22">
      <c r="A1186" t="s">
        <v>3188</v>
      </c>
      <c r="B1186" t="s">
        <v>23</v>
      </c>
      <c r="C1186" t="s">
        <v>3189</v>
      </c>
      <c r="D1186" s="16">
        <v>38774.959999999999</v>
      </c>
      <c r="E1186" t="s">
        <v>25</v>
      </c>
      <c r="F1186" t="s">
        <v>26</v>
      </c>
      <c r="G1186" t="s">
        <v>3190</v>
      </c>
      <c r="H1186" t="s">
        <v>121</v>
      </c>
      <c r="I1186" t="s">
        <v>122</v>
      </c>
      <c r="J1186" s="13">
        <v>46151</v>
      </c>
      <c r="K1186" s="17" t="s">
        <v>57</v>
      </c>
      <c r="L1186" s="13">
        <v>46181</v>
      </c>
      <c r="M1186" t="s">
        <v>31</v>
      </c>
      <c r="N1186" t="s">
        <v>32</v>
      </c>
      <c r="O1186" s="13">
        <v>46155</v>
      </c>
      <c r="P1186" s="13">
        <v>46159</v>
      </c>
      <c r="Q1186">
        <f t="shared" ca="1" si="90"/>
        <v>38</v>
      </c>
      <c r="R1186">
        <f t="shared" si="91"/>
        <v>4</v>
      </c>
      <c r="S1186">
        <f t="shared" ca="1" si="92"/>
        <v>-8</v>
      </c>
      <c r="T1186" t="str">
        <f t="shared" ca="1" si="93"/>
        <v>On Track</v>
      </c>
      <c r="U1186" t="str">
        <f t="shared" ca="1" si="94"/>
        <v>Normal</v>
      </c>
      <c r="V1186" t="s">
        <v>33</v>
      </c>
    </row>
    <row r="1187" spans="1:22">
      <c r="A1187" t="s">
        <v>3191</v>
      </c>
      <c r="B1187" t="s">
        <v>168</v>
      </c>
      <c r="C1187" t="s">
        <v>3192</v>
      </c>
      <c r="D1187" s="16">
        <v>298.08999999999997</v>
      </c>
      <c r="E1187" t="s">
        <v>142</v>
      </c>
      <c r="F1187" t="s">
        <v>26</v>
      </c>
      <c r="G1187" t="s">
        <v>3193</v>
      </c>
      <c r="H1187" t="s">
        <v>335</v>
      </c>
      <c r="I1187" t="s">
        <v>29</v>
      </c>
      <c r="J1187" s="13">
        <v>46168</v>
      </c>
      <c r="K1187" s="17" t="s">
        <v>49</v>
      </c>
      <c r="L1187" s="13">
        <v>46213</v>
      </c>
      <c r="M1187" t="s">
        <v>31</v>
      </c>
      <c r="N1187" t="s">
        <v>32</v>
      </c>
      <c r="O1187" s="13">
        <v>46175</v>
      </c>
      <c r="P1187" s="13">
        <v>46179</v>
      </c>
      <c r="Q1187">
        <f t="shared" ca="1" si="90"/>
        <v>21</v>
      </c>
      <c r="R1187">
        <f t="shared" si="91"/>
        <v>7</v>
      </c>
      <c r="S1187">
        <f t="shared" ca="1" si="92"/>
        <v>24</v>
      </c>
      <c r="T1187" t="str">
        <f t="shared" ca="1" si="93"/>
        <v>On Track</v>
      </c>
      <c r="U1187" t="str">
        <f t="shared" ca="1" si="94"/>
        <v>Normal</v>
      </c>
      <c r="V1187" t="s">
        <v>33</v>
      </c>
    </row>
    <row r="1188" spans="1:22">
      <c r="A1188" t="s">
        <v>3194</v>
      </c>
      <c r="B1188" t="s">
        <v>187</v>
      </c>
      <c r="C1188" t="s">
        <v>3195</v>
      </c>
      <c r="D1188" s="16">
        <v>2485.5700000000002</v>
      </c>
      <c r="E1188" t="s">
        <v>37</v>
      </c>
      <c r="F1188" t="s">
        <v>26</v>
      </c>
      <c r="G1188" t="s">
        <v>3196</v>
      </c>
      <c r="H1188" t="s">
        <v>39</v>
      </c>
      <c r="I1188" t="s">
        <v>29</v>
      </c>
      <c r="J1188" s="13">
        <v>46166</v>
      </c>
      <c r="K1188" s="17" t="s">
        <v>30</v>
      </c>
      <c r="L1188" s="13">
        <v>46181</v>
      </c>
      <c r="M1188" t="s">
        <v>145</v>
      </c>
      <c r="N1188" t="s">
        <v>32</v>
      </c>
      <c r="O1188" s="13">
        <v>46174</v>
      </c>
      <c r="Q1188">
        <f t="shared" ca="1" si="90"/>
        <v>23</v>
      </c>
      <c r="R1188">
        <f t="shared" si="91"/>
        <v>8</v>
      </c>
      <c r="S1188">
        <f t="shared" ca="1" si="92"/>
        <v>-8</v>
      </c>
      <c r="T1188" t="str">
        <f t="shared" ca="1" si="93"/>
        <v>On Track</v>
      </c>
      <c r="U1188" t="str">
        <f t="shared" ca="1" si="94"/>
        <v>At Risk</v>
      </c>
    </row>
    <row r="1189" spans="1:22">
      <c r="A1189" t="s">
        <v>3197</v>
      </c>
      <c r="B1189" t="s">
        <v>67</v>
      </c>
      <c r="C1189" t="s">
        <v>3198</v>
      </c>
      <c r="D1189" s="16">
        <v>2921.42</v>
      </c>
      <c r="E1189" t="s">
        <v>25</v>
      </c>
      <c r="F1189" t="s">
        <v>38</v>
      </c>
      <c r="H1189" t="s">
        <v>28</v>
      </c>
      <c r="I1189" t="s">
        <v>29</v>
      </c>
      <c r="J1189" s="13">
        <v>46187</v>
      </c>
      <c r="K1189" s="17" t="s">
        <v>40</v>
      </c>
      <c r="L1189" s="13">
        <v>46217</v>
      </c>
      <c r="M1189" t="s">
        <v>145</v>
      </c>
      <c r="N1189" t="s">
        <v>100</v>
      </c>
      <c r="O1189" s="13">
        <v>46189</v>
      </c>
      <c r="Q1189">
        <f t="shared" ca="1" si="90"/>
        <v>2</v>
      </c>
      <c r="R1189">
        <f t="shared" si="91"/>
        <v>2</v>
      </c>
      <c r="S1189">
        <f t="shared" ca="1" si="92"/>
        <v>28</v>
      </c>
      <c r="T1189" t="str">
        <f t="shared" ca="1" si="93"/>
        <v>On Track</v>
      </c>
      <c r="U1189" t="str">
        <f t="shared" ca="1" si="94"/>
        <v>Normal</v>
      </c>
      <c r="V1189" t="s">
        <v>101</v>
      </c>
    </row>
    <row r="1190" spans="1:22">
      <c r="A1190" t="s">
        <v>3199</v>
      </c>
      <c r="B1190" t="s">
        <v>251</v>
      </c>
      <c r="C1190" t="s">
        <v>3200</v>
      </c>
      <c r="D1190" s="16">
        <v>627.49</v>
      </c>
      <c r="E1190" t="s">
        <v>156</v>
      </c>
      <c r="F1190" t="s">
        <v>38</v>
      </c>
      <c r="H1190" t="s">
        <v>157</v>
      </c>
      <c r="I1190" t="s">
        <v>29</v>
      </c>
      <c r="J1190" s="13">
        <v>46189</v>
      </c>
      <c r="K1190" s="17" t="s">
        <v>30</v>
      </c>
      <c r="L1190" s="13">
        <v>46204</v>
      </c>
      <c r="M1190" t="s">
        <v>41</v>
      </c>
      <c r="N1190" t="s">
        <v>32</v>
      </c>
      <c r="Q1190">
        <f t="shared" ca="1" si="90"/>
        <v>0</v>
      </c>
      <c r="R1190" t="str">
        <f t="shared" si="91"/>
        <v/>
      </c>
      <c r="S1190">
        <f t="shared" ca="1" si="92"/>
        <v>15</v>
      </c>
      <c r="T1190" t="str">
        <f t="shared" ca="1" si="93"/>
        <v>On Track</v>
      </c>
      <c r="U1190" t="str">
        <f t="shared" ca="1" si="94"/>
        <v>Normal</v>
      </c>
      <c r="V1190" t="s">
        <v>42</v>
      </c>
    </row>
    <row r="1191" spans="1:22">
      <c r="A1191" t="s">
        <v>3201</v>
      </c>
      <c r="B1191" t="s">
        <v>67</v>
      </c>
      <c r="C1191" t="s">
        <v>3202</v>
      </c>
      <c r="D1191" s="16">
        <v>9222.83</v>
      </c>
      <c r="E1191" t="s">
        <v>69</v>
      </c>
      <c r="F1191" t="s">
        <v>26</v>
      </c>
      <c r="G1191" t="s">
        <v>3203</v>
      </c>
      <c r="H1191" t="s">
        <v>178</v>
      </c>
      <c r="I1191" t="s">
        <v>92</v>
      </c>
      <c r="J1191" s="13">
        <v>46187</v>
      </c>
      <c r="K1191" s="17" t="s">
        <v>57</v>
      </c>
      <c r="L1191" s="13">
        <v>46217</v>
      </c>
      <c r="M1191" t="s">
        <v>99</v>
      </c>
      <c r="N1191" t="s">
        <v>32</v>
      </c>
      <c r="O1191" s="13">
        <v>46188</v>
      </c>
      <c r="Q1191">
        <f t="shared" ca="1" si="90"/>
        <v>2</v>
      </c>
      <c r="R1191">
        <f t="shared" si="91"/>
        <v>1</v>
      </c>
      <c r="S1191">
        <f t="shared" ca="1" si="92"/>
        <v>28</v>
      </c>
      <c r="T1191" t="str">
        <f t="shared" ca="1" si="93"/>
        <v>On Track</v>
      </c>
      <c r="U1191" t="str">
        <f t="shared" ca="1" si="94"/>
        <v>Normal</v>
      </c>
    </row>
    <row r="1192" spans="1:22">
      <c r="A1192" t="s">
        <v>3204</v>
      </c>
      <c r="B1192" t="s">
        <v>137</v>
      </c>
      <c r="C1192" t="s">
        <v>3205</v>
      </c>
      <c r="D1192" s="16">
        <v>1500.07</v>
      </c>
      <c r="E1192" t="s">
        <v>78</v>
      </c>
      <c r="F1192" t="s">
        <v>26</v>
      </c>
      <c r="G1192" t="s">
        <v>3206</v>
      </c>
      <c r="H1192" t="s">
        <v>80</v>
      </c>
      <c r="I1192" t="s">
        <v>29</v>
      </c>
      <c r="J1192" s="13">
        <v>46178</v>
      </c>
      <c r="K1192" s="17" t="s">
        <v>30</v>
      </c>
      <c r="L1192" s="13">
        <v>46193</v>
      </c>
      <c r="M1192" t="s">
        <v>41</v>
      </c>
      <c r="N1192" t="s">
        <v>32</v>
      </c>
      <c r="Q1192">
        <f t="shared" ca="1" si="90"/>
        <v>11</v>
      </c>
      <c r="R1192" t="str">
        <f t="shared" si="91"/>
        <v/>
      </c>
      <c r="S1192">
        <f t="shared" ca="1" si="92"/>
        <v>4</v>
      </c>
      <c r="T1192" t="str">
        <f t="shared" ca="1" si="93"/>
        <v>Overdue</v>
      </c>
      <c r="U1192" t="str">
        <f t="shared" ca="1" si="94"/>
        <v>At Risk</v>
      </c>
      <c r="V1192" t="s">
        <v>42</v>
      </c>
    </row>
    <row r="1193" spans="1:22">
      <c r="A1193" t="s">
        <v>3207</v>
      </c>
      <c r="B1193" t="s">
        <v>271</v>
      </c>
      <c r="C1193" t="s">
        <v>3208</v>
      </c>
      <c r="D1193" s="16">
        <v>990.5</v>
      </c>
      <c r="E1193" t="s">
        <v>62</v>
      </c>
      <c r="F1193" t="s">
        <v>26</v>
      </c>
      <c r="G1193" t="s">
        <v>3209</v>
      </c>
      <c r="H1193" t="s">
        <v>64</v>
      </c>
      <c r="I1193" t="s">
        <v>29</v>
      </c>
      <c r="J1193" s="13">
        <v>46171</v>
      </c>
      <c r="K1193" s="17" t="s">
        <v>30</v>
      </c>
      <c r="L1193" s="13">
        <v>46186</v>
      </c>
      <c r="M1193" t="s">
        <v>31</v>
      </c>
      <c r="N1193" t="s">
        <v>32</v>
      </c>
      <c r="O1193" s="13">
        <v>46174</v>
      </c>
      <c r="P1193" s="13">
        <v>46178</v>
      </c>
      <c r="Q1193">
        <f t="shared" ca="1" si="90"/>
        <v>18</v>
      </c>
      <c r="R1193">
        <f t="shared" si="91"/>
        <v>3</v>
      </c>
      <c r="S1193">
        <f t="shared" ca="1" si="92"/>
        <v>-3</v>
      </c>
      <c r="T1193" t="str">
        <f t="shared" ca="1" si="93"/>
        <v>On Track</v>
      </c>
      <c r="U1193" t="str">
        <f t="shared" ca="1" si="94"/>
        <v>Normal</v>
      </c>
      <c r="V1193" t="s">
        <v>33</v>
      </c>
    </row>
    <row r="1194" spans="1:22">
      <c r="A1194" t="s">
        <v>3210</v>
      </c>
      <c r="B1194" t="s">
        <v>94</v>
      </c>
      <c r="C1194" t="s">
        <v>3211</v>
      </c>
      <c r="D1194" s="16">
        <v>20732.650000000001</v>
      </c>
      <c r="E1194" t="s">
        <v>55</v>
      </c>
      <c r="F1194" t="s">
        <v>38</v>
      </c>
      <c r="H1194" t="s">
        <v>579</v>
      </c>
      <c r="I1194" t="s">
        <v>92</v>
      </c>
      <c r="J1194" s="13">
        <v>46168</v>
      </c>
      <c r="K1194" s="17" t="s">
        <v>30</v>
      </c>
      <c r="L1194" s="13">
        <v>46183</v>
      </c>
      <c r="M1194" t="s">
        <v>31</v>
      </c>
      <c r="N1194" t="s">
        <v>32</v>
      </c>
      <c r="O1194" s="13">
        <v>46178</v>
      </c>
      <c r="P1194" s="13">
        <v>46185</v>
      </c>
      <c r="Q1194">
        <f t="shared" ca="1" si="90"/>
        <v>21</v>
      </c>
      <c r="R1194">
        <f t="shared" si="91"/>
        <v>10</v>
      </c>
      <c r="S1194">
        <f t="shared" ca="1" si="92"/>
        <v>-6</v>
      </c>
      <c r="T1194" t="str">
        <f t="shared" ca="1" si="93"/>
        <v>On Track</v>
      </c>
      <c r="U1194" t="str">
        <f t="shared" ca="1" si="94"/>
        <v>Normal</v>
      </c>
      <c r="V1194" t="s">
        <v>33</v>
      </c>
    </row>
    <row r="1195" spans="1:22">
      <c r="A1195" t="s">
        <v>3212</v>
      </c>
      <c r="B1195" t="s">
        <v>53</v>
      </c>
      <c r="C1195" t="s">
        <v>3213</v>
      </c>
      <c r="D1195" s="16">
        <v>850.6</v>
      </c>
      <c r="E1195" t="s">
        <v>25</v>
      </c>
      <c r="F1195" t="s">
        <v>38</v>
      </c>
      <c r="H1195" t="s">
        <v>28</v>
      </c>
      <c r="I1195" t="s">
        <v>29</v>
      </c>
      <c r="J1195" s="13">
        <v>46182</v>
      </c>
      <c r="K1195" s="17" t="s">
        <v>30</v>
      </c>
      <c r="L1195" s="13">
        <v>46197</v>
      </c>
      <c r="M1195" t="s">
        <v>41</v>
      </c>
      <c r="N1195" t="s">
        <v>32</v>
      </c>
      <c r="Q1195">
        <f t="shared" ca="1" si="90"/>
        <v>7</v>
      </c>
      <c r="R1195" t="str">
        <f t="shared" si="91"/>
        <v/>
      </c>
      <c r="S1195">
        <f t="shared" ca="1" si="92"/>
        <v>8</v>
      </c>
      <c r="T1195" t="str">
        <f t="shared" ca="1" si="93"/>
        <v>Overdue</v>
      </c>
      <c r="U1195" t="str">
        <f t="shared" ca="1" si="94"/>
        <v>Normal</v>
      </c>
      <c r="V1195" t="s">
        <v>42</v>
      </c>
    </row>
    <row r="1196" spans="1:22">
      <c r="A1196" t="s">
        <v>3214</v>
      </c>
      <c r="B1196" t="s">
        <v>103</v>
      </c>
      <c r="C1196" t="s">
        <v>3215</v>
      </c>
      <c r="D1196" s="16">
        <v>2154.7399999999998</v>
      </c>
      <c r="E1196" t="s">
        <v>111</v>
      </c>
      <c r="F1196" t="s">
        <v>26</v>
      </c>
      <c r="G1196" t="s">
        <v>3216</v>
      </c>
      <c r="H1196" t="s">
        <v>113</v>
      </c>
      <c r="I1196" t="s">
        <v>29</v>
      </c>
      <c r="J1196" s="13">
        <v>46179</v>
      </c>
      <c r="K1196" s="17" t="s">
        <v>40</v>
      </c>
      <c r="L1196" s="13">
        <v>46209</v>
      </c>
      <c r="M1196" t="s">
        <v>31</v>
      </c>
      <c r="N1196" t="s">
        <v>32</v>
      </c>
      <c r="O1196" s="13">
        <v>46181</v>
      </c>
      <c r="P1196" s="13">
        <v>46187</v>
      </c>
      <c r="Q1196">
        <f t="shared" ca="1" si="90"/>
        <v>10</v>
      </c>
      <c r="R1196">
        <f t="shared" si="91"/>
        <v>2</v>
      </c>
      <c r="S1196">
        <f t="shared" ca="1" si="92"/>
        <v>20</v>
      </c>
      <c r="T1196" t="str">
        <f t="shared" ca="1" si="93"/>
        <v>On Track</v>
      </c>
      <c r="U1196" t="str">
        <f t="shared" ca="1" si="94"/>
        <v>Normal</v>
      </c>
      <c r="V1196" t="s">
        <v>33</v>
      </c>
    </row>
    <row r="1197" spans="1:22">
      <c r="A1197" t="s">
        <v>3217</v>
      </c>
      <c r="B1197" t="s">
        <v>251</v>
      </c>
      <c r="C1197" t="s">
        <v>3218</v>
      </c>
      <c r="D1197" s="16">
        <v>1356.71</v>
      </c>
      <c r="E1197" t="s">
        <v>55</v>
      </c>
      <c r="F1197" t="s">
        <v>38</v>
      </c>
      <c r="H1197" t="s">
        <v>56</v>
      </c>
      <c r="I1197" t="s">
        <v>29</v>
      </c>
      <c r="J1197" s="13">
        <v>46152</v>
      </c>
      <c r="K1197" s="17" t="s">
        <v>30</v>
      </c>
      <c r="L1197" s="13">
        <v>46167</v>
      </c>
      <c r="M1197" t="s">
        <v>84</v>
      </c>
      <c r="N1197" t="s">
        <v>58</v>
      </c>
      <c r="O1197" s="13">
        <v>46159</v>
      </c>
      <c r="Q1197">
        <f t="shared" ca="1" si="90"/>
        <v>37</v>
      </c>
      <c r="R1197">
        <f t="shared" si="91"/>
        <v>7</v>
      </c>
      <c r="S1197">
        <f t="shared" ca="1" si="92"/>
        <v>-22</v>
      </c>
      <c r="T1197" t="str">
        <f t="shared" ca="1" si="93"/>
        <v>On Track</v>
      </c>
      <c r="U1197" t="str">
        <f t="shared" ca="1" si="94"/>
        <v>At Risk</v>
      </c>
      <c r="V1197" t="s">
        <v>59</v>
      </c>
    </row>
    <row r="1198" spans="1:22">
      <c r="A1198" t="s">
        <v>3219</v>
      </c>
      <c r="B1198" t="s">
        <v>44</v>
      </c>
      <c r="C1198" t="s">
        <v>3220</v>
      </c>
      <c r="D1198" s="16">
        <v>3844.49</v>
      </c>
      <c r="E1198" t="s">
        <v>62</v>
      </c>
      <c r="F1198" t="s">
        <v>26</v>
      </c>
      <c r="G1198" t="s">
        <v>3221</v>
      </c>
      <c r="H1198" t="s">
        <v>64</v>
      </c>
      <c r="I1198" t="s">
        <v>29</v>
      </c>
      <c r="J1198" s="13">
        <v>46151</v>
      </c>
      <c r="K1198" s="17" t="s">
        <v>30</v>
      </c>
      <c r="L1198" s="13">
        <v>46166</v>
      </c>
      <c r="M1198" t="s">
        <v>31</v>
      </c>
      <c r="N1198" t="s">
        <v>32</v>
      </c>
      <c r="O1198" s="13">
        <v>46155</v>
      </c>
      <c r="P1198" s="13">
        <v>46161</v>
      </c>
      <c r="Q1198">
        <f t="shared" ca="1" si="90"/>
        <v>38</v>
      </c>
      <c r="R1198">
        <f t="shared" si="91"/>
        <v>4</v>
      </c>
      <c r="S1198">
        <f t="shared" ca="1" si="92"/>
        <v>-23</v>
      </c>
      <c r="T1198" t="str">
        <f t="shared" ca="1" si="93"/>
        <v>On Track</v>
      </c>
      <c r="U1198" t="str">
        <f t="shared" ca="1" si="94"/>
        <v>Normal</v>
      </c>
      <c r="V1198" t="s">
        <v>33</v>
      </c>
    </row>
    <row r="1199" spans="1:22">
      <c r="A1199" t="s">
        <v>3222</v>
      </c>
      <c r="B1199" t="s">
        <v>208</v>
      </c>
      <c r="C1199" t="s">
        <v>3223</v>
      </c>
      <c r="D1199" s="16">
        <v>2571.39</v>
      </c>
      <c r="E1199" t="s">
        <v>302</v>
      </c>
      <c r="F1199" t="s">
        <v>26</v>
      </c>
      <c r="G1199" t="s">
        <v>3224</v>
      </c>
      <c r="H1199" t="s">
        <v>304</v>
      </c>
      <c r="I1199" t="s">
        <v>29</v>
      </c>
      <c r="J1199" s="13">
        <v>46186</v>
      </c>
      <c r="K1199" s="17" t="s">
        <v>49</v>
      </c>
      <c r="L1199" s="13">
        <v>46231</v>
      </c>
      <c r="M1199" t="s">
        <v>41</v>
      </c>
      <c r="N1199" t="s">
        <v>32</v>
      </c>
      <c r="Q1199">
        <f t="shared" ca="1" si="90"/>
        <v>3</v>
      </c>
      <c r="R1199" t="str">
        <f t="shared" si="91"/>
        <v/>
      </c>
      <c r="S1199">
        <f t="shared" ca="1" si="92"/>
        <v>42</v>
      </c>
      <c r="T1199" t="str">
        <f t="shared" ca="1" si="93"/>
        <v>On Track</v>
      </c>
      <c r="U1199" t="str">
        <f t="shared" ca="1" si="94"/>
        <v>Normal</v>
      </c>
      <c r="V1199" t="s">
        <v>42</v>
      </c>
    </row>
    <row r="1200" spans="1:22">
      <c r="A1200" t="s">
        <v>3225</v>
      </c>
      <c r="B1200" t="s">
        <v>222</v>
      </c>
      <c r="C1200" t="s">
        <v>3226</v>
      </c>
      <c r="D1200" s="16">
        <v>21781.42</v>
      </c>
      <c r="E1200" t="s">
        <v>142</v>
      </c>
      <c r="F1200" t="s">
        <v>38</v>
      </c>
      <c r="H1200" t="s">
        <v>144</v>
      </c>
      <c r="I1200" t="s">
        <v>92</v>
      </c>
      <c r="J1200" s="13">
        <v>46156</v>
      </c>
      <c r="K1200" s="17" t="s">
        <v>40</v>
      </c>
      <c r="L1200" s="13">
        <v>46186</v>
      </c>
      <c r="M1200" t="s">
        <v>31</v>
      </c>
      <c r="N1200" t="s">
        <v>32</v>
      </c>
      <c r="O1200" s="13">
        <v>46163</v>
      </c>
      <c r="P1200" s="13">
        <v>46169</v>
      </c>
      <c r="Q1200">
        <f t="shared" ca="1" si="90"/>
        <v>33</v>
      </c>
      <c r="R1200">
        <f t="shared" si="91"/>
        <v>7</v>
      </c>
      <c r="S1200">
        <f t="shared" ca="1" si="92"/>
        <v>-3</v>
      </c>
      <c r="T1200" t="str">
        <f t="shared" ca="1" si="93"/>
        <v>On Track</v>
      </c>
      <c r="U1200" t="str">
        <f t="shared" ca="1" si="94"/>
        <v>Normal</v>
      </c>
      <c r="V1200" t="s">
        <v>33</v>
      </c>
    </row>
    <row r="1201" spans="1:22">
      <c r="A1201" t="s">
        <v>3227</v>
      </c>
      <c r="B1201" t="s">
        <v>137</v>
      </c>
      <c r="C1201" t="s">
        <v>3228</v>
      </c>
      <c r="D1201" s="16">
        <v>4153.2</v>
      </c>
      <c r="E1201" t="s">
        <v>46</v>
      </c>
      <c r="F1201" t="s">
        <v>26</v>
      </c>
      <c r="G1201" t="s">
        <v>3229</v>
      </c>
      <c r="H1201" t="s">
        <v>48</v>
      </c>
      <c r="I1201" t="s">
        <v>29</v>
      </c>
      <c r="J1201" s="13">
        <v>46148</v>
      </c>
      <c r="K1201" s="17" t="s">
        <v>40</v>
      </c>
      <c r="L1201" s="13">
        <v>46178</v>
      </c>
      <c r="M1201" t="s">
        <v>31</v>
      </c>
      <c r="N1201" t="s">
        <v>32</v>
      </c>
      <c r="O1201" s="13">
        <v>46150</v>
      </c>
      <c r="P1201" s="13">
        <v>46152</v>
      </c>
      <c r="Q1201">
        <f t="shared" ca="1" si="90"/>
        <v>41</v>
      </c>
      <c r="R1201">
        <f t="shared" si="91"/>
        <v>2</v>
      </c>
      <c r="S1201">
        <f t="shared" ca="1" si="92"/>
        <v>-11</v>
      </c>
      <c r="T1201" t="str">
        <f t="shared" ca="1" si="93"/>
        <v>On Track</v>
      </c>
      <c r="U1201" t="str">
        <f t="shared" ca="1" si="94"/>
        <v>Normal</v>
      </c>
      <c r="V1201" t="s">
        <v>33</v>
      </c>
    </row>
  </sheetData>
  <conditionalFormatting sqref="N2:N1201">
    <cfRule type="expression" dxfId="2" priority="3">
      <formula>$N2&lt;&gt;"None"</formula>
    </cfRule>
  </conditionalFormatting>
  <conditionalFormatting sqref="T2:T1201">
    <cfRule type="expression" dxfId="1" priority="1">
      <formula>$T2="Overdue"</formula>
    </cfRule>
  </conditionalFormatting>
  <conditionalFormatting sqref="U2:U1201">
    <cfRule type="expression" dxfId="0" priority="2">
      <formula>$U2="At Risk"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000-000000000000}">
          <x14:formula1>
            <xm:f>Lists!$A$2:$A$7</xm:f>
          </x14:formula1>
          <xm:sqref>M2:M1201</xm:sqref>
        </x14:dataValidation>
        <x14:dataValidation type="list" xr:uid="{00000000-0002-0000-0000-000001000000}">
          <x14:formula1>
            <xm:f>Lists!$B$2:$B$7</xm:f>
          </x14:formula1>
          <xm:sqref>N2:N1201</xm:sqref>
        </x14:dataValidation>
        <x14:dataValidation type="list" xr:uid="{00000000-0002-0000-0000-000002000000}">
          <x14:formula1>
            <xm:f>Lists!$C$2:$C$3</xm:f>
          </x14:formula1>
          <xm:sqref>F2:F1201</xm:sqref>
        </x14:dataValidation>
        <x14:dataValidation type="list" xr:uid="{00000000-0002-0000-0000-000003000000}">
          <x14:formula1>
            <xm:f>Lists!$D$2:$D$5</xm:f>
          </x14:formula1>
          <xm:sqref>K2:K1201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workbookViewId="0"/>
  </sheetViews>
  <sheetFormatPr defaultRowHeight="14"/>
  <cols>
    <col min="1" max="6" width="24" customWidth="1"/>
  </cols>
  <sheetData>
    <row r="1" spans="1:26">
      <c r="A1" s="4" t="s">
        <v>12</v>
      </c>
      <c r="B1" s="4" t="s">
        <v>13</v>
      </c>
      <c r="C1" s="4" t="s">
        <v>5</v>
      </c>
      <c r="D1" s="4" t="s">
        <v>10</v>
      </c>
      <c r="E1" s="4" t="s">
        <v>4</v>
      </c>
      <c r="F1" s="4" t="s">
        <v>8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" t="s">
        <v>31</v>
      </c>
      <c r="B2" s="3" t="s">
        <v>32</v>
      </c>
      <c r="C2" s="3" t="s">
        <v>26</v>
      </c>
      <c r="D2" s="3" t="s">
        <v>30</v>
      </c>
      <c r="E2" s="3" t="s">
        <v>302</v>
      </c>
      <c r="F2" s="3" t="s">
        <v>29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 t="s">
        <v>99</v>
      </c>
      <c r="B3" s="3" t="s">
        <v>58</v>
      </c>
      <c r="C3" s="3" t="s">
        <v>38</v>
      </c>
      <c r="D3" s="3" t="s">
        <v>57</v>
      </c>
      <c r="E3" s="3" t="s">
        <v>25</v>
      </c>
      <c r="F3" s="3" t="s">
        <v>92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 t="s">
        <v>145</v>
      </c>
      <c r="B4" s="3" t="s">
        <v>50</v>
      </c>
      <c r="C4" s="3"/>
      <c r="D4" s="3" t="s">
        <v>49</v>
      </c>
      <c r="E4" s="3" t="s">
        <v>46</v>
      </c>
      <c r="F4" s="3" t="s">
        <v>122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 t="s">
        <v>41</v>
      </c>
      <c r="B5" s="3" t="s">
        <v>179</v>
      </c>
      <c r="C5" s="3"/>
      <c r="D5" s="3" t="s">
        <v>40</v>
      </c>
      <c r="E5" s="3" t="s">
        <v>126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 t="s">
        <v>65</v>
      </c>
      <c r="B6" s="3" t="s">
        <v>213</v>
      </c>
      <c r="C6" s="3"/>
      <c r="D6" s="3"/>
      <c r="E6" s="3" t="s">
        <v>156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 t="s">
        <v>84</v>
      </c>
      <c r="B7" s="3" t="s">
        <v>100</v>
      </c>
      <c r="C7" s="3"/>
      <c r="D7" s="3"/>
      <c r="E7" s="3" t="s">
        <v>142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/>
      <c r="B8" s="3"/>
      <c r="C8" s="3"/>
      <c r="D8" s="3"/>
      <c r="E8" s="3" t="s">
        <v>55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3"/>
      <c r="C9" s="3"/>
      <c r="D9" s="3"/>
      <c r="E9" s="3" t="s">
        <v>62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/>
      <c r="B10" s="3"/>
      <c r="C10" s="3"/>
      <c r="D10" s="3"/>
      <c r="E10" s="3" t="s">
        <v>78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 t="s">
        <v>37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 t="s">
        <v>111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 t="s">
        <v>69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>
      <selection sqref="A1:J1"/>
    </sheetView>
  </sheetViews>
  <sheetFormatPr defaultRowHeight="14"/>
  <cols>
    <col min="1" max="2" width="24" customWidth="1"/>
    <col min="3" max="3" width="42" customWidth="1"/>
    <col min="5" max="8" width="18" customWidth="1"/>
    <col min="10" max="16" width="18" customWidth="1"/>
  </cols>
  <sheetData>
    <row r="1" spans="1:26">
      <c r="A1" s="8" t="s">
        <v>3230</v>
      </c>
      <c r="B1" s="9"/>
      <c r="C1" s="9"/>
      <c r="D1" s="9"/>
      <c r="E1" s="9"/>
      <c r="F1" s="9"/>
      <c r="G1" s="9"/>
      <c r="H1" s="9"/>
      <c r="I1" s="9"/>
      <c r="J1" s="9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10" t="s">
        <v>3231</v>
      </c>
      <c r="B2" s="9"/>
      <c r="C2" s="9"/>
      <c r="D2" s="9"/>
      <c r="E2" s="9"/>
      <c r="F2" s="9"/>
      <c r="G2" s="9"/>
      <c r="H2" s="9"/>
      <c r="I2" s="9"/>
      <c r="J2" s="9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4" t="s">
        <v>3232</v>
      </c>
      <c r="B4" s="4" t="s">
        <v>3233</v>
      </c>
      <c r="C4" s="4" t="s">
        <v>3234</v>
      </c>
      <c r="D4" s="3"/>
      <c r="E4" s="4" t="s">
        <v>7</v>
      </c>
      <c r="F4" s="4" t="s">
        <v>3235</v>
      </c>
      <c r="G4" s="4" t="s">
        <v>3236</v>
      </c>
      <c r="H4" s="4" t="s">
        <v>20</v>
      </c>
      <c r="I4" s="3"/>
      <c r="J4" s="4" t="s">
        <v>4</v>
      </c>
      <c r="K4" s="4" t="s">
        <v>3237</v>
      </c>
      <c r="L4" s="4" t="s">
        <v>3238</v>
      </c>
      <c r="M4" s="4" t="s">
        <v>3239</v>
      </c>
      <c r="N4" s="3"/>
      <c r="O4" s="4" t="s">
        <v>13</v>
      </c>
      <c r="P4" s="4" t="s">
        <v>3240</v>
      </c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5" t="s">
        <v>3241</v>
      </c>
      <c r="B5" s="3">
        <f>COUNTA('Invoice Tracker'!A2:A1201)</f>
        <v>1200</v>
      </c>
      <c r="C5" s="3" t="s">
        <v>3242</v>
      </c>
      <c r="D5" s="3"/>
      <c r="E5" s="3" t="s">
        <v>157</v>
      </c>
      <c r="F5" s="3">
        <v>45</v>
      </c>
      <c r="G5" s="3">
        <v>10</v>
      </c>
      <c r="H5" s="3">
        <v>10</v>
      </c>
      <c r="I5" s="3"/>
      <c r="J5" s="3" t="s">
        <v>25</v>
      </c>
      <c r="K5" s="3">
        <v>85</v>
      </c>
      <c r="L5" s="3">
        <v>10.105882352941176</v>
      </c>
      <c r="M5" s="3">
        <v>47</v>
      </c>
      <c r="N5" s="3"/>
      <c r="O5" s="3" t="s">
        <v>100</v>
      </c>
      <c r="P5" s="3">
        <v>124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5" t="s">
        <v>3243</v>
      </c>
      <c r="B6" s="6">
        <f>COUNTIF('Invoice Tracker'!F2:F1201,"PO")/COUNTA('Invoice Tracker'!A2:A1201)</f>
        <v>0.60499999999999998</v>
      </c>
      <c r="C6" s="3" t="s">
        <v>3244</v>
      </c>
      <c r="D6" s="3"/>
      <c r="E6" s="3" t="s">
        <v>28</v>
      </c>
      <c r="F6" s="3">
        <v>45</v>
      </c>
      <c r="G6" s="3">
        <v>11</v>
      </c>
      <c r="H6" s="3">
        <v>9</v>
      </c>
      <c r="I6" s="3"/>
      <c r="J6" s="3" t="s">
        <v>126</v>
      </c>
      <c r="K6" s="3">
        <v>64</v>
      </c>
      <c r="L6" s="3">
        <v>9.875</v>
      </c>
      <c r="M6" s="3">
        <v>40</v>
      </c>
      <c r="N6" s="3"/>
      <c r="O6" s="3" t="s">
        <v>50</v>
      </c>
      <c r="P6" s="3">
        <v>114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5" t="s">
        <v>3245</v>
      </c>
      <c r="B7" s="6">
        <f>COUNTIF('Invoice Tracker'!F2:F1201,"Non-PO")/COUNTA('Invoice Tracker'!A2:A1201)</f>
        <v>0.39500000000000002</v>
      </c>
      <c r="C7" s="3" t="s">
        <v>3246</v>
      </c>
      <c r="D7" s="3"/>
      <c r="E7" s="3" t="s">
        <v>64</v>
      </c>
      <c r="F7" s="3">
        <v>44</v>
      </c>
      <c r="G7" s="3">
        <v>9</v>
      </c>
      <c r="H7" s="3">
        <v>10</v>
      </c>
      <c r="I7" s="3"/>
      <c r="J7" s="3" t="s">
        <v>62</v>
      </c>
      <c r="K7" s="3">
        <v>79</v>
      </c>
      <c r="L7" s="3">
        <v>8.4177215189873422</v>
      </c>
      <c r="M7" s="3">
        <v>43</v>
      </c>
      <c r="N7" s="3"/>
      <c r="O7" s="3" t="s">
        <v>58</v>
      </c>
      <c r="P7" s="3">
        <v>59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5" t="s">
        <v>3235</v>
      </c>
      <c r="B8" s="3">
        <f>COUNTIFS('Invoice Tracker'!M2:M1201,"&lt;&gt;Paid",'Invoice Tracker'!M2:M1201,"&lt;&gt;Rejected")</f>
        <v>611</v>
      </c>
      <c r="C8" s="3" t="s">
        <v>3247</v>
      </c>
      <c r="D8" s="3"/>
      <c r="E8" s="3" t="s">
        <v>121</v>
      </c>
      <c r="F8" s="3">
        <v>42</v>
      </c>
      <c r="G8" s="3">
        <v>6</v>
      </c>
      <c r="H8" s="3">
        <v>11</v>
      </c>
      <c r="I8" s="3"/>
      <c r="J8" s="3" t="s">
        <v>302</v>
      </c>
      <c r="K8" s="3">
        <v>64</v>
      </c>
      <c r="L8" s="3">
        <v>8.40625</v>
      </c>
      <c r="M8" s="3">
        <v>34</v>
      </c>
      <c r="N8" s="3"/>
      <c r="O8" s="3" t="s">
        <v>179</v>
      </c>
      <c r="P8" s="3">
        <v>37</v>
      </c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5" t="s">
        <v>3236</v>
      </c>
      <c r="B9" s="3">
        <f ca="1">COUNTIF('Invoice Tracker'!T2:T1201,"Overdue")</f>
        <v>155</v>
      </c>
      <c r="C9" s="3" t="s">
        <v>3248</v>
      </c>
      <c r="D9" s="3"/>
      <c r="E9" s="3" t="s">
        <v>241</v>
      </c>
      <c r="F9" s="3">
        <v>41</v>
      </c>
      <c r="G9" s="3">
        <v>10</v>
      </c>
      <c r="H9" s="3">
        <v>12</v>
      </c>
      <c r="I9" s="3"/>
      <c r="J9" s="3" t="s">
        <v>78</v>
      </c>
      <c r="K9" s="3">
        <v>65</v>
      </c>
      <c r="L9" s="3">
        <v>7.9846153846153847</v>
      </c>
      <c r="M9" s="3">
        <v>40</v>
      </c>
      <c r="N9" s="3"/>
      <c r="O9" s="3" t="s">
        <v>213</v>
      </c>
      <c r="P9" s="3">
        <v>21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5" t="s">
        <v>20</v>
      </c>
      <c r="B10" s="3">
        <f ca="1">COUNTIF('Invoice Tracker'!U2:U1201,"At Risk")</f>
        <v>154</v>
      </c>
      <c r="C10" s="3" t="s">
        <v>3249</v>
      </c>
      <c r="D10" s="3"/>
      <c r="E10" s="3" t="s">
        <v>80</v>
      </c>
      <c r="F10" s="3">
        <v>41</v>
      </c>
      <c r="G10" s="3">
        <v>12</v>
      </c>
      <c r="H10" s="3">
        <v>10</v>
      </c>
      <c r="I10" s="3"/>
      <c r="J10" s="3" t="s">
        <v>55</v>
      </c>
      <c r="K10" s="3">
        <v>75</v>
      </c>
      <c r="L10" s="3">
        <v>7.7866666666666671</v>
      </c>
      <c r="M10" s="3">
        <v>38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5" t="s">
        <v>3250</v>
      </c>
      <c r="B11" s="6" t="e">
        <f>COUNTIF('Invoice Tracker'!#REF!,"Late")</f>
        <v>#REF!</v>
      </c>
      <c r="C11" s="3" t="s">
        <v>3251</v>
      </c>
      <c r="D11" s="3"/>
      <c r="E11" s="3" t="s">
        <v>335</v>
      </c>
      <c r="F11" s="3">
        <v>41</v>
      </c>
      <c r="G11" s="3">
        <v>13</v>
      </c>
      <c r="H11" s="3">
        <v>10</v>
      </c>
      <c r="I11" s="3"/>
      <c r="J11" s="3" t="s">
        <v>111</v>
      </c>
      <c r="K11" s="3">
        <v>61</v>
      </c>
      <c r="L11" s="3">
        <v>7.6229508196721314</v>
      </c>
      <c r="M11" s="3">
        <v>39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5" t="s">
        <v>3252</v>
      </c>
      <c r="B12" s="6">
        <f>COUNTIF('Invoice Tracker'!N2:N1201,"&lt;&gt;None")/COUNTA('Invoice Tracker'!A2:A1201)</f>
        <v>0.29583333333333334</v>
      </c>
      <c r="C12" s="3" t="s">
        <v>3253</v>
      </c>
      <c r="D12" s="3"/>
      <c r="E12" s="3" t="s">
        <v>304</v>
      </c>
      <c r="F12" s="3">
        <v>41</v>
      </c>
      <c r="G12" s="3">
        <v>11</v>
      </c>
      <c r="H12" s="3">
        <v>6</v>
      </c>
      <c r="I12" s="3"/>
      <c r="J12" s="3" t="s">
        <v>69</v>
      </c>
      <c r="K12" s="3">
        <v>81</v>
      </c>
      <c r="L12" s="3">
        <v>7.2592592592592595</v>
      </c>
      <c r="M12" s="3">
        <v>44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5" t="s">
        <v>3254</v>
      </c>
      <c r="B13" s="7">
        <f>AVERAGE('Invoice Tracker'!R2:R1201)</f>
        <v>7.9584816132858833</v>
      </c>
      <c r="C13" s="3" t="s">
        <v>3255</v>
      </c>
      <c r="D13" s="3"/>
      <c r="E13" s="3" t="s">
        <v>39</v>
      </c>
      <c r="F13" s="3">
        <v>37</v>
      </c>
      <c r="G13" s="3">
        <v>10</v>
      </c>
      <c r="H13" s="3">
        <v>13</v>
      </c>
      <c r="I13" s="3"/>
      <c r="J13" s="3" t="s">
        <v>142</v>
      </c>
      <c r="K13" s="3">
        <v>69</v>
      </c>
      <c r="L13" s="3">
        <v>7.0869565217391308</v>
      </c>
      <c r="M13" s="3">
        <v>35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 t="s">
        <v>113</v>
      </c>
      <c r="F14" s="3">
        <v>31</v>
      </c>
      <c r="G14" s="3">
        <v>7</v>
      </c>
      <c r="H14" s="3">
        <v>7</v>
      </c>
      <c r="I14" s="3"/>
      <c r="J14" s="3" t="s">
        <v>46</v>
      </c>
      <c r="K14" s="3">
        <v>69</v>
      </c>
      <c r="L14" s="3">
        <v>7.0289855072463769</v>
      </c>
      <c r="M14" s="3">
        <v>38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 t="s">
        <v>156</v>
      </c>
      <c r="K15" s="3">
        <v>67</v>
      </c>
      <c r="L15" s="3">
        <v>6.9701492537313436</v>
      </c>
      <c r="M15" s="3">
        <v>38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 t="s">
        <v>37</v>
      </c>
      <c r="K16" s="3">
        <v>64</v>
      </c>
      <c r="L16" s="3">
        <v>6.53125</v>
      </c>
      <c r="M16" s="3">
        <v>38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J1"/>
    <mergeCell ref="A2:J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topLeftCell="A2" workbookViewId="0">
      <selection activeCell="I4" sqref="I4"/>
    </sheetView>
  </sheetViews>
  <sheetFormatPr defaultRowHeight="14"/>
  <cols>
    <col min="1" max="1" width="18" customWidth="1"/>
    <col min="2" max="6" width="20" customWidth="1"/>
    <col min="7" max="7" width="24" customWidth="1"/>
    <col min="8" max="8" width="14" style="13" customWidth="1"/>
  </cols>
  <sheetData>
    <row r="1" spans="1:26">
      <c r="A1" s="4" t="s">
        <v>4</v>
      </c>
      <c r="B1" s="4" t="s">
        <v>29</v>
      </c>
      <c r="C1" s="4" t="s">
        <v>92</v>
      </c>
      <c r="D1" s="4" t="s">
        <v>3256</v>
      </c>
      <c r="E1" s="4" t="s">
        <v>3257</v>
      </c>
      <c r="F1" s="4" t="s">
        <v>3258</v>
      </c>
      <c r="G1" s="4" t="s">
        <v>3259</v>
      </c>
      <c r="H1" s="11" t="s">
        <v>3260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" t="s">
        <v>302</v>
      </c>
      <c r="B2" s="3" t="s">
        <v>304</v>
      </c>
      <c r="C2" s="3" t="s">
        <v>429</v>
      </c>
      <c r="D2" s="3" t="s">
        <v>304</v>
      </c>
      <c r="E2" s="3" t="s">
        <v>429</v>
      </c>
      <c r="F2" s="3" t="s">
        <v>121</v>
      </c>
      <c r="G2" s="3" t="s">
        <v>3261</v>
      </c>
      <c r="H2" s="12">
        <v>46189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 t="s">
        <v>25</v>
      </c>
      <c r="B3" s="3" t="s">
        <v>28</v>
      </c>
      <c r="C3" s="3" t="s">
        <v>149</v>
      </c>
      <c r="D3" s="3" t="s">
        <v>28</v>
      </c>
      <c r="E3" s="3" t="s">
        <v>149</v>
      </c>
      <c r="F3" s="3" t="s">
        <v>121</v>
      </c>
      <c r="G3" s="3" t="s">
        <v>3261</v>
      </c>
      <c r="H3" s="12">
        <v>46189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 t="s">
        <v>46</v>
      </c>
      <c r="B4" s="3" t="s">
        <v>48</v>
      </c>
      <c r="C4" s="3" t="s">
        <v>161</v>
      </c>
      <c r="D4" s="3" t="s">
        <v>48</v>
      </c>
      <c r="E4" s="3" t="s">
        <v>161</v>
      </c>
      <c r="F4" s="3" t="s">
        <v>121</v>
      </c>
      <c r="G4" s="3" t="s">
        <v>3261</v>
      </c>
      <c r="H4" s="12">
        <v>46189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 t="s">
        <v>126</v>
      </c>
      <c r="B5" s="3" t="s">
        <v>241</v>
      </c>
      <c r="C5" s="3" t="s">
        <v>127</v>
      </c>
      <c r="D5" s="3" t="s">
        <v>241</v>
      </c>
      <c r="E5" s="3" t="s">
        <v>127</v>
      </c>
      <c r="F5" s="3" t="s">
        <v>121</v>
      </c>
      <c r="G5" s="3" t="s">
        <v>3261</v>
      </c>
      <c r="H5" s="12">
        <v>46189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 t="s">
        <v>156</v>
      </c>
      <c r="B6" s="3" t="s">
        <v>157</v>
      </c>
      <c r="C6" s="3" t="s">
        <v>394</v>
      </c>
      <c r="D6" s="3" t="s">
        <v>157</v>
      </c>
      <c r="E6" s="3" t="s">
        <v>394</v>
      </c>
      <c r="F6" s="3" t="s">
        <v>121</v>
      </c>
      <c r="G6" s="3" t="s">
        <v>3261</v>
      </c>
      <c r="H6" s="12">
        <v>46189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 t="s">
        <v>142</v>
      </c>
      <c r="B7" s="3" t="s">
        <v>335</v>
      </c>
      <c r="C7" s="3" t="s">
        <v>144</v>
      </c>
      <c r="D7" s="3" t="s">
        <v>335</v>
      </c>
      <c r="E7" s="3" t="s">
        <v>144</v>
      </c>
      <c r="F7" s="3" t="s">
        <v>121</v>
      </c>
      <c r="G7" s="3" t="s">
        <v>3261</v>
      </c>
      <c r="H7" s="12">
        <v>46189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 t="s">
        <v>55</v>
      </c>
      <c r="B8" s="3" t="s">
        <v>56</v>
      </c>
      <c r="C8" s="3" t="s">
        <v>579</v>
      </c>
      <c r="D8" s="3" t="s">
        <v>56</v>
      </c>
      <c r="E8" s="3" t="s">
        <v>579</v>
      </c>
      <c r="F8" s="3" t="s">
        <v>121</v>
      </c>
      <c r="G8" s="3" t="s">
        <v>3261</v>
      </c>
      <c r="H8" s="12">
        <v>46189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 t="s">
        <v>62</v>
      </c>
      <c r="B9" s="3" t="s">
        <v>64</v>
      </c>
      <c r="C9" s="3" t="s">
        <v>106</v>
      </c>
      <c r="D9" s="3" t="s">
        <v>64</v>
      </c>
      <c r="E9" s="3" t="s">
        <v>106</v>
      </c>
      <c r="F9" s="3" t="s">
        <v>121</v>
      </c>
      <c r="G9" s="3" t="s">
        <v>3261</v>
      </c>
      <c r="H9" s="12">
        <v>46189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 t="s">
        <v>78</v>
      </c>
      <c r="B10" s="3" t="s">
        <v>80</v>
      </c>
      <c r="C10" s="3" t="s">
        <v>91</v>
      </c>
      <c r="D10" s="3" t="s">
        <v>80</v>
      </c>
      <c r="E10" s="3" t="s">
        <v>91</v>
      </c>
      <c r="F10" s="3" t="s">
        <v>121</v>
      </c>
      <c r="G10" s="3" t="s">
        <v>3261</v>
      </c>
      <c r="H10" s="12">
        <v>46189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 t="s">
        <v>37</v>
      </c>
      <c r="B11" s="3" t="s">
        <v>39</v>
      </c>
      <c r="C11" s="3" t="s">
        <v>815</v>
      </c>
      <c r="D11" s="3" t="s">
        <v>39</v>
      </c>
      <c r="E11" s="3" t="s">
        <v>815</v>
      </c>
      <c r="F11" s="3" t="s">
        <v>121</v>
      </c>
      <c r="G11" s="3" t="s">
        <v>3261</v>
      </c>
      <c r="H11" s="12">
        <v>46189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 t="s">
        <v>111</v>
      </c>
      <c r="B12" s="3" t="s">
        <v>113</v>
      </c>
      <c r="C12" s="3" t="s">
        <v>122</v>
      </c>
      <c r="D12" s="3" t="s">
        <v>113</v>
      </c>
      <c r="E12" s="3" t="s">
        <v>122</v>
      </c>
      <c r="F12" s="3" t="s">
        <v>121</v>
      </c>
      <c r="G12" s="3" t="s">
        <v>3261</v>
      </c>
      <c r="H12" s="12">
        <v>46189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 t="s">
        <v>69</v>
      </c>
      <c r="B13" s="3" t="s">
        <v>71</v>
      </c>
      <c r="C13" s="3" t="s">
        <v>178</v>
      </c>
      <c r="D13" s="3" t="s">
        <v>71</v>
      </c>
      <c r="E13" s="3" t="s">
        <v>178</v>
      </c>
      <c r="F13" s="3" t="s">
        <v>121</v>
      </c>
      <c r="G13" s="3" t="s">
        <v>3261</v>
      </c>
      <c r="H13" s="12">
        <v>46189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12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12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12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1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12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12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12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12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12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12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12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12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12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12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12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1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12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1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12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12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12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12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12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12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1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12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12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12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1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12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1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12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12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12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1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12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12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12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12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12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12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12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12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12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12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12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12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12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1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12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12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12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12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12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12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12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12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12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12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12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12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12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12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12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12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12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12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12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12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12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12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12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12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12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12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12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12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12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12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12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12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12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12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12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12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12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12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12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12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12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12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12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12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12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12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12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12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12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12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12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12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12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12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12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12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12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12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12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12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1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12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12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12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12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12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12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12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12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12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12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12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12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12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12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12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12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1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1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1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12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12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12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12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12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12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12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12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12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12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12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12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12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12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12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12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12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12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12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12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12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12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12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12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12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12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12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12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12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12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12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12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12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12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12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12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12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12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12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12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12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12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12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12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12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12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12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12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12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12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12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12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12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12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12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12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12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12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workbookViewId="0"/>
  </sheetViews>
  <sheetFormatPr defaultRowHeight="14"/>
  <cols>
    <col min="1" max="1" width="26" customWidth="1"/>
    <col min="2" max="2" width="14" customWidth="1"/>
    <col min="3" max="3" width="12" customWidth="1"/>
    <col min="4" max="4" width="24" customWidth="1"/>
    <col min="5" max="5" width="55" customWidth="1"/>
  </cols>
  <sheetData>
    <row r="1" spans="1:26">
      <c r="A1" s="4" t="s">
        <v>13</v>
      </c>
      <c r="B1" s="4" t="s">
        <v>3262</v>
      </c>
      <c r="C1" s="4" t="s">
        <v>3263</v>
      </c>
      <c r="D1" s="4" t="s">
        <v>3264</v>
      </c>
      <c r="E1" s="4" t="s">
        <v>3265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" t="s">
        <v>100</v>
      </c>
      <c r="B2" s="3">
        <v>124</v>
      </c>
      <c r="C2" s="6">
        <v>0.10333333333333333</v>
      </c>
      <c r="D2" s="3" t="s">
        <v>3266</v>
      </c>
      <c r="E2" s="3" t="s">
        <v>3267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 t="s">
        <v>50</v>
      </c>
      <c r="B3" s="3">
        <v>114</v>
      </c>
      <c r="C3" s="6">
        <v>9.5000000000000001E-2</v>
      </c>
      <c r="D3" s="3" t="s">
        <v>3268</v>
      </c>
      <c r="E3" s="3" t="s">
        <v>3269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 t="s">
        <v>58</v>
      </c>
      <c r="B4" s="3">
        <v>59</v>
      </c>
      <c r="C4" s="6">
        <v>4.9166666666666664E-2</v>
      </c>
      <c r="D4" s="3" t="s">
        <v>3270</v>
      </c>
      <c r="E4" s="3" t="s">
        <v>3271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 t="s">
        <v>179</v>
      </c>
      <c r="B5" s="3">
        <v>37</v>
      </c>
      <c r="C5" s="6">
        <v>3.0833333333333334E-2</v>
      </c>
      <c r="D5" s="3" t="s">
        <v>3272</v>
      </c>
      <c r="E5" s="3" t="s">
        <v>3273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 t="s">
        <v>213</v>
      </c>
      <c r="B6" s="3">
        <v>21</v>
      </c>
      <c r="C6" s="6">
        <v>1.7500000000000002E-2</v>
      </c>
      <c r="D6" s="3" t="s">
        <v>3274</v>
      </c>
      <c r="E6" s="3" t="s">
        <v>3275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workbookViewId="0"/>
  </sheetViews>
  <sheetFormatPr defaultRowHeight="14"/>
  <cols>
    <col min="1" max="1" width="10" customWidth="1"/>
    <col min="2" max="2" width="18" customWidth="1"/>
    <col min="3" max="3" width="70" customWidth="1"/>
    <col min="4" max="4" width="12" customWidth="1"/>
    <col min="5" max="5" width="14" customWidth="1"/>
  </cols>
  <sheetData>
    <row r="1" spans="1:26">
      <c r="A1" s="4" t="s">
        <v>3276</v>
      </c>
      <c r="B1" s="4" t="s">
        <v>3277</v>
      </c>
      <c r="C1" s="4" t="s">
        <v>3278</v>
      </c>
      <c r="D1" s="4" t="s">
        <v>3279</v>
      </c>
      <c r="E1" s="4" t="s">
        <v>3280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" t="s">
        <v>3281</v>
      </c>
      <c r="B2" s="3" t="s">
        <v>3282</v>
      </c>
      <c r="C2" s="3" t="s">
        <v>3283</v>
      </c>
      <c r="D2" s="3" t="s">
        <v>3284</v>
      </c>
      <c r="E2" s="3" t="s">
        <v>3285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 t="s">
        <v>3286</v>
      </c>
      <c r="B3" s="3" t="s">
        <v>3282</v>
      </c>
      <c r="C3" s="3" t="s">
        <v>3287</v>
      </c>
      <c r="D3" s="3" t="s">
        <v>3284</v>
      </c>
      <c r="E3" s="3" t="s">
        <v>3285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 t="s">
        <v>3288</v>
      </c>
      <c r="B4" s="3" t="s">
        <v>3282</v>
      </c>
      <c r="C4" s="3" t="s">
        <v>3289</v>
      </c>
      <c r="D4" s="3" t="s">
        <v>3284</v>
      </c>
      <c r="E4" s="3" t="s">
        <v>3285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 t="s">
        <v>3290</v>
      </c>
      <c r="B5" s="3" t="s">
        <v>3282</v>
      </c>
      <c r="C5" s="3" t="s">
        <v>3291</v>
      </c>
      <c r="D5" s="3" t="s">
        <v>3284</v>
      </c>
      <c r="E5" s="3" t="s">
        <v>3285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 t="s">
        <v>3292</v>
      </c>
      <c r="B6" s="3" t="s">
        <v>3282</v>
      </c>
      <c r="C6" s="3" t="s">
        <v>3293</v>
      </c>
      <c r="D6" s="3" t="s">
        <v>3284</v>
      </c>
      <c r="E6" s="3" t="s">
        <v>3285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 t="s">
        <v>3294</v>
      </c>
      <c r="B7" s="3" t="s">
        <v>3282</v>
      </c>
      <c r="C7" s="3" t="s">
        <v>3295</v>
      </c>
      <c r="D7" s="3" t="s">
        <v>3284</v>
      </c>
      <c r="E7" s="3" t="s">
        <v>3296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 t="s">
        <v>3297</v>
      </c>
      <c r="B8" s="3" t="s">
        <v>3298</v>
      </c>
      <c r="C8" s="3" t="s">
        <v>3299</v>
      </c>
      <c r="D8" s="3" t="s">
        <v>3284</v>
      </c>
      <c r="E8" s="3" t="s">
        <v>3285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 t="s">
        <v>3300</v>
      </c>
      <c r="B9" s="3" t="s">
        <v>3298</v>
      </c>
      <c r="C9" s="3" t="s">
        <v>3301</v>
      </c>
      <c r="D9" s="3" t="s">
        <v>3284</v>
      </c>
      <c r="E9" s="3" t="s">
        <v>3296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 t="s">
        <v>3302</v>
      </c>
      <c r="B10" s="3" t="s">
        <v>3298</v>
      </c>
      <c r="C10" s="3" t="s">
        <v>3303</v>
      </c>
      <c r="D10" s="3" t="s">
        <v>3284</v>
      </c>
      <c r="E10" s="3" t="s">
        <v>3296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 t="s">
        <v>3304</v>
      </c>
      <c r="B11" s="3" t="s">
        <v>3298</v>
      </c>
      <c r="C11" s="3" t="s">
        <v>3305</v>
      </c>
      <c r="D11" s="3" t="s">
        <v>3284</v>
      </c>
      <c r="E11" s="3" t="s">
        <v>3296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 t="s">
        <v>3306</v>
      </c>
      <c r="B12" s="3" t="s">
        <v>3298</v>
      </c>
      <c r="C12" s="3" t="s">
        <v>3307</v>
      </c>
      <c r="D12" s="3" t="s">
        <v>3284</v>
      </c>
      <c r="E12" s="3" t="s">
        <v>3296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 t="s">
        <v>3308</v>
      </c>
      <c r="B13" s="3" t="s">
        <v>3309</v>
      </c>
      <c r="C13" s="3" t="s">
        <v>3310</v>
      </c>
      <c r="D13" s="3" t="s">
        <v>3284</v>
      </c>
      <c r="E13" s="3" t="s">
        <v>3296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0"/>
  <sheetViews>
    <sheetView workbookViewId="0">
      <selection activeCell="D13" sqref="D13"/>
    </sheetView>
  </sheetViews>
  <sheetFormatPr defaultRowHeight="14"/>
  <cols>
    <col min="1" max="1" width="4.4140625" bestFit="1" customWidth="1"/>
    <col min="2" max="2" width="6.9140625" bestFit="1" customWidth="1"/>
    <col min="3" max="3" width="15.08203125" bestFit="1" customWidth="1"/>
    <col min="4" max="4" width="27.75" bestFit="1" customWidth="1"/>
    <col min="5" max="5" width="47.9140625" bestFit="1" customWidth="1"/>
    <col min="6" max="6" width="84.75" bestFit="1" customWidth="1"/>
  </cols>
  <sheetData>
    <row r="1" spans="1:26">
      <c r="A1" s="4" t="s">
        <v>3276</v>
      </c>
      <c r="B1" s="4" t="s">
        <v>3280</v>
      </c>
      <c r="C1" s="4" t="s">
        <v>3311</v>
      </c>
      <c r="D1" s="4" t="s">
        <v>3312</v>
      </c>
      <c r="E1" s="4" t="s">
        <v>3313</v>
      </c>
      <c r="F1" s="4" t="s">
        <v>3314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" t="s">
        <v>3315</v>
      </c>
      <c r="B2" s="3" t="s">
        <v>3285</v>
      </c>
      <c r="C2" s="3" t="s">
        <v>3316</v>
      </c>
      <c r="D2" s="3" t="s">
        <v>3317</v>
      </c>
      <c r="E2" s="3" t="s">
        <v>3318</v>
      </c>
      <c r="F2" s="3" t="s">
        <v>3319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 t="s">
        <v>3320</v>
      </c>
      <c r="B3" s="3" t="s">
        <v>3285</v>
      </c>
      <c r="C3" s="3" t="s">
        <v>3316</v>
      </c>
      <c r="D3" s="3" t="s">
        <v>3321</v>
      </c>
      <c r="E3" s="3" t="s">
        <v>3322</v>
      </c>
      <c r="F3" s="3" t="s">
        <v>3323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 t="s">
        <v>3324</v>
      </c>
      <c r="B4" s="3" t="s">
        <v>3285</v>
      </c>
      <c r="C4" s="3" t="s">
        <v>3325</v>
      </c>
      <c r="D4" s="3" t="s">
        <v>3326</v>
      </c>
      <c r="E4" s="3" t="s">
        <v>3327</v>
      </c>
      <c r="F4" s="3" t="s">
        <v>3328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 t="s">
        <v>3329</v>
      </c>
      <c r="B5" s="3" t="s">
        <v>3285</v>
      </c>
      <c r="C5" s="3" t="s">
        <v>122</v>
      </c>
      <c r="D5" s="3" t="s">
        <v>3330</v>
      </c>
      <c r="E5" s="3" t="s">
        <v>3331</v>
      </c>
      <c r="F5" s="3" t="s">
        <v>3332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 t="s">
        <v>3333</v>
      </c>
      <c r="B6" s="3" t="s">
        <v>3296</v>
      </c>
      <c r="C6" s="3" t="s">
        <v>3316</v>
      </c>
      <c r="D6" s="3" t="s">
        <v>3334</v>
      </c>
      <c r="E6" s="3" t="s">
        <v>3335</v>
      </c>
      <c r="F6" s="3" t="s">
        <v>3336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 t="s">
        <v>3337</v>
      </c>
      <c r="B7" s="3" t="s">
        <v>3296</v>
      </c>
      <c r="C7" s="3" t="s">
        <v>3316</v>
      </c>
      <c r="D7" s="3" t="s">
        <v>3338</v>
      </c>
      <c r="E7" s="3" t="s">
        <v>3339</v>
      </c>
      <c r="F7" s="3" t="s">
        <v>3340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 t="s">
        <v>3341</v>
      </c>
      <c r="B8" s="3" t="s">
        <v>3296</v>
      </c>
      <c r="C8" s="3" t="s">
        <v>3325</v>
      </c>
      <c r="D8" s="3" t="s">
        <v>3342</v>
      </c>
      <c r="E8" s="3" t="s">
        <v>3343</v>
      </c>
      <c r="F8" s="3" t="s">
        <v>3344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 t="s">
        <v>3345</v>
      </c>
      <c r="B9" s="3" t="s">
        <v>3296</v>
      </c>
      <c r="C9" s="3" t="s">
        <v>3346</v>
      </c>
      <c r="D9" s="3" t="s">
        <v>3347</v>
      </c>
      <c r="E9" s="3" t="s">
        <v>3348</v>
      </c>
      <c r="F9" s="3" t="s">
        <v>3349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 t="s">
        <v>3350</v>
      </c>
      <c r="B10" s="3" t="s">
        <v>3351</v>
      </c>
      <c r="C10" s="3" t="s">
        <v>3352</v>
      </c>
      <c r="D10" s="3" t="s">
        <v>3353</v>
      </c>
      <c r="E10" s="3" t="s">
        <v>3354</v>
      </c>
      <c r="F10" s="3" t="s">
        <v>3355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0"/>
  <sheetViews>
    <sheetView topLeftCell="D1" workbookViewId="0">
      <selection activeCell="D12" sqref="D12"/>
    </sheetView>
  </sheetViews>
  <sheetFormatPr defaultRowHeight="14"/>
  <cols>
    <col min="1" max="1" width="6.75" bestFit="1" customWidth="1"/>
    <col min="2" max="2" width="10.1640625" bestFit="1" customWidth="1"/>
    <col min="3" max="3" width="22.33203125" bestFit="1" customWidth="1"/>
    <col min="4" max="4" width="68.08203125" bestFit="1" customWidth="1"/>
    <col min="5" max="5" width="56.1640625" bestFit="1" customWidth="1"/>
  </cols>
  <sheetData>
    <row r="1" spans="1:26">
      <c r="A1" s="4" t="s">
        <v>3356</v>
      </c>
      <c r="B1" s="4" t="s">
        <v>3357</v>
      </c>
      <c r="C1" s="4" t="s">
        <v>3358</v>
      </c>
      <c r="D1" s="4" t="s">
        <v>3359</v>
      </c>
      <c r="E1" s="4" t="s">
        <v>3360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" t="s">
        <v>3361</v>
      </c>
      <c r="B2" s="3" t="s">
        <v>3362</v>
      </c>
      <c r="C2" s="3" t="s">
        <v>3363</v>
      </c>
      <c r="D2" s="3" t="s">
        <v>3364</v>
      </c>
      <c r="E2" s="3" t="s">
        <v>3365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 t="s">
        <v>3361</v>
      </c>
      <c r="B3" s="3" t="s">
        <v>3366</v>
      </c>
      <c r="C3" s="3" t="s">
        <v>3367</v>
      </c>
      <c r="D3" s="3" t="s">
        <v>3368</v>
      </c>
      <c r="E3" s="3" t="s">
        <v>3369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 t="s">
        <v>3296</v>
      </c>
      <c r="B4" s="3" t="s">
        <v>3370</v>
      </c>
      <c r="C4" s="3" t="s">
        <v>3371</v>
      </c>
      <c r="D4" s="3" t="s">
        <v>3372</v>
      </c>
      <c r="E4" s="3" t="s">
        <v>3373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 t="s">
        <v>3296</v>
      </c>
      <c r="B5" s="3" t="s">
        <v>3374</v>
      </c>
      <c r="C5" s="3" t="s">
        <v>3375</v>
      </c>
      <c r="D5" s="3" t="s">
        <v>3376</v>
      </c>
      <c r="E5" s="3" t="s">
        <v>3377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 t="s">
        <v>3378</v>
      </c>
      <c r="B6" s="3" t="s">
        <v>3379</v>
      </c>
      <c r="C6" s="3" t="s">
        <v>3380</v>
      </c>
      <c r="D6" s="3" t="s">
        <v>3381</v>
      </c>
      <c r="E6" s="3" t="s">
        <v>3382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0"/>
  <sheetViews>
    <sheetView workbookViewId="0">
      <selection activeCell="B19" sqref="B19"/>
    </sheetView>
  </sheetViews>
  <sheetFormatPr defaultRowHeight="14"/>
  <cols>
    <col min="1" max="1" width="17.75" bestFit="1" customWidth="1"/>
    <col min="2" max="2" width="111" bestFit="1" customWidth="1"/>
  </cols>
  <sheetData>
    <row r="1" spans="1:26">
      <c r="A1" s="4" t="s">
        <v>3383</v>
      </c>
      <c r="B1" s="4" t="s">
        <v>3384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" t="s">
        <v>0</v>
      </c>
      <c r="B2" s="3" t="s">
        <v>3385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 t="s">
        <v>3</v>
      </c>
      <c r="B3" s="3" t="s">
        <v>3386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 t="s">
        <v>5</v>
      </c>
      <c r="B4" s="3" t="s">
        <v>3387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 t="s">
        <v>8</v>
      </c>
      <c r="B5" s="3" t="s">
        <v>3388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 t="s">
        <v>16</v>
      </c>
      <c r="B6" s="3" t="s">
        <v>3389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 t="s">
        <v>17</v>
      </c>
      <c r="B7" s="3" t="s">
        <v>3390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 t="s">
        <v>18</v>
      </c>
      <c r="B8" s="3" t="s">
        <v>3391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 t="s">
        <v>19</v>
      </c>
      <c r="B9" s="3" t="s">
        <v>3392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 t="s">
        <v>20</v>
      </c>
      <c r="B10" s="3" t="s">
        <v>3393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 t="s">
        <v>13</v>
      </c>
      <c r="B11" s="3" t="s">
        <v>3394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Invoice Tracker</vt:lpstr>
      <vt:lpstr>Lists</vt:lpstr>
      <vt:lpstr>KPI Dashboard</vt:lpstr>
      <vt:lpstr>Approval Matrix</vt:lpstr>
      <vt:lpstr>Exception Log</vt:lpstr>
      <vt:lpstr>Business Requirements</vt:lpstr>
      <vt:lpstr>User Stories</vt:lpstr>
      <vt:lpstr>Implementation Roadmap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Brenton Nelson</dc:creator>
  <cp:lastModifiedBy>Brenton Nelson</cp:lastModifiedBy>
  <dcterms:created xsi:type="dcterms:W3CDTF">2026-06-16T20:46:20Z</dcterms:created>
  <dcterms:modified xsi:type="dcterms:W3CDTF">2026-06-16T20:54:50Z</dcterms:modified>
</cp:coreProperties>
</file>