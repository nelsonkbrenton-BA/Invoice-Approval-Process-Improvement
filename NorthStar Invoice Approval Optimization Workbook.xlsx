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Nelso\Downloads\"/>
    </mc:Choice>
  </mc:AlternateContent>
  <xr:revisionPtr revIDLastSave="0" documentId="13_ncr:1_{88C6339F-9542-46C1-9729-070B6F536B42}" xr6:coauthVersionLast="47" xr6:coauthVersionMax="47" xr10:uidLastSave="{00000000-0000-0000-0000-000000000000}"/>
  <bookViews>
    <workbookView xWindow="-110" yWindow="-110" windowWidth="19420" windowHeight="11500" xr2:uid="{00000000-000D-0000-FFFF-FFFF00000000}"/>
  </bookViews>
  <sheets>
    <sheet name="README" sheetId="1" r:id="rId1"/>
    <sheet name="Invoice Tracker" sheetId="2" r:id="rId2"/>
    <sheet name="KPI Dashboard" sheetId="3" r:id="rId3"/>
    <sheet name="Approval Matrix" sheetId="4" r:id="rId4"/>
    <sheet name="Exception Log" sheetId="5" r:id="rId5"/>
    <sheet name="Stakeholders" sheetId="6" r:id="rId6"/>
    <sheet name="Requirements" sheetId="7" r:id="rId7"/>
    <sheet name="User Stories" sheetId="8" r:id="rId8"/>
    <sheet name="Implementation Roadmap" sheetId="9" r:id="rId9"/>
    <sheet name="Data Dictionary" sheetId="10" r:id="rId10"/>
    <sheet name="List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3" l="1"/>
  <c r="C20" i="3" s="1"/>
  <c r="B19" i="3"/>
  <c r="C19" i="3" s="1"/>
  <c r="F18" i="3"/>
  <c r="G18" i="3" s="1"/>
  <c r="B18" i="3"/>
  <c r="C18" i="3" s="1"/>
  <c r="F17" i="3"/>
  <c r="G17" i="3" s="1"/>
  <c r="B17" i="3"/>
  <c r="C17" i="3" s="1"/>
  <c r="F16" i="3"/>
  <c r="G16" i="3" s="1"/>
  <c r="B16" i="3"/>
  <c r="C16" i="3" s="1"/>
  <c r="M15" i="3"/>
  <c r="K15" i="3"/>
  <c r="F15" i="3"/>
  <c r="G15" i="3" s="1"/>
  <c r="B15" i="3"/>
  <c r="C15" i="3" s="1"/>
  <c r="K14" i="3"/>
  <c r="F14" i="3"/>
  <c r="G14" i="3" s="1"/>
  <c r="B14" i="3"/>
  <c r="C14" i="3" s="1"/>
  <c r="K13" i="3"/>
  <c r="F13" i="3"/>
  <c r="G13" i="3" s="1"/>
  <c r="B13" i="3"/>
  <c r="C13" i="3" s="1"/>
  <c r="J8" i="3"/>
  <c r="D8" i="3"/>
  <c r="G5" i="3"/>
  <c r="D5" i="3"/>
  <c r="A5" i="3"/>
  <c r="T183" i="2"/>
  <c r="V183" i="2" s="1"/>
  <c r="S183" i="2"/>
  <c r="R183" i="2"/>
  <c r="U183" i="2" s="1"/>
  <c r="T182" i="2"/>
  <c r="V182" i="2" s="1"/>
  <c r="S182" i="2"/>
  <c r="R182" i="2"/>
  <c r="U182" i="2" s="1"/>
  <c r="T181" i="2"/>
  <c r="V181" i="2" s="1"/>
  <c r="S181" i="2"/>
  <c r="R181" i="2"/>
  <c r="U181" i="2" s="1"/>
  <c r="T180" i="2"/>
  <c r="V180" i="2" s="1"/>
  <c r="S180" i="2"/>
  <c r="R180" i="2"/>
  <c r="U180" i="2" s="1"/>
  <c r="T179" i="2"/>
  <c r="V179" i="2" s="1"/>
  <c r="S179" i="2"/>
  <c r="R179" i="2"/>
  <c r="U179" i="2" s="1"/>
  <c r="T178" i="2"/>
  <c r="V178" i="2" s="1"/>
  <c r="S178" i="2"/>
  <c r="R178" i="2"/>
  <c r="U178" i="2" s="1"/>
  <c r="T177" i="2"/>
  <c r="V177" i="2" s="1"/>
  <c r="S177" i="2"/>
  <c r="R177" i="2"/>
  <c r="U177" i="2" s="1"/>
  <c r="T176" i="2"/>
  <c r="V176" i="2" s="1"/>
  <c r="S176" i="2"/>
  <c r="R176" i="2"/>
  <c r="U176" i="2" s="1"/>
  <c r="T175" i="2"/>
  <c r="V175" i="2" s="1"/>
  <c r="S175" i="2"/>
  <c r="R175" i="2"/>
  <c r="U175" i="2" s="1"/>
  <c r="T174" i="2"/>
  <c r="V174" i="2" s="1"/>
  <c r="S174" i="2"/>
  <c r="R174" i="2"/>
  <c r="U174" i="2" s="1"/>
  <c r="T173" i="2"/>
  <c r="V173" i="2" s="1"/>
  <c r="S173" i="2"/>
  <c r="R173" i="2"/>
  <c r="U173" i="2" s="1"/>
  <c r="T172" i="2"/>
  <c r="V172" i="2" s="1"/>
  <c r="S172" i="2"/>
  <c r="R172" i="2"/>
  <c r="U172" i="2" s="1"/>
  <c r="T171" i="2"/>
  <c r="V171" i="2" s="1"/>
  <c r="S171" i="2"/>
  <c r="R171" i="2"/>
  <c r="U171" i="2" s="1"/>
  <c r="T170" i="2"/>
  <c r="V170" i="2" s="1"/>
  <c r="S170" i="2"/>
  <c r="R170" i="2"/>
  <c r="U170" i="2" s="1"/>
  <c r="T169" i="2"/>
  <c r="V169" i="2" s="1"/>
  <c r="S169" i="2"/>
  <c r="R169" i="2"/>
  <c r="U169" i="2" s="1"/>
  <c r="T168" i="2"/>
  <c r="V168" i="2" s="1"/>
  <c r="S168" i="2"/>
  <c r="R168" i="2"/>
  <c r="U168" i="2" s="1"/>
  <c r="T167" i="2"/>
  <c r="V167" i="2" s="1"/>
  <c r="S167" i="2"/>
  <c r="R167" i="2"/>
  <c r="U167" i="2" s="1"/>
  <c r="T166" i="2"/>
  <c r="V166" i="2" s="1"/>
  <c r="S166" i="2"/>
  <c r="R166" i="2"/>
  <c r="U166" i="2" s="1"/>
  <c r="T165" i="2"/>
  <c r="V165" i="2" s="1"/>
  <c r="S165" i="2"/>
  <c r="R165" i="2"/>
  <c r="U165" i="2" s="1"/>
  <c r="T164" i="2"/>
  <c r="V164" i="2" s="1"/>
  <c r="S164" i="2"/>
  <c r="R164" i="2"/>
  <c r="U164" i="2" s="1"/>
  <c r="T163" i="2"/>
  <c r="V163" i="2" s="1"/>
  <c r="S163" i="2"/>
  <c r="R163" i="2"/>
  <c r="U163" i="2" s="1"/>
  <c r="T162" i="2"/>
  <c r="V162" i="2" s="1"/>
  <c r="S162" i="2"/>
  <c r="R162" i="2"/>
  <c r="U162" i="2" s="1"/>
  <c r="T161" i="2"/>
  <c r="V161" i="2" s="1"/>
  <c r="S161" i="2"/>
  <c r="R161" i="2"/>
  <c r="U161" i="2" s="1"/>
  <c r="T160" i="2"/>
  <c r="V160" i="2" s="1"/>
  <c r="S160" i="2"/>
  <c r="R160" i="2"/>
  <c r="U160" i="2" s="1"/>
  <c r="T159" i="2"/>
  <c r="V159" i="2" s="1"/>
  <c r="S159" i="2"/>
  <c r="R159" i="2"/>
  <c r="U159" i="2" s="1"/>
  <c r="T158" i="2"/>
  <c r="V158" i="2" s="1"/>
  <c r="S158" i="2"/>
  <c r="R158" i="2"/>
  <c r="U158" i="2" s="1"/>
  <c r="T157" i="2"/>
  <c r="V157" i="2" s="1"/>
  <c r="S157" i="2"/>
  <c r="R157" i="2"/>
  <c r="U157" i="2" s="1"/>
  <c r="T156" i="2"/>
  <c r="V156" i="2" s="1"/>
  <c r="S156" i="2"/>
  <c r="R156" i="2"/>
  <c r="U156" i="2" s="1"/>
  <c r="T155" i="2"/>
  <c r="V155" i="2" s="1"/>
  <c r="S155" i="2"/>
  <c r="R155" i="2"/>
  <c r="U155" i="2" s="1"/>
  <c r="T154" i="2"/>
  <c r="V154" i="2" s="1"/>
  <c r="S154" i="2"/>
  <c r="R154" i="2"/>
  <c r="U154" i="2" s="1"/>
  <c r="T153" i="2"/>
  <c r="V153" i="2" s="1"/>
  <c r="S153" i="2"/>
  <c r="R153" i="2"/>
  <c r="U153" i="2" s="1"/>
  <c r="T152" i="2"/>
  <c r="V152" i="2" s="1"/>
  <c r="S152" i="2"/>
  <c r="R152" i="2"/>
  <c r="U152" i="2" s="1"/>
  <c r="T151" i="2"/>
  <c r="V151" i="2" s="1"/>
  <c r="S151" i="2"/>
  <c r="R151" i="2"/>
  <c r="U151" i="2" s="1"/>
  <c r="T150" i="2"/>
  <c r="V150" i="2" s="1"/>
  <c r="S150" i="2"/>
  <c r="R150" i="2"/>
  <c r="U150" i="2" s="1"/>
  <c r="T149" i="2"/>
  <c r="V149" i="2" s="1"/>
  <c r="S149" i="2"/>
  <c r="R149" i="2"/>
  <c r="U149" i="2" s="1"/>
  <c r="T148" i="2"/>
  <c r="V148" i="2" s="1"/>
  <c r="S148" i="2"/>
  <c r="R148" i="2"/>
  <c r="U148" i="2" s="1"/>
  <c r="T147" i="2"/>
  <c r="V147" i="2" s="1"/>
  <c r="S147" i="2"/>
  <c r="R147" i="2"/>
  <c r="U147" i="2" s="1"/>
  <c r="T146" i="2"/>
  <c r="V146" i="2" s="1"/>
  <c r="S146" i="2"/>
  <c r="R146" i="2"/>
  <c r="U146" i="2" s="1"/>
  <c r="T145" i="2"/>
  <c r="V145" i="2" s="1"/>
  <c r="S145" i="2"/>
  <c r="R145" i="2"/>
  <c r="U145" i="2" s="1"/>
  <c r="T144" i="2"/>
  <c r="V144" i="2" s="1"/>
  <c r="S144" i="2"/>
  <c r="R144" i="2"/>
  <c r="U144" i="2" s="1"/>
  <c r="T143" i="2"/>
  <c r="V143" i="2" s="1"/>
  <c r="S143" i="2"/>
  <c r="R143" i="2"/>
  <c r="U143" i="2" s="1"/>
  <c r="T142" i="2"/>
  <c r="V142" i="2" s="1"/>
  <c r="S142" i="2"/>
  <c r="R142" i="2"/>
  <c r="U142" i="2" s="1"/>
  <c r="T141" i="2"/>
  <c r="V141" i="2" s="1"/>
  <c r="S141" i="2"/>
  <c r="R141" i="2"/>
  <c r="U141" i="2" s="1"/>
  <c r="T140" i="2"/>
  <c r="V140" i="2" s="1"/>
  <c r="S140" i="2"/>
  <c r="R140" i="2"/>
  <c r="U140" i="2" s="1"/>
  <c r="T139" i="2"/>
  <c r="V139" i="2" s="1"/>
  <c r="S139" i="2"/>
  <c r="R139" i="2"/>
  <c r="U139" i="2" s="1"/>
  <c r="T138" i="2"/>
  <c r="V138" i="2" s="1"/>
  <c r="S138" i="2"/>
  <c r="R138" i="2"/>
  <c r="U138" i="2" s="1"/>
  <c r="T137" i="2"/>
  <c r="V137" i="2" s="1"/>
  <c r="S137" i="2"/>
  <c r="R137" i="2"/>
  <c r="U137" i="2" s="1"/>
  <c r="T136" i="2"/>
  <c r="V136" i="2" s="1"/>
  <c r="S136" i="2"/>
  <c r="R136" i="2"/>
  <c r="U136" i="2" s="1"/>
  <c r="T135" i="2"/>
  <c r="V135" i="2" s="1"/>
  <c r="S135" i="2"/>
  <c r="R135" i="2"/>
  <c r="U135" i="2" s="1"/>
  <c r="T134" i="2"/>
  <c r="V134" i="2" s="1"/>
  <c r="S134" i="2"/>
  <c r="R134" i="2"/>
  <c r="U134" i="2" s="1"/>
  <c r="T133" i="2"/>
  <c r="V133" i="2" s="1"/>
  <c r="S133" i="2"/>
  <c r="R133" i="2"/>
  <c r="U133" i="2" s="1"/>
  <c r="T132" i="2"/>
  <c r="V132" i="2" s="1"/>
  <c r="S132" i="2"/>
  <c r="R132" i="2"/>
  <c r="U132" i="2" s="1"/>
  <c r="T131" i="2"/>
  <c r="V131" i="2" s="1"/>
  <c r="S131" i="2"/>
  <c r="R131" i="2"/>
  <c r="U131" i="2" s="1"/>
  <c r="T130" i="2"/>
  <c r="V130" i="2" s="1"/>
  <c r="S130" i="2"/>
  <c r="R130" i="2"/>
  <c r="U130" i="2" s="1"/>
  <c r="T129" i="2"/>
  <c r="V129" i="2" s="1"/>
  <c r="S129" i="2"/>
  <c r="R129" i="2"/>
  <c r="U129" i="2" s="1"/>
  <c r="T128" i="2"/>
  <c r="V128" i="2" s="1"/>
  <c r="S128" i="2"/>
  <c r="R128" i="2"/>
  <c r="U128" i="2" s="1"/>
  <c r="T127" i="2"/>
  <c r="V127" i="2" s="1"/>
  <c r="S127" i="2"/>
  <c r="R127" i="2"/>
  <c r="U127" i="2" s="1"/>
  <c r="T126" i="2"/>
  <c r="V126" i="2" s="1"/>
  <c r="S126" i="2"/>
  <c r="R126" i="2"/>
  <c r="U126" i="2" s="1"/>
  <c r="T125" i="2"/>
  <c r="V125" i="2" s="1"/>
  <c r="S125" i="2"/>
  <c r="R125" i="2"/>
  <c r="U125" i="2" s="1"/>
  <c r="T124" i="2"/>
  <c r="V124" i="2" s="1"/>
  <c r="S124" i="2"/>
  <c r="R124" i="2"/>
  <c r="U124" i="2" s="1"/>
  <c r="T123" i="2"/>
  <c r="V123" i="2" s="1"/>
  <c r="S123" i="2"/>
  <c r="R123" i="2"/>
  <c r="U123" i="2" s="1"/>
  <c r="T122" i="2"/>
  <c r="V122" i="2" s="1"/>
  <c r="S122" i="2"/>
  <c r="R122" i="2"/>
  <c r="U122" i="2" s="1"/>
  <c r="T121" i="2"/>
  <c r="V121" i="2" s="1"/>
  <c r="S121" i="2"/>
  <c r="R121" i="2"/>
  <c r="U121" i="2" s="1"/>
  <c r="T120" i="2"/>
  <c r="V120" i="2" s="1"/>
  <c r="S120" i="2"/>
  <c r="R120" i="2"/>
  <c r="U120" i="2" s="1"/>
  <c r="T119" i="2"/>
  <c r="V119" i="2" s="1"/>
  <c r="S119" i="2"/>
  <c r="R119" i="2"/>
  <c r="U119" i="2" s="1"/>
  <c r="T118" i="2"/>
  <c r="V118" i="2" s="1"/>
  <c r="S118" i="2"/>
  <c r="R118" i="2"/>
  <c r="U118" i="2" s="1"/>
  <c r="T117" i="2"/>
  <c r="V117" i="2" s="1"/>
  <c r="S117" i="2"/>
  <c r="R117" i="2"/>
  <c r="U117" i="2" s="1"/>
  <c r="T116" i="2"/>
  <c r="V116" i="2" s="1"/>
  <c r="S116" i="2"/>
  <c r="R116" i="2"/>
  <c r="U116" i="2" s="1"/>
  <c r="T115" i="2"/>
  <c r="V115" i="2" s="1"/>
  <c r="S115" i="2"/>
  <c r="R115" i="2"/>
  <c r="U115" i="2" s="1"/>
  <c r="T114" i="2"/>
  <c r="V114" i="2" s="1"/>
  <c r="S114" i="2"/>
  <c r="R114" i="2"/>
  <c r="U114" i="2" s="1"/>
  <c r="T113" i="2"/>
  <c r="V113" i="2" s="1"/>
  <c r="S113" i="2"/>
  <c r="R113" i="2"/>
  <c r="U113" i="2" s="1"/>
  <c r="T112" i="2"/>
  <c r="V112" i="2" s="1"/>
  <c r="S112" i="2"/>
  <c r="R112" i="2"/>
  <c r="U112" i="2" s="1"/>
  <c r="T111" i="2"/>
  <c r="V111" i="2" s="1"/>
  <c r="S111" i="2"/>
  <c r="R111" i="2"/>
  <c r="U111" i="2" s="1"/>
  <c r="T110" i="2"/>
  <c r="V110" i="2" s="1"/>
  <c r="S110" i="2"/>
  <c r="R110" i="2"/>
  <c r="U110" i="2" s="1"/>
  <c r="T109" i="2"/>
  <c r="V109" i="2" s="1"/>
  <c r="S109" i="2"/>
  <c r="R109" i="2"/>
  <c r="U109" i="2" s="1"/>
  <c r="T108" i="2"/>
  <c r="V108" i="2" s="1"/>
  <c r="S108" i="2"/>
  <c r="R108" i="2"/>
  <c r="U108" i="2" s="1"/>
  <c r="T107" i="2"/>
  <c r="V107" i="2" s="1"/>
  <c r="S107" i="2"/>
  <c r="R107" i="2"/>
  <c r="U107" i="2" s="1"/>
  <c r="T106" i="2"/>
  <c r="V106" i="2" s="1"/>
  <c r="S106" i="2"/>
  <c r="R106" i="2"/>
  <c r="U106" i="2" s="1"/>
  <c r="T105" i="2"/>
  <c r="V105" i="2" s="1"/>
  <c r="S105" i="2"/>
  <c r="R105" i="2"/>
  <c r="U105" i="2" s="1"/>
  <c r="T104" i="2"/>
  <c r="V104" i="2" s="1"/>
  <c r="S104" i="2"/>
  <c r="R104" i="2"/>
  <c r="U104" i="2" s="1"/>
  <c r="T103" i="2"/>
  <c r="V103" i="2" s="1"/>
  <c r="S103" i="2"/>
  <c r="R103" i="2"/>
  <c r="U103" i="2" s="1"/>
  <c r="T102" i="2"/>
  <c r="V102" i="2" s="1"/>
  <c r="S102" i="2"/>
  <c r="R102" i="2"/>
  <c r="U102" i="2" s="1"/>
  <c r="T101" i="2"/>
  <c r="V101" i="2" s="1"/>
  <c r="S101" i="2"/>
  <c r="R101" i="2"/>
  <c r="U101" i="2" s="1"/>
  <c r="T100" i="2"/>
  <c r="V100" i="2" s="1"/>
  <c r="S100" i="2"/>
  <c r="R100" i="2"/>
  <c r="U100" i="2" s="1"/>
  <c r="T99" i="2"/>
  <c r="V99" i="2" s="1"/>
  <c r="S99" i="2"/>
  <c r="R99" i="2"/>
  <c r="U99" i="2" s="1"/>
  <c r="T98" i="2"/>
  <c r="V98" i="2" s="1"/>
  <c r="S98" i="2"/>
  <c r="R98" i="2"/>
  <c r="U98" i="2" s="1"/>
  <c r="T97" i="2"/>
  <c r="V97" i="2" s="1"/>
  <c r="S97" i="2"/>
  <c r="R97" i="2"/>
  <c r="U97" i="2" s="1"/>
  <c r="T96" i="2"/>
  <c r="V96" i="2" s="1"/>
  <c r="S96" i="2"/>
  <c r="R96" i="2"/>
  <c r="U96" i="2" s="1"/>
  <c r="T95" i="2"/>
  <c r="V95" i="2" s="1"/>
  <c r="S95" i="2"/>
  <c r="R95" i="2"/>
  <c r="U95" i="2" s="1"/>
  <c r="T94" i="2"/>
  <c r="V94" i="2" s="1"/>
  <c r="S94" i="2"/>
  <c r="R94" i="2"/>
  <c r="U94" i="2" s="1"/>
  <c r="T93" i="2"/>
  <c r="V93" i="2" s="1"/>
  <c r="S93" i="2"/>
  <c r="R93" i="2"/>
  <c r="U93" i="2" s="1"/>
  <c r="T92" i="2"/>
  <c r="V92" i="2" s="1"/>
  <c r="S92" i="2"/>
  <c r="R92" i="2"/>
  <c r="U92" i="2" s="1"/>
  <c r="T91" i="2"/>
  <c r="V91" i="2" s="1"/>
  <c r="S91" i="2"/>
  <c r="R91" i="2"/>
  <c r="U91" i="2" s="1"/>
  <c r="T90" i="2"/>
  <c r="V90" i="2" s="1"/>
  <c r="S90" i="2"/>
  <c r="R90" i="2"/>
  <c r="U90" i="2" s="1"/>
  <c r="T89" i="2"/>
  <c r="V89" i="2" s="1"/>
  <c r="S89" i="2"/>
  <c r="R89" i="2"/>
  <c r="U89" i="2" s="1"/>
  <c r="T88" i="2"/>
  <c r="V88" i="2" s="1"/>
  <c r="S88" i="2"/>
  <c r="R88" i="2"/>
  <c r="U88" i="2" s="1"/>
  <c r="T87" i="2"/>
  <c r="V87" i="2" s="1"/>
  <c r="S87" i="2"/>
  <c r="R87" i="2"/>
  <c r="U87" i="2" s="1"/>
  <c r="T86" i="2"/>
  <c r="V86" i="2" s="1"/>
  <c r="S86" i="2"/>
  <c r="R86" i="2"/>
  <c r="U86" i="2" s="1"/>
  <c r="T85" i="2"/>
  <c r="V85" i="2" s="1"/>
  <c r="S85" i="2"/>
  <c r="R85" i="2"/>
  <c r="U85" i="2" s="1"/>
  <c r="T84" i="2"/>
  <c r="V84" i="2" s="1"/>
  <c r="S84" i="2"/>
  <c r="R84" i="2"/>
  <c r="U84" i="2" s="1"/>
  <c r="T83" i="2"/>
  <c r="V83" i="2" s="1"/>
  <c r="S83" i="2"/>
  <c r="R83" i="2"/>
  <c r="U83" i="2" s="1"/>
  <c r="T82" i="2"/>
  <c r="V82" i="2" s="1"/>
  <c r="S82" i="2"/>
  <c r="R82" i="2"/>
  <c r="U82" i="2" s="1"/>
  <c r="T81" i="2"/>
  <c r="V81" i="2" s="1"/>
  <c r="S81" i="2"/>
  <c r="R81" i="2"/>
  <c r="U81" i="2" s="1"/>
  <c r="T80" i="2"/>
  <c r="V80" i="2" s="1"/>
  <c r="S80" i="2"/>
  <c r="R80" i="2"/>
  <c r="U80" i="2" s="1"/>
  <c r="T79" i="2"/>
  <c r="V79" i="2" s="1"/>
  <c r="S79" i="2"/>
  <c r="R79" i="2"/>
  <c r="U79" i="2" s="1"/>
  <c r="T78" i="2"/>
  <c r="V78" i="2" s="1"/>
  <c r="S78" i="2"/>
  <c r="R78" i="2"/>
  <c r="U78" i="2" s="1"/>
  <c r="T77" i="2"/>
  <c r="V77" i="2" s="1"/>
  <c r="S77" i="2"/>
  <c r="R77" i="2"/>
  <c r="U77" i="2" s="1"/>
  <c r="T76" i="2"/>
  <c r="V76" i="2" s="1"/>
  <c r="S76" i="2"/>
  <c r="R76" i="2"/>
  <c r="U76" i="2" s="1"/>
  <c r="T75" i="2"/>
  <c r="V75" i="2" s="1"/>
  <c r="S75" i="2"/>
  <c r="R75" i="2"/>
  <c r="U75" i="2" s="1"/>
  <c r="T74" i="2"/>
  <c r="V74" i="2" s="1"/>
  <c r="S74" i="2"/>
  <c r="R74" i="2"/>
  <c r="U74" i="2" s="1"/>
  <c r="T73" i="2"/>
  <c r="V73" i="2" s="1"/>
  <c r="S73" i="2"/>
  <c r="R73" i="2"/>
  <c r="U73" i="2" s="1"/>
  <c r="T72" i="2"/>
  <c r="V72" i="2" s="1"/>
  <c r="S72" i="2"/>
  <c r="R72" i="2"/>
  <c r="U72" i="2" s="1"/>
  <c r="T71" i="2"/>
  <c r="V71" i="2" s="1"/>
  <c r="S71" i="2"/>
  <c r="R71" i="2"/>
  <c r="U71" i="2" s="1"/>
  <c r="T70" i="2"/>
  <c r="V70" i="2" s="1"/>
  <c r="S70" i="2"/>
  <c r="R70" i="2"/>
  <c r="U70" i="2" s="1"/>
  <c r="T69" i="2"/>
  <c r="V69" i="2" s="1"/>
  <c r="S69" i="2"/>
  <c r="R69" i="2"/>
  <c r="U69" i="2" s="1"/>
  <c r="T68" i="2"/>
  <c r="V68" i="2" s="1"/>
  <c r="S68" i="2"/>
  <c r="R68" i="2"/>
  <c r="U68" i="2" s="1"/>
  <c r="T67" i="2"/>
  <c r="V67" i="2" s="1"/>
  <c r="S67" i="2"/>
  <c r="R67" i="2"/>
  <c r="U67" i="2" s="1"/>
  <c r="T66" i="2"/>
  <c r="V66" i="2" s="1"/>
  <c r="S66" i="2"/>
  <c r="R66" i="2"/>
  <c r="U66" i="2" s="1"/>
  <c r="T65" i="2"/>
  <c r="V65" i="2" s="1"/>
  <c r="S65" i="2"/>
  <c r="R65" i="2"/>
  <c r="U65" i="2" s="1"/>
  <c r="T64" i="2"/>
  <c r="V64" i="2" s="1"/>
  <c r="S64" i="2"/>
  <c r="R64" i="2"/>
  <c r="U64" i="2" s="1"/>
  <c r="T63" i="2"/>
  <c r="V63" i="2" s="1"/>
  <c r="S63" i="2"/>
  <c r="R63" i="2"/>
  <c r="U63" i="2" s="1"/>
  <c r="T62" i="2"/>
  <c r="V62" i="2" s="1"/>
  <c r="S62" i="2"/>
  <c r="R62" i="2"/>
  <c r="U62" i="2" s="1"/>
  <c r="T61" i="2"/>
  <c r="V61" i="2" s="1"/>
  <c r="S61" i="2"/>
  <c r="R61" i="2"/>
  <c r="U61" i="2" s="1"/>
  <c r="T60" i="2"/>
  <c r="V60" i="2" s="1"/>
  <c r="S60" i="2"/>
  <c r="R60" i="2"/>
  <c r="U60" i="2" s="1"/>
  <c r="T59" i="2"/>
  <c r="V59" i="2" s="1"/>
  <c r="S59" i="2"/>
  <c r="R59" i="2"/>
  <c r="U59" i="2" s="1"/>
  <c r="T58" i="2"/>
  <c r="V58" i="2" s="1"/>
  <c r="S58" i="2"/>
  <c r="R58" i="2"/>
  <c r="U58" i="2" s="1"/>
  <c r="T57" i="2"/>
  <c r="V57" i="2" s="1"/>
  <c r="S57" i="2"/>
  <c r="R57" i="2"/>
  <c r="U57" i="2" s="1"/>
  <c r="T56" i="2"/>
  <c r="V56" i="2" s="1"/>
  <c r="S56" i="2"/>
  <c r="R56" i="2"/>
  <c r="U56" i="2" s="1"/>
  <c r="T55" i="2"/>
  <c r="V55" i="2" s="1"/>
  <c r="S55" i="2"/>
  <c r="R55" i="2"/>
  <c r="U55" i="2" s="1"/>
  <c r="T54" i="2"/>
  <c r="V54" i="2" s="1"/>
  <c r="S54" i="2"/>
  <c r="R54" i="2"/>
  <c r="U54" i="2" s="1"/>
  <c r="T53" i="2"/>
  <c r="V53" i="2" s="1"/>
  <c r="S53" i="2"/>
  <c r="R53" i="2"/>
  <c r="U53" i="2" s="1"/>
  <c r="T52" i="2"/>
  <c r="V52" i="2" s="1"/>
  <c r="S52" i="2"/>
  <c r="R52" i="2"/>
  <c r="U52" i="2" s="1"/>
  <c r="T51" i="2"/>
  <c r="V51" i="2" s="1"/>
  <c r="S51" i="2"/>
  <c r="R51" i="2"/>
  <c r="U51" i="2" s="1"/>
  <c r="T50" i="2"/>
  <c r="V50" i="2" s="1"/>
  <c r="S50" i="2"/>
  <c r="R50" i="2"/>
  <c r="U50" i="2" s="1"/>
  <c r="T49" i="2"/>
  <c r="V49" i="2" s="1"/>
  <c r="S49" i="2"/>
  <c r="R49" i="2"/>
  <c r="U49" i="2" s="1"/>
  <c r="T48" i="2"/>
  <c r="V48" i="2" s="1"/>
  <c r="S48" i="2"/>
  <c r="R48" i="2"/>
  <c r="U48" i="2" s="1"/>
  <c r="T47" i="2"/>
  <c r="V47" i="2" s="1"/>
  <c r="S47" i="2"/>
  <c r="R47" i="2"/>
  <c r="U47" i="2" s="1"/>
  <c r="T46" i="2"/>
  <c r="V46" i="2" s="1"/>
  <c r="S46" i="2"/>
  <c r="R46" i="2"/>
  <c r="U46" i="2" s="1"/>
  <c r="T45" i="2"/>
  <c r="V45" i="2" s="1"/>
  <c r="S45" i="2"/>
  <c r="R45" i="2"/>
  <c r="U45" i="2" s="1"/>
  <c r="T44" i="2"/>
  <c r="V44" i="2" s="1"/>
  <c r="S44" i="2"/>
  <c r="R44" i="2"/>
  <c r="U44" i="2" s="1"/>
  <c r="T43" i="2"/>
  <c r="V43" i="2" s="1"/>
  <c r="S43" i="2"/>
  <c r="R43" i="2"/>
  <c r="U43" i="2" s="1"/>
  <c r="T42" i="2"/>
  <c r="V42" i="2" s="1"/>
  <c r="S42" i="2"/>
  <c r="R42" i="2"/>
  <c r="U42" i="2" s="1"/>
  <c r="T41" i="2"/>
  <c r="V41" i="2" s="1"/>
  <c r="S41" i="2"/>
  <c r="R41" i="2"/>
  <c r="U41" i="2" s="1"/>
  <c r="T40" i="2"/>
  <c r="V40" i="2" s="1"/>
  <c r="S40" i="2"/>
  <c r="R40" i="2"/>
  <c r="U40" i="2" s="1"/>
  <c r="T39" i="2"/>
  <c r="V39" i="2" s="1"/>
  <c r="S39" i="2"/>
  <c r="R39" i="2"/>
  <c r="U39" i="2" s="1"/>
  <c r="T38" i="2"/>
  <c r="V38" i="2" s="1"/>
  <c r="S38" i="2"/>
  <c r="R38" i="2"/>
  <c r="U38" i="2" s="1"/>
  <c r="T37" i="2"/>
  <c r="V37" i="2" s="1"/>
  <c r="S37" i="2"/>
  <c r="R37" i="2"/>
  <c r="U37" i="2" s="1"/>
  <c r="T36" i="2"/>
  <c r="V36" i="2" s="1"/>
  <c r="S36" i="2"/>
  <c r="R36" i="2"/>
  <c r="U36" i="2" s="1"/>
  <c r="T35" i="2"/>
  <c r="V35" i="2" s="1"/>
  <c r="S35" i="2"/>
  <c r="R35" i="2"/>
  <c r="U35" i="2" s="1"/>
  <c r="T34" i="2"/>
  <c r="V34" i="2" s="1"/>
  <c r="S34" i="2"/>
  <c r="R34" i="2"/>
  <c r="U34" i="2" s="1"/>
  <c r="T33" i="2"/>
  <c r="V33" i="2" s="1"/>
  <c r="S33" i="2"/>
  <c r="R33" i="2"/>
  <c r="U33" i="2" s="1"/>
  <c r="T32" i="2"/>
  <c r="V32" i="2" s="1"/>
  <c r="S32" i="2"/>
  <c r="R32" i="2"/>
  <c r="U32" i="2" s="1"/>
  <c r="T31" i="2"/>
  <c r="V31" i="2" s="1"/>
  <c r="S31" i="2"/>
  <c r="R31" i="2"/>
  <c r="U31" i="2" s="1"/>
  <c r="T30" i="2"/>
  <c r="V30" i="2" s="1"/>
  <c r="S30" i="2"/>
  <c r="R30" i="2"/>
  <c r="U30" i="2" s="1"/>
  <c r="T29" i="2"/>
  <c r="V29" i="2" s="1"/>
  <c r="S29" i="2"/>
  <c r="R29" i="2"/>
  <c r="U29" i="2" s="1"/>
  <c r="T28" i="2"/>
  <c r="V28" i="2" s="1"/>
  <c r="S28" i="2"/>
  <c r="R28" i="2"/>
  <c r="U28" i="2" s="1"/>
  <c r="T27" i="2"/>
  <c r="V27" i="2" s="1"/>
  <c r="S27" i="2"/>
  <c r="R27" i="2"/>
  <c r="U27" i="2" s="1"/>
  <c r="T26" i="2"/>
  <c r="V26" i="2" s="1"/>
  <c r="S26" i="2"/>
  <c r="R26" i="2"/>
  <c r="U26" i="2" s="1"/>
  <c r="T25" i="2"/>
  <c r="V25" i="2" s="1"/>
  <c r="S25" i="2"/>
  <c r="R25" i="2"/>
  <c r="U25" i="2" s="1"/>
  <c r="T24" i="2"/>
  <c r="V24" i="2" s="1"/>
  <c r="S24" i="2"/>
  <c r="R24" i="2"/>
  <c r="U24" i="2" s="1"/>
  <c r="T23" i="2"/>
  <c r="V23" i="2" s="1"/>
  <c r="S23" i="2"/>
  <c r="R23" i="2"/>
  <c r="U23" i="2" s="1"/>
  <c r="T22" i="2"/>
  <c r="V22" i="2" s="1"/>
  <c r="S22" i="2"/>
  <c r="R22" i="2"/>
  <c r="U22" i="2" s="1"/>
  <c r="T21" i="2"/>
  <c r="V21" i="2" s="1"/>
  <c r="S21" i="2"/>
  <c r="R21" i="2"/>
  <c r="U21" i="2" s="1"/>
  <c r="T20" i="2"/>
  <c r="V20" i="2" s="1"/>
  <c r="S20" i="2"/>
  <c r="R20" i="2"/>
  <c r="U20" i="2" s="1"/>
  <c r="T19" i="2"/>
  <c r="V19" i="2" s="1"/>
  <c r="S19" i="2"/>
  <c r="R19" i="2"/>
  <c r="U19" i="2" s="1"/>
  <c r="T18" i="2"/>
  <c r="V18" i="2" s="1"/>
  <c r="S18" i="2"/>
  <c r="R18" i="2"/>
  <c r="U18" i="2" s="1"/>
  <c r="T17" i="2"/>
  <c r="V17" i="2" s="1"/>
  <c r="S17" i="2"/>
  <c r="R17" i="2"/>
  <c r="U17" i="2" s="1"/>
  <c r="T16" i="2"/>
  <c r="V16" i="2" s="1"/>
  <c r="S16" i="2"/>
  <c r="R16" i="2"/>
  <c r="U16" i="2" s="1"/>
  <c r="T15" i="2"/>
  <c r="V15" i="2" s="1"/>
  <c r="S15" i="2"/>
  <c r="R15" i="2"/>
  <c r="U15" i="2" s="1"/>
  <c r="T14" i="2"/>
  <c r="V14" i="2" s="1"/>
  <c r="S14" i="2"/>
  <c r="R14" i="2"/>
  <c r="U14" i="2" s="1"/>
  <c r="T13" i="2"/>
  <c r="V13" i="2" s="1"/>
  <c r="S13" i="2"/>
  <c r="R13" i="2"/>
  <c r="U13" i="2" s="1"/>
  <c r="T12" i="2"/>
  <c r="V12" i="2" s="1"/>
  <c r="S12" i="2"/>
  <c r="R12" i="2"/>
  <c r="U12" i="2" s="1"/>
  <c r="T11" i="2"/>
  <c r="V11" i="2" s="1"/>
  <c r="S11" i="2"/>
  <c r="R11" i="2"/>
  <c r="U11" i="2" s="1"/>
  <c r="T10" i="2"/>
  <c r="V10" i="2" s="1"/>
  <c r="S10" i="2"/>
  <c r="R10" i="2"/>
  <c r="U10" i="2" s="1"/>
  <c r="T9" i="2"/>
  <c r="V9" i="2" s="1"/>
  <c r="S9" i="2"/>
  <c r="R9" i="2"/>
  <c r="U9" i="2" s="1"/>
  <c r="T8" i="2"/>
  <c r="V8" i="2" s="1"/>
  <c r="S8" i="2"/>
  <c r="R8" i="2"/>
  <c r="U8" i="2" s="1"/>
  <c r="T7" i="2"/>
  <c r="V7" i="2" s="1"/>
  <c r="S7" i="2"/>
  <c r="R7" i="2"/>
  <c r="U7" i="2" s="1"/>
  <c r="T6" i="2"/>
  <c r="V6" i="2" s="1"/>
  <c r="S6" i="2"/>
  <c r="R6" i="2"/>
  <c r="U6" i="2" s="1"/>
  <c r="T5" i="2"/>
  <c r="V5" i="2" s="1"/>
  <c r="S5" i="2"/>
  <c r="R5" i="2"/>
  <c r="U5" i="2" s="1"/>
  <c r="T4" i="2"/>
  <c r="V4" i="2" s="1"/>
  <c r="S4" i="2"/>
  <c r="G8" i="3" s="1"/>
  <c r="R4" i="2"/>
  <c r="U4" i="2" s="1"/>
  <c r="M13" i="3" l="1"/>
  <c r="M14" i="3"/>
  <c r="N14" i="3"/>
  <c r="N15" i="3"/>
  <c r="N13" i="3"/>
  <c r="L15" i="3"/>
  <c r="L13" i="3"/>
  <c r="L14" i="3"/>
  <c r="A8" i="3"/>
  <c r="J5" i="3"/>
</calcChain>
</file>

<file path=xl/sharedStrings.xml><?xml version="1.0" encoding="utf-8"?>
<sst xmlns="http://schemas.openxmlformats.org/spreadsheetml/2006/main" count="3216" uniqueCount="993">
  <si>
    <t>NorthStar Manufacturing — Invoice Approval Optimization Workbook</t>
  </si>
  <si>
    <t>Workbook Purpose</t>
  </si>
  <si>
    <t>This workbook provides a sample invoice approval operating model, tracker, KPI dashboard, approval matrix, exception log, requirements, user stories, and implementation roadmap for NorthStar Manufacturing. The data is synthetic but aligned to the current project story: 1,200 invoices/month, 3 AP Analysts, Outlook + Excel + Dynamics 365, manual routing, 60% PO invoices, 40% non-PO invoices, approval delays, audit friction, and phased automation.</t>
  </si>
  <si>
    <t>Sheet</t>
  </si>
  <si>
    <t>Purpose</t>
  </si>
  <si>
    <t>Invoice Tracker</t>
  </si>
  <si>
    <t>Sample invoice-level data and formulas for aging, SLA status, late-payment risk, and approval cycle time.</t>
  </si>
  <si>
    <t>KPI Dashboard</t>
  </si>
  <si>
    <t>Formula-driven leadership dashboard summarizing volume, cycle time, overdue approvals, exceptions, late-payment risk, and workload.</t>
  </si>
  <si>
    <t>Approval Matrix</t>
  </si>
  <si>
    <t>Current/future approval logic by department and invoice amount thresholds.</t>
  </si>
  <si>
    <t>Exception Log</t>
  </si>
  <si>
    <t>Exception records aligned to known pain points: missing PO, missing documentation, duplicate invoice, vendor errors, and unclear ownership.</t>
  </si>
  <si>
    <t>Stakeholders</t>
  </si>
  <si>
    <t>Stakeholder register, influence/interest, risks, and engagement strategies.</t>
  </si>
  <si>
    <t>Requirements</t>
  </si>
  <si>
    <t>Business, functional, and non-functional requirements for the improvement program.</t>
  </si>
  <si>
    <t>User Stories</t>
  </si>
  <si>
    <t>MVP, Phase 2, and future enhancement user stories with acceptance criteria.</t>
  </si>
  <si>
    <t>Implementation Roadmap</t>
  </si>
  <si>
    <t>30-60-90 day phased roadmap aligned to standardize, automate, and evaluate platform options.</t>
  </si>
  <si>
    <t>Data Dictionary</t>
  </si>
  <si>
    <t>Definitions for key fields used in the workbook.</t>
  </si>
  <si>
    <t>Invoice Tracker — NorthStar Manufacturing Sample Data</t>
  </si>
  <si>
    <t>Invoice ID</t>
  </si>
  <si>
    <t>Vendor Name</t>
  </si>
  <si>
    <t>Invoice Number</t>
  </si>
  <si>
    <t>Invoice Amount</t>
  </si>
  <si>
    <t>Department</t>
  </si>
  <si>
    <t>Invoice Type</t>
  </si>
  <si>
    <t>PO Number</t>
  </si>
  <si>
    <t>Date Received</t>
  </si>
  <si>
    <t>Payment Due Date</t>
  </si>
  <si>
    <t>Approver</t>
  </si>
  <si>
    <t>Approver Role</t>
  </si>
  <si>
    <t>AP Owner</t>
  </si>
  <si>
    <t>Status</t>
  </si>
  <si>
    <t>Exception Type</t>
  </si>
  <si>
    <t>Approval Date</t>
  </si>
  <si>
    <t>Payment Date</t>
  </si>
  <si>
    <t>Priority</t>
  </si>
  <si>
    <t>Invoice Age Days</t>
  </si>
  <si>
    <t>Approval Cycle Days</t>
  </si>
  <si>
    <t>Days Until Due</t>
  </si>
  <si>
    <t>Overdue Approval Flag</t>
  </si>
  <si>
    <t>Late Payment Risk</t>
  </si>
  <si>
    <t>INV-2026-0001</t>
  </si>
  <si>
    <t>Union Freight</t>
  </si>
  <si>
    <t>NS-539898</t>
  </si>
  <si>
    <t>Maintenance</t>
  </si>
  <si>
    <t>PO</t>
  </si>
  <si>
    <t>PO-81426</t>
  </si>
  <si>
    <t>Director of Operations</t>
  </si>
  <si>
    <t>Director</t>
  </si>
  <si>
    <t>AP Analyst 1</t>
  </si>
  <si>
    <t>Paid</t>
  </si>
  <si>
    <t>Incorrect Vendor Info</t>
  </si>
  <si>
    <t>Normal</t>
  </si>
  <si>
    <t>INV-2026-0002</t>
  </si>
  <si>
    <t>Harbor Logistics</t>
  </si>
  <si>
    <t>NS-733052</t>
  </si>
  <si>
    <t>Sales</t>
  </si>
  <si>
    <t>PO-55082</t>
  </si>
  <si>
    <t>Sales Manager</t>
  </si>
  <si>
    <t>Department Manager</t>
  </si>
  <si>
    <t>AP Analyst 2</t>
  </si>
  <si>
    <t>Exception</t>
  </si>
  <si>
    <t>Unclear Department Ownership</t>
  </si>
  <si>
    <t>Payment Risk</t>
  </si>
  <si>
    <t>INV-2026-0003</t>
  </si>
  <si>
    <t>IronClad Safety</t>
  </si>
  <si>
    <t>NS-338968</t>
  </si>
  <si>
    <t>Operations</t>
  </si>
  <si>
    <t>Non-PO</t>
  </si>
  <si>
    <t>Ops Manager</t>
  </si>
  <si>
    <t>AP Analyst 3</t>
  </si>
  <si>
    <t>Missing PO</t>
  </si>
  <si>
    <t>INV-2026-0004</t>
  </si>
  <si>
    <t>Jupiter Controls</t>
  </si>
  <si>
    <t>NS-279451</t>
  </si>
  <si>
    <t>Maintenance Manager</t>
  </si>
  <si>
    <t>Rejected</t>
  </si>
  <si>
    <t>None</t>
  </si>
  <si>
    <t>INV-2026-0005</t>
  </si>
  <si>
    <t>Riverbend Electrical</t>
  </si>
  <si>
    <t>NS-169403</t>
  </si>
  <si>
    <t>Production</t>
  </si>
  <si>
    <t>PO-45093</t>
  </si>
  <si>
    <t>Director of Production</t>
  </si>
  <si>
    <t>In Validation</t>
  </si>
  <si>
    <t>INV-2026-0006</t>
  </si>
  <si>
    <t>Global Maintenance Co.</t>
  </si>
  <si>
    <t>NS-518801</t>
  </si>
  <si>
    <t>Logistics</t>
  </si>
  <si>
    <t>Logistics Manager</t>
  </si>
  <si>
    <t>Sent to Accounting</t>
  </si>
  <si>
    <t>INV-2026-0007</t>
  </si>
  <si>
    <t>Lumen IT Services</t>
  </si>
  <si>
    <t>NS-654816</t>
  </si>
  <si>
    <t>Engineering</t>
  </si>
  <si>
    <t>Engineering Manager</t>
  </si>
  <si>
    <t>INV-2026-0008</t>
  </si>
  <si>
    <t>NS-624902</t>
  </si>
  <si>
    <t>Finance</t>
  </si>
  <si>
    <t>Finance Director</t>
  </si>
  <si>
    <t>INV-2026-0009</t>
  </si>
  <si>
    <t>ForgeTech Components</t>
  </si>
  <si>
    <t>NS-439902</t>
  </si>
  <si>
    <t>Finance Manager</t>
  </si>
  <si>
    <t>Received</t>
  </si>
  <si>
    <t>INV-2026-0010</t>
  </si>
  <si>
    <t>Pioneer Raw Materials</t>
  </si>
  <si>
    <t>NS-234628</t>
  </si>
  <si>
    <t>PO-26483</t>
  </si>
  <si>
    <t>INV-2026-0011</t>
  </si>
  <si>
    <t>Vector Robotics</t>
  </si>
  <si>
    <t>NS-573417</t>
  </si>
  <si>
    <t>Sales Director</t>
  </si>
  <si>
    <t>INV-2026-0012</t>
  </si>
  <si>
    <t>Delta Freight</t>
  </si>
  <si>
    <t>NS-608993</t>
  </si>
  <si>
    <t>PO-97684</t>
  </si>
  <si>
    <t>Missing Documentation</t>
  </si>
  <si>
    <t>INV-2026-0013</t>
  </si>
  <si>
    <t>NS-785197</t>
  </si>
  <si>
    <t>PO-98259</t>
  </si>
  <si>
    <t>INV-2026-0014</t>
  </si>
  <si>
    <t>NS-947272</t>
  </si>
  <si>
    <t>PO-68082</t>
  </si>
  <si>
    <t>INV-2026-0015</t>
  </si>
  <si>
    <t>NS-922157</t>
  </si>
  <si>
    <t>PO-44760</t>
  </si>
  <si>
    <t>INV-2026-0016</t>
  </si>
  <si>
    <t>Omega Tooling</t>
  </si>
  <si>
    <t>NS-712554</t>
  </si>
  <si>
    <t>Quality</t>
  </si>
  <si>
    <t>PO-16572</t>
  </si>
  <si>
    <t>Quality Manager</t>
  </si>
  <si>
    <t>INV-2026-0017</t>
  </si>
  <si>
    <t>NS-723398</t>
  </si>
  <si>
    <t>INV-2026-0018</t>
  </si>
  <si>
    <t>BlueLine Packaging</t>
  </si>
  <si>
    <t>NS-431535</t>
  </si>
  <si>
    <t>PO-69929</t>
  </si>
  <si>
    <t>INV-2026-0019</t>
  </si>
  <si>
    <t>Cobalt Metals</t>
  </si>
  <si>
    <t>NS-974244</t>
  </si>
  <si>
    <t>PO-67433</t>
  </si>
  <si>
    <t>INV-2026-0020</t>
  </si>
  <si>
    <t>NS-852470</t>
  </si>
  <si>
    <t>PO-37607</t>
  </si>
  <si>
    <t>INV-2026-0021</t>
  </si>
  <si>
    <t>Keystone Bearings</t>
  </si>
  <si>
    <t>NS-678478</t>
  </si>
  <si>
    <t>INV-2026-0022</t>
  </si>
  <si>
    <t>Westfield Chemicals</t>
  </si>
  <si>
    <t>NS-934794</t>
  </si>
  <si>
    <t>IT</t>
  </si>
  <si>
    <t>PO-57795</t>
  </si>
  <si>
    <t>IT Manager</t>
  </si>
  <si>
    <t>INV-2026-0023</t>
  </si>
  <si>
    <t>NS-288073</t>
  </si>
  <si>
    <t>HR</t>
  </si>
  <si>
    <t>PO-13248</t>
  </si>
  <si>
    <t>Director of HR</t>
  </si>
  <si>
    <t>INV-2026-0024</t>
  </si>
  <si>
    <t>Zenith Calibration</t>
  </si>
  <si>
    <t>NS-420015</t>
  </si>
  <si>
    <t>HR Manager</t>
  </si>
  <si>
    <t>INV-2026-0025</t>
  </si>
  <si>
    <t>NS-708792</t>
  </si>
  <si>
    <t>PO-33405</t>
  </si>
  <si>
    <t>INV-2026-0026</t>
  </si>
  <si>
    <t>NS-820221</t>
  </si>
  <si>
    <t>PO-80575</t>
  </si>
  <si>
    <t>INV-2026-0027</t>
  </si>
  <si>
    <t>NS-831076</t>
  </si>
  <si>
    <t>Duplicate Invoice</t>
  </si>
  <si>
    <t>INV-2026-0028</t>
  </si>
  <si>
    <t>NS-437902</t>
  </si>
  <si>
    <t>PO-95813</t>
  </si>
  <si>
    <t>INV-2026-0029</t>
  </si>
  <si>
    <t>NS-805477</t>
  </si>
  <si>
    <t>PO-40784</t>
  </si>
  <si>
    <t>Approved</t>
  </si>
  <si>
    <t>INV-2026-0030</t>
  </si>
  <si>
    <t>NS-821024</t>
  </si>
  <si>
    <t>Director of Engineering</t>
  </si>
  <si>
    <t>INV-2026-0031</t>
  </si>
  <si>
    <t>Apex Industrial Supply</t>
  </si>
  <si>
    <t>NS-432711</t>
  </si>
  <si>
    <t>INV-2026-0032</t>
  </si>
  <si>
    <t>NS-757193</t>
  </si>
  <si>
    <t>Director of Logistics</t>
  </si>
  <si>
    <t>INV-2026-0033</t>
  </si>
  <si>
    <t>NS-446954</t>
  </si>
  <si>
    <t>PO-63424</t>
  </si>
  <si>
    <t>INV-2026-0034</t>
  </si>
  <si>
    <t>NS-994905</t>
  </si>
  <si>
    <t>PO-61116</t>
  </si>
  <si>
    <t>INV-2026-0035</t>
  </si>
  <si>
    <t>NorthBridge Engineering</t>
  </si>
  <si>
    <t>NS-233827</t>
  </si>
  <si>
    <t>INV-2026-0036</t>
  </si>
  <si>
    <t>Titan Machine Parts</t>
  </si>
  <si>
    <t>NS-898207</t>
  </si>
  <si>
    <t>PO-54236</t>
  </si>
  <si>
    <t>INV-2026-0037</t>
  </si>
  <si>
    <t>Metro Facility Services</t>
  </si>
  <si>
    <t>NS-979995</t>
  </si>
  <si>
    <t>Director of Quality</t>
  </si>
  <si>
    <t>Pending Approval</t>
  </si>
  <si>
    <t>INV-2026-0038</t>
  </si>
  <si>
    <t>NS-915573</t>
  </si>
  <si>
    <t>PO-25012</t>
  </si>
  <si>
    <t>INV-2026-0039</t>
  </si>
  <si>
    <t>NS-991597</t>
  </si>
  <si>
    <t>PO-49529</t>
  </si>
  <si>
    <t>INV-2026-0040</t>
  </si>
  <si>
    <t>NS-766459</t>
  </si>
  <si>
    <t>INV-2026-0041</t>
  </si>
  <si>
    <t>NS-392477</t>
  </si>
  <si>
    <t>PO-21359</t>
  </si>
  <si>
    <t>INV-2026-0042</t>
  </si>
  <si>
    <t>NS-641722</t>
  </si>
  <si>
    <t>INV-2026-0043</t>
  </si>
  <si>
    <t>NS-709805</t>
  </si>
  <si>
    <t>PO-97026</t>
  </si>
  <si>
    <t>INV-2026-0044</t>
  </si>
  <si>
    <t>NS-326895</t>
  </si>
  <si>
    <t>PO-35105</t>
  </si>
  <si>
    <t>INV-2026-0045</t>
  </si>
  <si>
    <t>NS-680238</t>
  </si>
  <si>
    <t>PO-17146</t>
  </si>
  <si>
    <t>INV-2026-0046</t>
  </si>
  <si>
    <t>NS-168517</t>
  </si>
  <si>
    <t>INV-2026-0047</t>
  </si>
  <si>
    <t>NS-498855</t>
  </si>
  <si>
    <t>PO-78494</t>
  </si>
  <si>
    <t>INV-2026-0048</t>
  </si>
  <si>
    <t>NS-282256</t>
  </si>
  <si>
    <t>PO-41439</t>
  </si>
  <si>
    <t>INV-2026-0049</t>
  </si>
  <si>
    <t>NS-793300</t>
  </si>
  <si>
    <t>PO-87304</t>
  </si>
  <si>
    <t>INV-2026-0050</t>
  </si>
  <si>
    <t>NS-230394</t>
  </si>
  <si>
    <t>PO-67560</t>
  </si>
  <si>
    <t>INV-2026-0051</t>
  </si>
  <si>
    <t>NS-807053</t>
  </si>
  <si>
    <t>PO-40005</t>
  </si>
  <si>
    <t>Production Manager</t>
  </si>
  <si>
    <t>INV-2026-0052</t>
  </si>
  <si>
    <t>Summit Fasteners</t>
  </si>
  <si>
    <t>NS-592841</t>
  </si>
  <si>
    <t>INV-2026-0053</t>
  </si>
  <si>
    <t>NS-221552</t>
  </si>
  <si>
    <t>PO-52372</t>
  </si>
  <si>
    <t>INV-2026-0054</t>
  </si>
  <si>
    <t>NS-832168</t>
  </si>
  <si>
    <t>INV-2026-0055</t>
  </si>
  <si>
    <t>NS-851413</t>
  </si>
  <si>
    <t>PO-75323</t>
  </si>
  <si>
    <t>INV-2026-0056</t>
  </si>
  <si>
    <t>NS-995916</t>
  </si>
  <si>
    <t>INV-2026-0057</t>
  </si>
  <si>
    <t>NS-495533</t>
  </si>
  <si>
    <t>INV-2026-0058</t>
  </si>
  <si>
    <t>NS-619389</t>
  </si>
  <si>
    <t>INV-2026-0059</t>
  </si>
  <si>
    <t>NS-592296</t>
  </si>
  <si>
    <t>Procurement</t>
  </si>
  <si>
    <t>PO-19807</t>
  </si>
  <si>
    <t>Procurement Manager</t>
  </si>
  <si>
    <t>INV-2026-0060</t>
  </si>
  <si>
    <t>NS-817644</t>
  </si>
  <si>
    <t>INV-2026-0061</t>
  </si>
  <si>
    <t>NS-493049</t>
  </si>
  <si>
    <t>INV-2026-0062</t>
  </si>
  <si>
    <t>NS-583550</t>
  </si>
  <si>
    <t>PO-40433</t>
  </si>
  <si>
    <t>INV-2026-0063</t>
  </si>
  <si>
    <t>NS-579027</t>
  </si>
  <si>
    <t>PO-42780</t>
  </si>
  <si>
    <t>INV-2026-0064</t>
  </si>
  <si>
    <t>NS-819112</t>
  </si>
  <si>
    <t>INV-2026-0065</t>
  </si>
  <si>
    <t>NS-758765</t>
  </si>
  <si>
    <t>INV-2026-0066</t>
  </si>
  <si>
    <t>NS-656639</t>
  </si>
  <si>
    <t>Facilities</t>
  </si>
  <si>
    <t>Facilities Manager</t>
  </si>
  <si>
    <t>INV-2026-0067</t>
  </si>
  <si>
    <t>Quantum Packaging</t>
  </si>
  <si>
    <t>NS-516716</t>
  </si>
  <si>
    <t>INV-2026-0068</t>
  </si>
  <si>
    <t>NS-739717</t>
  </si>
  <si>
    <t>PO-52992</t>
  </si>
  <si>
    <t>INV-2026-0069</t>
  </si>
  <si>
    <t>NS-507524</t>
  </si>
  <si>
    <t>PO-27781</t>
  </si>
  <si>
    <t>INV-2026-0070</t>
  </si>
  <si>
    <t>NS-134305</t>
  </si>
  <si>
    <t>Urgent</t>
  </si>
  <si>
    <t>INV-2026-0071</t>
  </si>
  <si>
    <t>NS-989227</t>
  </si>
  <si>
    <t>PO-26011</t>
  </si>
  <si>
    <t>INV-2026-0072</t>
  </si>
  <si>
    <t>NS-326441</t>
  </si>
  <si>
    <t>INV-2026-0073</t>
  </si>
  <si>
    <t>NS-439498</t>
  </si>
  <si>
    <t>INV-2026-0074</t>
  </si>
  <si>
    <t>NS-646781</t>
  </si>
  <si>
    <t>PO-96363</t>
  </si>
  <si>
    <t>INV-2026-0075</t>
  </si>
  <si>
    <t>NS-388375</t>
  </si>
  <si>
    <t>INV-2026-0076</t>
  </si>
  <si>
    <t>NS-967611</t>
  </si>
  <si>
    <t>PO-54424</t>
  </si>
  <si>
    <t>INV-2026-0077</t>
  </si>
  <si>
    <t>NS-714953</t>
  </si>
  <si>
    <t>PO-17861</t>
  </si>
  <si>
    <t>Director of IT</t>
  </si>
  <si>
    <t>INV-2026-0078</t>
  </si>
  <si>
    <t>NS-788637</t>
  </si>
  <si>
    <t>PO-30280</t>
  </si>
  <si>
    <t>INV-2026-0079</t>
  </si>
  <si>
    <t>NS-130359</t>
  </si>
  <si>
    <t>INV-2026-0080</t>
  </si>
  <si>
    <t>NS-540226</t>
  </si>
  <si>
    <t>INV-2026-0081</t>
  </si>
  <si>
    <t>NS-544611</t>
  </si>
  <si>
    <t>PO-96761</t>
  </si>
  <si>
    <t>INV-2026-0082</t>
  </si>
  <si>
    <t>NS-728437</t>
  </si>
  <si>
    <t>PO-61807</t>
  </si>
  <si>
    <t>INV-2026-0083</t>
  </si>
  <si>
    <t>NS-685864</t>
  </si>
  <si>
    <t>PO-75570</t>
  </si>
  <si>
    <t>INV-2026-0084</t>
  </si>
  <si>
    <t>NS-280222</t>
  </si>
  <si>
    <t>PO-52568</t>
  </si>
  <si>
    <t>INV-2026-0085</t>
  </si>
  <si>
    <t>NS-635280</t>
  </si>
  <si>
    <t>INV-2026-0086</t>
  </si>
  <si>
    <t>NS-285751</t>
  </si>
  <si>
    <t>PO-19876</t>
  </si>
  <si>
    <t>INV-2026-0087</t>
  </si>
  <si>
    <t>NS-762055</t>
  </si>
  <si>
    <t>PO-67961</t>
  </si>
  <si>
    <t>INV-2026-0088</t>
  </si>
  <si>
    <t>NS-631699</t>
  </si>
  <si>
    <t>PO-87867</t>
  </si>
  <si>
    <t>INV-2026-0089</t>
  </si>
  <si>
    <t>NS-629057</t>
  </si>
  <si>
    <t>PO-21053</t>
  </si>
  <si>
    <t>INV-2026-0090</t>
  </si>
  <si>
    <t>NS-927564</t>
  </si>
  <si>
    <t>PO-16863</t>
  </si>
  <si>
    <t>INV-2026-0091</t>
  </si>
  <si>
    <t>NS-235215</t>
  </si>
  <si>
    <t>PO-61374</t>
  </si>
  <si>
    <t>INV-2026-0092</t>
  </si>
  <si>
    <t>NS-289019</t>
  </si>
  <si>
    <t>INV-2026-0093</t>
  </si>
  <si>
    <t>NS-903531</t>
  </si>
  <si>
    <t>INV-2026-0094</t>
  </si>
  <si>
    <t>NS-398768</t>
  </si>
  <si>
    <t>PO-90031</t>
  </si>
  <si>
    <t>Director of Procurement</t>
  </si>
  <si>
    <t>INV-2026-0095</t>
  </si>
  <si>
    <t>NS-538997</t>
  </si>
  <si>
    <t>PO-79135</t>
  </si>
  <si>
    <t>INV-2026-0096</t>
  </si>
  <si>
    <t>NS-638289</t>
  </si>
  <si>
    <t>INV-2026-0097</t>
  </si>
  <si>
    <t>Evergreen Utilities</t>
  </si>
  <si>
    <t>NS-434165</t>
  </si>
  <si>
    <t>PO-13694</t>
  </si>
  <si>
    <t>INV-2026-0098</t>
  </si>
  <si>
    <t>NS-326130</t>
  </si>
  <si>
    <t>INV-2026-0099</t>
  </si>
  <si>
    <t>NS-725726</t>
  </si>
  <si>
    <t>INV-2026-0100</t>
  </si>
  <si>
    <t>NS-651613</t>
  </si>
  <si>
    <t>INV-2026-0101</t>
  </si>
  <si>
    <t>NS-868544</t>
  </si>
  <si>
    <t>INV-2026-0102</t>
  </si>
  <si>
    <t>NS-950916</t>
  </si>
  <si>
    <t>PO-33891</t>
  </si>
  <si>
    <t>INV-2026-0103</t>
  </si>
  <si>
    <t>NS-918771</t>
  </si>
  <si>
    <t>INV-2026-0104</t>
  </si>
  <si>
    <t>NS-940064</t>
  </si>
  <si>
    <t>PO-44959</t>
  </si>
  <si>
    <t>INV-2026-0105</t>
  </si>
  <si>
    <t>NS-823270</t>
  </si>
  <si>
    <t>PO-31842</t>
  </si>
  <si>
    <t>INV-2026-0106</t>
  </si>
  <si>
    <t>NS-132653</t>
  </si>
  <si>
    <t>PO-30969</t>
  </si>
  <si>
    <t>INV-2026-0107</t>
  </si>
  <si>
    <t>NS-565504</t>
  </si>
  <si>
    <t>INV-2026-0108</t>
  </si>
  <si>
    <t>NS-324993</t>
  </si>
  <si>
    <t>PO-68493</t>
  </si>
  <si>
    <t>INV-2026-0109</t>
  </si>
  <si>
    <t>NS-464301</t>
  </si>
  <si>
    <t>INV-2026-0110</t>
  </si>
  <si>
    <t>NS-928766</t>
  </si>
  <si>
    <t>PO-41029</t>
  </si>
  <si>
    <t>INV-2026-0111</t>
  </si>
  <si>
    <t>NS-177333</t>
  </si>
  <si>
    <t>PO-85353</t>
  </si>
  <si>
    <t>INV-2026-0112</t>
  </si>
  <si>
    <t>NS-438334</t>
  </si>
  <si>
    <t>INV-2026-0113</t>
  </si>
  <si>
    <t>NS-772124</t>
  </si>
  <si>
    <t>PO-75873</t>
  </si>
  <si>
    <t>INV-2026-0114</t>
  </si>
  <si>
    <t>NS-321048</t>
  </si>
  <si>
    <t>INV-2026-0115</t>
  </si>
  <si>
    <t>NS-607774</t>
  </si>
  <si>
    <t>INV-2026-0116</t>
  </si>
  <si>
    <t>NS-359961</t>
  </si>
  <si>
    <t>PO-68929</t>
  </si>
  <si>
    <t>INV-2026-0117</t>
  </si>
  <si>
    <t>NS-622987</t>
  </si>
  <si>
    <t>PO-71186</t>
  </si>
  <si>
    <t>INV-2026-0118</t>
  </si>
  <si>
    <t>NS-551860</t>
  </si>
  <si>
    <t>PO-24089</t>
  </si>
  <si>
    <t>INV-2026-0119</t>
  </si>
  <si>
    <t>NS-813449</t>
  </si>
  <si>
    <t>INV-2026-0120</t>
  </si>
  <si>
    <t>NS-943019</t>
  </si>
  <si>
    <t>PO-53652</t>
  </si>
  <si>
    <t>INV-2026-0121</t>
  </si>
  <si>
    <t>NS-658198</t>
  </si>
  <si>
    <t>PO-76809</t>
  </si>
  <si>
    <t>INV-2026-0122</t>
  </si>
  <si>
    <t>NS-920934</t>
  </si>
  <si>
    <t>PO-95929</t>
  </si>
  <si>
    <t>INV-2026-0123</t>
  </si>
  <si>
    <t>NS-300051</t>
  </si>
  <si>
    <t>PO-24404</t>
  </si>
  <si>
    <t>INV-2026-0124</t>
  </si>
  <si>
    <t>NS-651002</t>
  </si>
  <si>
    <t>PO-72701</t>
  </si>
  <si>
    <t>INV-2026-0125</t>
  </si>
  <si>
    <t>NS-412999</t>
  </si>
  <si>
    <t>INV-2026-0126</t>
  </si>
  <si>
    <t>NS-910616</t>
  </si>
  <si>
    <t>INV-2026-0127</t>
  </si>
  <si>
    <t>NS-214532</t>
  </si>
  <si>
    <t>PO-27992</t>
  </si>
  <si>
    <t>INV-2026-0128</t>
  </si>
  <si>
    <t>NS-677086</t>
  </si>
  <si>
    <t>PO-10679</t>
  </si>
  <si>
    <t>INV-2026-0129</t>
  </si>
  <si>
    <t>NS-283568</t>
  </si>
  <si>
    <t>INV-2026-0130</t>
  </si>
  <si>
    <t>NS-398384</t>
  </si>
  <si>
    <t>INV-2026-0131</t>
  </si>
  <si>
    <t>NS-114768</t>
  </si>
  <si>
    <t>PO-34405</t>
  </si>
  <si>
    <t>INV-2026-0132</t>
  </si>
  <si>
    <t>NS-247442</t>
  </si>
  <si>
    <t>INV-2026-0133</t>
  </si>
  <si>
    <t>NS-421709</t>
  </si>
  <si>
    <t>INV-2026-0134</t>
  </si>
  <si>
    <t>NS-577079</t>
  </si>
  <si>
    <t>INV-2026-0135</t>
  </si>
  <si>
    <t>NS-691573</t>
  </si>
  <si>
    <t>PO-20237</t>
  </si>
  <si>
    <t>INV-2026-0136</t>
  </si>
  <si>
    <t>NS-947975</t>
  </si>
  <si>
    <t>INV-2026-0137</t>
  </si>
  <si>
    <t>NS-667451</t>
  </si>
  <si>
    <t>PO-18357</t>
  </si>
  <si>
    <t>INV-2026-0138</t>
  </si>
  <si>
    <t>NS-493892</t>
  </si>
  <si>
    <t>INV-2026-0139</t>
  </si>
  <si>
    <t>NS-412856</t>
  </si>
  <si>
    <t>INV-2026-0140</t>
  </si>
  <si>
    <t>NS-352356</t>
  </si>
  <si>
    <t>INV-2026-0141</t>
  </si>
  <si>
    <t>NS-628373</t>
  </si>
  <si>
    <t>PO-28367</t>
  </si>
  <si>
    <t>INV-2026-0142</t>
  </si>
  <si>
    <t>NS-683761</t>
  </si>
  <si>
    <t>INV-2026-0143</t>
  </si>
  <si>
    <t>NS-596520</t>
  </si>
  <si>
    <t>INV-2026-0144</t>
  </si>
  <si>
    <t>NS-182911</t>
  </si>
  <si>
    <t>PO-94765</t>
  </si>
  <si>
    <t>INV-2026-0145</t>
  </si>
  <si>
    <t>NS-417915</t>
  </si>
  <si>
    <t>PO-53642</t>
  </si>
  <si>
    <t>INV-2026-0146</t>
  </si>
  <si>
    <t>NS-780233</t>
  </si>
  <si>
    <t>INV-2026-0147</t>
  </si>
  <si>
    <t>NS-373441</t>
  </si>
  <si>
    <t>PO-12125</t>
  </si>
  <si>
    <t>INV-2026-0148</t>
  </si>
  <si>
    <t>NS-875520</t>
  </si>
  <si>
    <t>PO-94108</t>
  </si>
  <si>
    <t>INV-2026-0149</t>
  </si>
  <si>
    <t>NS-150871</t>
  </si>
  <si>
    <t>PO-97584</t>
  </si>
  <si>
    <t>INV-2026-0150</t>
  </si>
  <si>
    <t>NS-611552</t>
  </si>
  <si>
    <t>PO-96413</t>
  </si>
  <si>
    <t>INV-2026-0151</t>
  </si>
  <si>
    <t>NS-649857</t>
  </si>
  <si>
    <t>PO-22624</t>
  </si>
  <si>
    <t>INV-2026-0152</t>
  </si>
  <si>
    <t>NS-968286</t>
  </si>
  <si>
    <t>PO-99658</t>
  </si>
  <si>
    <t>INV-2026-0153</t>
  </si>
  <si>
    <t>NS-999636</t>
  </si>
  <si>
    <t>INV-2026-0154</t>
  </si>
  <si>
    <t>NS-288066</t>
  </si>
  <si>
    <t>INV-2026-0155</t>
  </si>
  <si>
    <t>NS-246748</t>
  </si>
  <si>
    <t>INV-2026-0156</t>
  </si>
  <si>
    <t>NS-921609</t>
  </si>
  <si>
    <t>PO-45825</t>
  </si>
  <si>
    <t>INV-2026-0157</t>
  </si>
  <si>
    <t>NS-261771</t>
  </si>
  <si>
    <t>PO-93086</t>
  </si>
  <si>
    <t>INV-2026-0158</t>
  </si>
  <si>
    <t>NS-193972</t>
  </si>
  <si>
    <t>PO-13442</t>
  </si>
  <si>
    <t>INV-2026-0159</t>
  </si>
  <si>
    <t>NS-245584</t>
  </si>
  <si>
    <t>PO-32216</t>
  </si>
  <si>
    <t>INV-2026-0160</t>
  </si>
  <si>
    <t>NS-580102</t>
  </si>
  <si>
    <t>PO-35630</t>
  </si>
  <si>
    <t>INV-2026-0161</t>
  </si>
  <si>
    <t>NS-602278</t>
  </si>
  <si>
    <t>PO-36326</t>
  </si>
  <si>
    <t>INV-2026-0162</t>
  </si>
  <si>
    <t>NS-288667</t>
  </si>
  <si>
    <t>INV-2026-0163</t>
  </si>
  <si>
    <t>NS-790658</t>
  </si>
  <si>
    <t>PO-43119</t>
  </si>
  <si>
    <t>INV-2026-0164</t>
  </si>
  <si>
    <t>NS-722665</t>
  </si>
  <si>
    <t>PO-80373</t>
  </si>
  <si>
    <t>INV-2026-0165</t>
  </si>
  <si>
    <t>NS-111060</t>
  </si>
  <si>
    <t>PO-23886</t>
  </si>
  <si>
    <t>INV-2026-0166</t>
  </si>
  <si>
    <t>NS-209627</t>
  </si>
  <si>
    <t>PO-73277</t>
  </si>
  <si>
    <t>INV-2026-0167</t>
  </si>
  <si>
    <t>NS-434400</t>
  </si>
  <si>
    <t>INV-2026-0168</t>
  </si>
  <si>
    <t>NS-343118</t>
  </si>
  <si>
    <t>PO-70562</t>
  </si>
  <si>
    <t>INV-2026-0169</t>
  </si>
  <si>
    <t>NS-206694</t>
  </si>
  <si>
    <t>PO-85674</t>
  </si>
  <si>
    <t>INV-2026-0170</t>
  </si>
  <si>
    <t>NS-986589</t>
  </si>
  <si>
    <t>PO-56135</t>
  </si>
  <si>
    <t>INV-2026-0171</t>
  </si>
  <si>
    <t>NS-507333</t>
  </si>
  <si>
    <t>PO-76954</t>
  </si>
  <si>
    <t>INV-2026-0172</t>
  </si>
  <si>
    <t>NS-749498</t>
  </si>
  <si>
    <t>PO-69113</t>
  </si>
  <si>
    <t>INV-2026-0173</t>
  </si>
  <si>
    <t>NS-692862</t>
  </si>
  <si>
    <t>INV-2026-0174</t>
  </si>
  <si>
    <t>NS-668373</t>
  </si>
  <si>
    <t>PO-58085</t>
  </si>
  <si>
    <t>INV-2026-0175</t>
  </si>
  <si>
    <t>NS-913308</t>
  </si>
  <si>
    <t>PO-25386</t>
  </si>
  <si>
    <t>INV-2026-0176</t>
  </si>
  <si>
    <t>NS-276556</t>
  </si>
  <si>
    <t>INV-2026-0177</t>
  </si>
  <si>
    <t>NS-361805</t>
  </si>
  <si>
    <t>PO-27392</t>
  </si>
  <si>
    <t>INV-2026-0178</t>
  </si>
  <si>
    <t>NS-640659</t>
  </si>
  <si>
    <t>PO-62802</t>
  </si>
  <si>
    <t>INV-2026-0179</t>
  </si>
  <si>
    <t>NS-934328</t>
  </si>
  <si>
    <t>INV-2026-0180</t>
  </si>
  <si>
    <t>NS-204411</t>
  </si>
  <si>
    <t>PO-16021</t>
  </si>
  <si>
    <t>KPI Dashboard — Invoice Approval Visibility</t>
  </si>
  <si>
    <t>Dashboard uses the Invoice Tracker sample data to summarize current-state risks and future-state management visibility needs. Baseline numeric targets should be finalized after 30–60 days of clean process data.</t>
  </si>
  <si>
    <t>Total Sample Invoices</t>
  </si>
  <si>
    <t>Open Invoices</t>
  </si>
  <si>
    <t>Overdue Approvals</t>
  </si>
  <si>
    <t>Sample records in tracker</t>
  </si>
  <si>
    <t>Not paid/rejected</t>
  </si>
  <si>
    <t>Currently with approvers</t>
  </si>
  <si>
    <t>Pending approvals &gt; SLA</t>
  </si>
  <si>
    <t>Exception Rate</t>
  </si>
  <si>
    <t>Avg Approval Cycle</t>
  </si>
  <si>
    <t>Non-PO %</t>
  </si>
  <si>
    <t>Unpaid invoices due soon</t>
  </si>
  <si>
    <t>Known exceptions / total</t>
  </si>
  <si>
    <t>Receipt to approval days</t>
  </si>
  <si>
    <t>Manual review segment</t>
  </si>
  <si>
    <t>Invoices by Status</t>
  </si>
  <si>
    <t>Exceptions by Type</t>
  </si>
  <si>
    <t>Approver Workload / Aging</t>
  </si>
  <si>
    <t>Count</t>
  </si>
  <si>
    <t>% of Total</t>
  </si>
  <si>
    <t>Primary Risk</t>
  </si>
  <si>
    <t>Pending</t>
  </si>
  <si>
    <t>Overdue</t>
  </si>
  <si>
    <t>Avg Age</t>
  </si>
  <si>
    <t>Late Risk</t>
  </si>
  <si>
    <t>No exception</t>
  </si>
  <si>
    <t>Manual review / control gap</t>
  </si>
  <si>
    <t>Audit evidence risk</t>
  </si>
  <si>
    <t>Payment accuracy risk</t>
  </si>
  <si>
    <t>Duplicate payment risk</t>
  </si>
  <si>
    <t>Routing delay</t>
  </si>
  <si>
    <t>Management Interpretation</t>
  </si>
  <si>
    <t>Finding</t>
  </si>
  <si>
    <t>Implication</t>
  </si>
  <si>
    <t>Recommended Action</t>
  </si>
  <si>
    <t>Manual workflow dependency</t>
  </si>
  <si>
    <t>AP acts as the routing, tracking, reminder, and escalation engine.</t>
  </si>
  <si>
    <t>Standardize tracker, SLA, and approval matrix before automation.</t>
  </si>
  <si>
    <t>Non-PO invoices require more review</t>
  </si>
  <si>
    <t>40% of invoices are more likely to create exceptions and delay.</t>
  </si>
  <si>
    <t>Flag non-PO invoices and route through defined exception handling.</t>
  </si>
  <si>
    <t>Limited KPI visibility</t>
  </si>
  <si>
    <t>Leadership cannot currently manage aging, cycle time, workload, or payment risk.</t>
  </si>
  <si>
    <t>Use weekly aging and KPI dashboard during Phase 1.</t>
  </si>
  <si>
    <t>Fragmented records</t>
  </si>
  <si>
    <t>Audit evidence is split across Outlook, Excel, shared drives, and Dynamics.</t>
  </si>
  <si>
    <t>Centralize approval trail and retention rules during Phase 2.</t>
  </si>
  <si>
    <t>Approval Matrix — Current Standardized Routing Rules</t>
  </si>
  <si>
    <t>Manager Approver</t>
  </si>
  <si>
    <t>Director Approver</t>
  </si>
  <si>
    <t>Backup Approver</t>
  </si>
  <si>
    <t>Under $5K</t>
  </si>
  <si>
    <t>$5K-$25K</t>
  </si>
  <si>
    <t>Over $25K</t>
  </si>
  <si>
    <t>Policy Status</t>
  </si>
  <si>
    <t>Last Validated</t>
  </si>
  <si>
    <t>Backup Ops Manager</t>
  </si>
  <si>
    <t>Needs quarterly review</t>
  </si>
  <si>
    <t>Backup Maintenance Manager</t>
  </si>
  <si>
    <t>Backup Procurement Manager</t>
  </si>
  <si>
    <t>Backup Engineering Manager</t>
  </si>
  <si>
    <t>Backup Quality Manager</t>
  </si>
  <si>
    <t>Backup HR Manager</t>
  </si>
  <si>
    <t>Backup IT Manager</t>
  </si>
  <si>
    <t>Backup Sales Manager</t>
  </si>
  <si>
    <t>Backup Finance Manager</t>
  </si>
  <si>
    <t>Backup Logistics Manager</t>
  </si>
  <si>
    <t>Backup Facilities Manager</t>
  </si>
  <si>
    <t>Backup Production Manager</t>
  </si>
  <si>
    <t>Exception Log — Known Invoice Approval Pain Points</t>
  </si>
  <si>
    <t>Exception ID</t>
  </si>
  <si>
    <t>Date Identified</t>
  </si>
  <si>
    <t>Vendor</t>
  </si>
  <si>
    <t>Owner</t>
  </si>
  <si>
    <t>Resolution Notes</t>
  </si>
  <si>
    <t>Control Impact</t>
  </si>
  <si>
    <t>EX-001</t>
  </si>
  <si>
    <t>Resolved before approval</t>
  </si>
  <si>
    <t>Vendor master/payment accuracy risk.</t>
  </si>
  <si>
    <t>EX-002</t>
  </si>
  <si>
    <t>Pending clarification</t>
  </si>
  <si>
    <t>Routing delay and accountability gap.</t>
  </si>
  <si>
    <t>EX-003</t>
  </si>
  <si>
    <t>Manual review required; PO control gap.</t>
  </si>
  <si>
    <t>EX-004</t>
  </si>
  <si>
    <t>EX-005</t>
  </si>
  <si>
    <t>Approval package incomplete; audit evidence risk.</t>
  </si>
  <si>
    <t>EX-006</t>
  </si>
  <si>
    <t>EX-007</t>
  </si>
  <si>
    <t>EX-008</t>
  </si>
  <si>
    <t>EX-009</t>
  </si>
  <si>
    <t>EX-010</t>
  </si>
  <si>
    <t>Duplicate payment risk.</t>
  </si>
  <si>
    <t>EX-011</t>
  </si>
  <si>
    <t>EX-012</t>
  </si>
  <si>
    <t>EX-013</t>
  </si>
  <si>
    <t>EX-014</t>
  </si>
  <si>
    <t>EX-015</t>
  </si>
  <si>
    <t>EX-016</t>
  </si>
  <si>
    <t>EX-017</t>
  </si>
  <si>
    <t>EX-018</t>
  </si>
  <si>
    <t>EX-019</t>
  </si>
  <si>
    <t>EX-020</t>
  </si>
  <si>
    <t>EX-021</t>
  </si>
  <si>
    <t>EX-022</t>
  </si>
  <si>
    <t>EX-023</t>
  </si>
  <si>
    <t>EX-024</t>
  </si>
  <si>
    <t>EX-025</t>
  </si>
  <si>
    <t>EX-026</t>
  </si>
  <si>
    <t>EX-027</t>
  </si>
  <si>
    <t>EX-028</t>
  </si>
  <si>
    <t>EX-029</t>
  </si>
  <si>
    <t>EX-030</t>
  </si>
  <si>
    <t>EX-031</t>
  </si>
  <si>
    <t>EX-032</t>
  </si>
  <si>
    <t>EX-033</t>
  </si>
  <si>
    <t>EX-034</t>
  </si>
  <si>
    <t>EX-035</t>
  </si>
  <si>
    <t>EX-036</t>
  </si>
  <si>
    <t>EX-037</t>
  </si>
  <si>
    <t>EX-038</t>
  </si>
  <si>
    <t>EX-039</t>
  </si>
  <si>
    <t>EX-040</t>
  </si>
  <si>
    <t>EX-041</t>
  </si>
  <si>
    <t>EX-042</t>
  </si>
  <si>
    <t>EX-043</t>
  </si>
  <si>
    <t>EX-044</t>
  </si>
  <si>
    <t>EX-045</t>
  </si>
  <si>
    <t>EX-046</t>
  </si>
  <si>
    <t>EX-047</t>
  </si>
  <si>
    <t>EX-048</t>
  </si>
  <si>
    <t>Stakeholder Register and Engagement Plan</t>
  </si>
  <si>
    <t>Stakeholder</t>
  </si>
  <si>
    <t>Role</t>
  </si>
  <si>
    <t>Influence</t>
  </si>
  <si>
    <t>Interest</t>
  </si>
  <si>
    <t>Decision Authority</t>
  </si>
  <si>
    <t>Process Ownership</t>
  </si>
  <si>
    <t>Goals</t>
  </si>
  <si>
    <t>Concerns</t>
  </si>
  <si>
    <t>Potential Resistance</t>
  </si>
  <si>
    <t>Engagement Strategy</t>
  </si>
  <si>
    <t>Submits invoices and expects timely payment</t>
  </si>
  <si>
    <t>Low</t>
  </si>
  <si>
    <t>Medium</t>
  </si>
  <si>
    <t>Timely payment; clear submission rules</t>
  </si>
  <si>
    <t>Delayed payment; unclear status</t>
  </si>
  <si>
    <t>May continue incomplete submissions</t>
  </si>
  <si>
    <t>Communicate invoice submission standards and exception feedback</t>
  </si>
  <si>
    <t>AP Analyst</t>
  </si>
  <si>
    <t>Receives, validates, routes, tracks, follows up, and hands off invoices</t>
  </si>
  <si>
    <t>High</t>
  </si>
  <si>
    <t>Reduce manual routing and follow-up</t>
  </si>
  <si>
    <t>Transition workload and tool changes</t>
  </si>
  <si>
    <t>May continue workarounds</t>
  </si>
  <si>
    <t>Involve in design, testing, tracker, and exception rules</t>
  </si>
  <si>
    <t>Approves invoices under $5,000</t>
  </si>
  <si>
    <t>Approve with clear context</t>
  </si>
  <si>
    <t>Too many email requests</t>
  </si>
  <si>
    <t>May resist SLA accountability</t>
  </si>
  <si>
    <t>Provide approval queue, clear due dates, and training</t>
  </si>
  <si>
    <t>Approves invoices $5,000-$25,000</t>
  </si>
  <si>
    <t>Maintain spending oversight</t>
  </si>
  <si>
    <t>Escalation volume and visibility</t>
  </si>
  <si>
    <t>May view reporting as micromanagement</t>
  </si>
  <si>
    <t>Position as payment-risk and control visibility</t>
  </si>
  <si>
    <t>Approves invoices over $25,000 and owns financial controls</t>
  </si>
  <si>
    <t>Reduce late payments, improve visibility and controls</t>
  </si>
  <si>
    <t>Audit risk, missed discounts, scalability</t>
  </si>
  <si>
    <t>May expect automation immediately</t>
  </si>
  <si>
    <t>Emphasize standardize first, automate second</t>
  </si>
  <si>
    <t>Likely process owner for policy, KPIs, and controls</t>
  </si>
  <si>
    <t>Medium/High</t>
  </si>
  <si>
    <t>Improve controls and reporting</t>
  </si>
  <si>
    <t>Maintaining approval rules</t>
  </si>
  <si>
    <t>May be concerned about ownership burden</t>
  </si>
  <si>
    <t>Define governance cadence and owner responsibilities</t>
  </si>
  <si>
    <t>Accounting</t>
  </si>
  <si>
    <t>Enters approved invoices into Dynamics and schedules payment</t>
  </si>
  <si>
    <t>Receive complete payment-ready invoices</t>
  </si>
  <si>
    <t>Incomplete handoffs</t>
  </si>
  <si>
    <t>May resist if upstream process remains unclear</t>
  </si>
  <si>
    <t>Define handoff criteria and payment readiness rules</t>
  </si>
  <si>
    <t>IT / Dynamics Admin</t>
  </si>
  <si>
    <t>Supports workflow configuration and automation</t>
  </si>
  <si>
    <t>Implement feasible workflow</t>
  </si>
  <si>
    <t>Resource capacity and unclear requirements</t>
  </si>
  <si>
    <t>May resist vague requests</t>
  </si>
  <si>
    <t>Provide documented requirements and phased design</t>
  </si>
  <si>
    <t>Internal Audit / Compliance</t>
  </si>
  <si>
    <t>Reviews approval evidence and controls</t>
  </si>
  <si>
    <t>Low/Medium</t>
  </si>
  <si>
    <t>Reliable audit trail and retention</t>
  </si>
  <si>
    <t>May add strict controls late</t>
  </si>
  <si>
    <t>Include in audit trail and retention design</t>
  </si>
  <si>
    <t>Business Requirements Document — Invoice Approval Optimization</t>
  </si>
  <si>
    <t>ID</t>
  </si>
  <si>
    <t>Type</t>
  </si>
  <si>
    <t>Requirement</t>
  </si>
  <si>
    <t>BR-1</t>
  </si>
  <si>
    <t>Business</t>
  </si>
  <si>
    <t>The invoice approval process must reduce manual AP coordination effort.</t>
  </si>
  <si>
    <t>Proposed</t>
  </si>
  <si>
    <t>BR-2</t>
  </si>
  <si>
    <t>The process must improve visibility into invoice status.</t>
  </si>
  <si>
    <t>BR-3</t>
  </si>
  <si>
    <t>The process must reduce approval delays and late payment risk.</t>
  </si>
  <si>
    <t>BR-4</t>
  </si>
  <si>
    <t>The process must support approval rules based on department ownership and invoice amount.</t>
  </si>
  <si>
    <t>BR-5</t>
  </si>
  <si>
    <t>The process must support additional review for non-PO invoices.</t>
  </si>
  <si>
    <t>BR-6</t>
  </si>
  <si>
    <t>The process must improve audit readiness and evidence retrieval.</t>
  </si>
  <si>
    <t>Internal Audit</t>
  </si>
  <si>
    <t>FR-1</t>
  </si>
  <si>
    <t>Functional</t>
  </si>
  <si>
    <t>The tracker or workflow must capture invoice ID, vendor, amount, department, approver, status, dates, and comments.</t>
  </si>
  <si>
    <t>FR-2</t>
  </si>
  <si>
    <t>Invoices under $5,000 must route to the Department Manager.</t>
  </si>
  <si>
    <t>FR-3</t>
  </si>
  <si>
    <t>Invoices from $5,000 to $25,000 must route to the Director.</t>
  </si>
  <si>
    <t>FR-4</t>
  </si>
  <si>
    <t>Invoices over $25,000 must route to the Finance Director.</t>
  </si>
  <si>
    <t>FR-5</t>
  </si>
  <si>
    <t>Non-PO invoices must be flagged for additional review.</t>
  </si>
  <si>
    <t>FR-6</t>
  </si>
  <si>
    <t>The process must track exception types: missing PO, missing documentation, incorrect vendor information, duplicate invoice, and unclear ownership.</t>
  </si>
  <si>
    <t>FR-7</t>
  </si>
  <si>
    <t>Approval requests must include invoice details, supporting documentation, due date, and approval/rejection options.</t>
  </si>
  <si>
    <t>FR-8</t>
  </si>
  <si>
    <t>The process must send reminders for pending approvals.</t>
  </si>
  <si>
    <t>Phase 2</t>
  </si>
  <si>
    <t>FR-9</t>
  </si>
  <si>
    <t>The process must escalate overdue approvals according to defined rules.</t>
  </si>
  <si>
    <t>FR-10</t>
  </si>
  <si>
    <t>Leadership reporting must show pending invoices, aging, overdue approvals, cycle time, workload, payment risk, and department volume.</t>
  </si>
  <si>
    <t>NFR-1</t>
  </si>
  <si>
    <t>Non-Functional</t>
  </si>
  <si>
    <t>The process should be easy for approvers to use.</t>
  </si>
  <si>
    <t>NFR-2</t>
  </si>
  <si>
    <t>Approval records must be secure and auditable.</t>
  </si>
  <si>
    <t>NFR-3</t>
  </si>
  <si>
    <t>Reporting must be accurate and refreshed on a defined cadence.</t>
  </si>
  <si>
    <t>NFR-4</t>
  </si>
  <si>
    <t>The solution should support future integration or configuration with Dynamics 365.</t>
  </si>
  <si>
    <t>Phase 3</t>
  </si>
  <si>
    <t>User Stories &amp; Acceptance Criteria</t>
  </si>
  <si>
    <t>Story ID</t>
  </si>
  <si>
    <t>Phase</t>
  </si>
  <si>
    <t>Epic</t>
  </si>
  <si>
    <t>User Story</t>
  </si>
  <si>
    <t>Acceptance Criteria</t>
  </si>
  <si>
    <t>Dependencies</t>
  </si>
  <si>
    <t>US-01</t>
  </si>
  <si>
    <t>MVP</t>
  </si>
  <si>
    <t>Standardized Tracking</t>
  </si>
  <si>
    <t>As an AP Analyst, I want a standardized invoice tracker so that invoice status, aging, and ownership are visible and consistent.</t>
  </si>
  <si>
    <t>Tracker includes required fields; status values are standardized; invoice age is calculated; overdue invoices are flagged; exception reason is captured.</t>
  </si>
  <si>
    <t>Updated process definitions</t>
  </si>
  <si>
    <t>US-02</t>
  </si>
  <si>
    <t>Approval Governance</t>
  </si>
  <si>
    <t>As an AP Analyst, I want an updated approval matrix so that invoices can be routed without repeated clarification.</t>
  </si>
  <si>
    <t>Matrix includes department, manager, director, backup approver, thresholds, owner, review cadence, and effective date.</t>
  </si>
  <si>
    <t>Finance policy update</t>
  </si>
  <si>
    <t>US-03</t>
  </si>
  <si>
    <t>SLA Management</t>
  </si>
  <si>
    <t>As a Finance Manager, I want approval timelines defined so that overdue approvals can be identified and escalated.</t>
  </si>
  <si>
    <t>Approval SLA is documented; SLA start point is defined; overdue logic is defined; escalation timing is documented.</t>
  </si>
  <si>
    <t>Leadership approval</t>
  </si>
  <si>
    <t>US-04</t>
  </si>
  <si>
    <t>Reporting</t>
  </si>
  <si>
    <t>As a Finance Director, I want a weekly aging report so that I can see pending invoices, overdue approvals, and late payment risk.</t>
  </si>
  <si>
    <t>Report shows pending invoices by approver, age, department, amount, payment due date, overdue flag, and late payment risk.</t>
  </si>
  <si>
    <t>Standardized tracker</t>
  </si>
  <si>
    <t>US-05</t>
  </si>
  <si>
    <t>Workflow Routing</t>
  </si>
  <si>
    <t>As an AP Analyst, I want invoices routed automatically based on department and amount so that I spend less time manually determining approvers.</t>
  </si>
  <si>
    <t>Invoices route under $5K to Manager, $5K-$25K to Director, &gt;$25K to Finance Director; non-PO invoices are flagged.</t>
  </si>
  <si>
    <t>Updated matrix; workflow tool</t>
  </si>
  <si>
    <t>US-06</t>
  </si>
  <si>
    <t>Reminders</t>
  </si>
  <si>
    <t>As an AP Analyst, I want automated reminders sent to approvers so that I do not have to manually chase every pending approval.</t>
  </si>
  <si>
    <t>Reminder timing is configurable; reminder history is visible; reminders include vendor, amount, due date, and action needed.</t>
  </si>
  <si>
    <t>SLA rules; workflow tool</t>
  </si>
  <si>
    <t>US-07</t>
  </si>
  <si>
    <t>Escalations</t>
  </si>
  <si>
    <t>As a Finance Manager, I want overdue invoice approvals escalated so that invoices do not remain stuck without accountability.</t>
  </si>
  <si>
    <t>Escalations trigger after defined thresholds; recipients are role-based; history is retained; escalated invoices appear in reporting.</t>
  </si>
  <si>
    <t>Escalation model</t>
  </si>
  <si>
    <t>US-08</t>
  </si>
  <si>
    <t>Audit Trail</t>
  </si>
  <si>
    <t>As an auditor, I want approval history and supporting documentation stored centrally so that invoice evidence can be retrieved efficiently.</t>
  </si>
  <si>
    <t>Approval record includes approver, date, decision, comments; rejection reasons are captured; supporting documents are linked; records are searchable.</t>
  </si>
  <si>
    <t>Central repository/workflow</t>
  </si>
  <si>
    <t>US-09</t>
  </si>
  <si>
    <t>Future</t>
  </si>
  <si>
    <t>Dynamics Assessment</t>
  </si>
  <si>
    <t>As Finance leadership, I want to assess Dynamics 365 workflow capability so that we can decide whether the ERP supports the future state.</t>
  </si>
  <si>
    <t>Workflow options, configuration needs, integration points, support needs, cost, and effort are documented.</t>
  </si>
  <si>
    <t>IT assessment</t>
  </si>
  <si>
    <t>US-10</t>
  </si>
  <si>
    <t>AI Capture</t>
  </si>
  <si>
    <t>As an AP Analyst, I want invoice data extracted automatically from invoice attachments so that manual data entry is reduced.</t>
  </si>
  <si>
    <t>Vendor, invoice number, date, amount, and PO number are extracted; AP can correct; low-confidence fields are flagged.</t>
  </si>
  <si>
    <t>AP automation/OCR tool</t>
  </si>
  <si>
    <t>US-11</t>
  </si>
  <si>
    <t>Vendor Submission</t>
  </si>
  <si>
    <t>As a vendor, I want clear invoice submission requirements so that my invoices are processed without avoidable delays.</t>
  </si>
  <si>
    <t>Submission requirements are documented; required fields are communicated; missing information triggers exception handling.</t>
  </si>
  <si>
    <t>Vendor communication plan</t>
  </si>
  <si>
    <t>Implementation Roadmap — 30 / 60 / 90 Day Plan</t>
  </si>
  <si>
    <t>Timeline</t>
  </si>
  <si>
    <t>Workstream</t>
  </si>
  <si>
    <t>Activity</t>
  </si>
  <si>
    <t>Deliverable</t>
  </si>
  <si>
    <t>Risk / Dependency</t>
  </si>
  <si>
    <t>Phase 1 - Standardize</t>
  </si>
  <si>
    <t>First 30 Days</t>
  </si>
  <si>
    <t>Governance</t>
  </si>
  <si>
    <t>Update Finance approval policy</t>
  </si>
  <si>
    <t>Finance Manager / Finance Director</t>
  </si>
  <si>
    <t>Updated policy</t>
  </si>
  <si>
    <t>Not Started</t>
  </si>
  <si>
    <t>Leadership approval needed</t>
  </si>
  <si>
    <t>Validate approval matrix and backup approvers</t>
  </si>
  <si>
    <t>Finance + Department Leaders</t>
  </si>
  <si>
    <t>Updated approval matrix</t>
  </si>
  <si>
    <t>Manager/director availability</t>
  </si>
  <si>
    <t>Tracking</t>
  </si>
  <si>
    <t>Standardize Excel tracker fields and status values</t>
  </si>
  <si>
    <t>AP / Finance</t>
  </si>
  <si>
    <t>Standard tracker</t>
  </si>
  <si>
    <t>In Progress</t>
  </si>
  <si>
    <t>Consistency across AP Analysts</t>
  </si>
  <si>
    <t>Controls</t>
  </si>
  <si>
    <t>Define exception reason codes</t>
  </si>
  <si>
    <t>Exception code list</t>
  </si>
  <si>
    <t>Days 31-60</t>
  </si>
  <si>
    <t>SLA</t>
  </si>
  <si>
    <t>Define approval SLA and overdue logic</t>
  </si>
  <si>
    <t>Finance Leadership</t>
  </si>
  <si>
    <t>Approved SLA model</t>
  </si>
  <si>
    <t>Manager adoption</t>
  </si>
  <si>
    <t>Build weekly invoice aging report</t>
  </si>
  <si>
    <t>AP / Finance Analyst</t>
  </si>
  <si>
    <t>Aging report</t>
  </si>
  <si>
    <t>Tracker data quality</t>
  </si>
  <si>
    <t>KPIs</t>
  </si>
  <si>
    <t>Establish KPI baseline</t>
  </si>
  <si>
    <t>Baseline KPI report</t>
  </si>
  <si>
    <t>30-60 days of clean data</t>
  </si>
  <si>
    <t>Phase 2 - Automate</t>
  </si>
  <si>
    <t>Days 61-90</t>
  </si>
  <si>
    <t>Workflow</t>
  </si>
  <si>
    <t>Document workflow requirements</t>
  </si>
  <si>
    <t>Finance / AP</t>
  </si>
  <si>
    <t>Workflow requirements</t>
  </si>
  <si>
    <t>Phase 1 decisions</t>
  </si>
  <si>
    <t>Automation</t>
  </si>
  <si>
    <t>Define reminder and escalation rules</t>
  </si>
  <si>
    <t>Finance / IT</t>
  </si>
  <si>
    <t>Reminder/escalation design</t>
  </si>
  <si>
    <t>SLA rules</t>
  </si>
  <si>
    <t>Pilot</t>
  </si>
  <si>
    <t>Pilot with high-volume department</t>
  </si>
  <si>
    <t>Project Team</t>
  </si>
  <si>
    <t>Pilot results</t>
  </si>
  <si>
    <t>Department selection</t>
  </si>
  <si>
    <t>Phase 3 - Platform Decision</t>
  </si>
  <si>
    <t>Technology</t>
  </si>
  <si>
    <t>Assess Dynamics 365 workflow capability</t>
  </si>
  <si>
    <t>IT / Finance</t>
  </si>
  <si>
    <t>Dynamics feasibility assessment</t>
  </si>
  <si>
    <t>IT capacity</t>
  </si>
  <si>
    <t>Evaluate AP automation software options</t>
  </si>
  <si>
    <t>Software comparison</t>
  </si>
  <si>
    <t>Budget and procurement process</t>
  </si>
  <si>
    <t>Field</t>
  </si>
  <si>
    <t>Definition</t>
  </si>
  <si>
    <t>Notes</t>
  </si>
  <si>
    <t>Number of days from Date Received to today.</t>
  </si>
  <si>
    <t>Formula-driven using TODAY().</t>
  </si>
  <si>
    <t>Number of days from Date Received to Approval Date.</t>
  </si>
  <si>
    <t>Blank until approval date exists.</t>
  </si>
  <si>
    <t>Payment Due Date minus today.</t>
  </si>
  <si>
    <t>Used to identify payment risk.</t>
  </si>
  <si>
    <t>Flags pending approvals older than SLA assumption.</t>
  </si>
  <si>
    <t>Current model uses &gt;5 days as sample SLA assumption.</t>
  </si>
  <si>
    <t>Flags unpaid/rejected invoices due within 7 days.</t>
  </si>
  <si>
    <t>Supports leadership visibility.</t>
  </si>
  <si>
    <t>Invoice Tracker / Exception Log</t>
  </si>
  <si>
    <t>Known issue category impacting routing, validation, or auditability.</t>
  </si>
  <si>
    <t>Aligned to discovery findings.</t>
  </si>
  <si>
    <t>Department and amount-based approval routing rules.</t>
  </si>
  <si>
    <t>Must be governed and reviewed quarterly.</t>
  </si>
  <si>
    <t>Program stage: standardize, automate, platform decision.</t>
  </si>
  <si>
    <t>Matches leadership’s phased preference.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</si>
</sst>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
    <numFmt numFmtId="166" formatCode="0.0%"/>
    <numFmt numFmtId="167" formatCode="0.0"/>
  </numFmts>
  <fonts count="8">
    <font>
      <sz val="11"/>
      <name val="Carlito"/>
    </font>
    <font>
      <b/>
      <sz val="11"/>
      <color rgb="FFFFFFFF"/>
      <name val="Carlito"/>
    </font>
    <font>
      <b/>
      <sz val="14"/>
      <color rgb="FFFFFFFF"/>
      <name val="Carlito"/>
    </font>
    <font>
      <sz val="11"/>
      <color rgb="FF92400E"/>
      <name val="Carlito"/>
    </font>
    <font>
      <b/>
      <sz val="11"/>
      <color rgb="FF111827"/>
      <name val="Carlito"/>
    </font>
    <font>
      <b/>
      <sz val="16"/>
      <color rgb="FF111827"/>
      <name val="Carlito"/>
    </font>
    <font>
      <sz val="8"/>
      <color rgb="FF4B5563"/>
      <name val="Carlito"/>
    </font>
    <font>
      <b/>
      <sz val="11"/>
      <color theme="0"/>
      <name val="Carlito"/>
    </font>
  </fonts>
  <fills count="8">
    <fill>
      <patternFill patternType="none"/>
    </fill>
    <fill>
      <patternFill patternType="gray125"/>
    </fill>
    <fill>
      <patternFill patternType="solid">
        <fgColor rgb="FF374151"/>
      </patternFill>
    </fill>
    <fill>
      <patternFill patternType="solid">
        <fgColor rgb="FF1F2937"/>
      </patternFill>
    </fill>
    <fill>
      <patternFill patternType="solid">
        <fgColor rgb="FF0F766E"/>
      </patternFill>
    </fill>
    <fill>
      <patternFill patternType="solid">
        <fgColor rgb="FFFEF3C7"/>
      </patternFill>
    </fill>
    <fill>
      <patternFill patternType="solid">
        <fgColor rgb="FFFFFFFF"/>
      </patternFill>
    </fill>
    <fill>
      <patternFill patternType="solid">
        <fgColor rgb="FFE5E7EB"/>
      </patternFill>
    </fill>
  </fills>
  <borders count="1">
    <border>
      <left/>
      <right/>
      <top/>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wrapText="1"/>
    </xf>
    <xf numFmtId="0" fontId="0" fillId="0" borderId="0" xfId="0" applyAlignment="1">
      <alignment wrapText="1"/>
    </xf>
    <xf numFmtId="164" fontId="0" fillId="0" borderId="0" xfId="0" applyNumberFormat="1" applyAlignment="1">
      <alignment wrapText="1"/>
    </xf>
    <xf numFmtId="165" fontId="0" fillId="0" borderId="0" xfId="0" applyNumberFormat="1" applyAlignment="1">
      <alignment wrapText="1"/>
    </xf>
    <xf numFmtId="0" fontId="0" fillId="0" borderId="0" xfId="0" applyAlignment="1">
      <alignment vertical="center"/>
    </xf>
    <xf numFmtId="166" fontId="0" fillId="0" borderId="0" xfId="0" applyNumberFormat="1"/>
    <xf numFmtId="167" fontId="0" fillId="0" borderId="0" xfId="0" applyNumberFormat="1"/>
    <xf numFmtId="0" fontId="0" fillId="0" borderId="0" xfId="0" applyAlignment="1">
      <alignment vertical="top"/>
    </xf>
    <xf numFmtId="0" fontId="1" fillId="2" borderId="0" xfId="0" applyFont="1" applyFill="1" applyAlignment="1">
      <alignment horizontal="center" vertical="top" wrapText="1"/>
    </xf>
    <xf numFmtId="0" fontId="2" fillId="3" borderId="0" xfId="0" applyFont="1" applyFill="1" applyAlignment="1">
      <alignment horizontal="left" vertical="top"/>
    </xf>
    <xf numFmtId="0" fontId="0" fillId="0" borderId="0" xfId="0" applyAlignment="1">
      <alignment vertical="top"/>
    </xf>
    <xf numFmtId="0" fontId="1" fillId="4" borderId="0" xfId="0" applyFont="1" applyFill="1" applyAlignment="1">
      <alignment horizontal="left" vertical="center"/>
    </xf>
    <xf numFmtId="0" fontId="0" fillId="0" borderId="0" xfId="0"/>
    <xf numFmtId="0" fontId="0" fillId="0" borderId="0" xfId="0" applyAlignment="1">
      <alignment wrapText="1"/>
    </xf>
    <xf numFmtId="0" fontId="3" fillId="5" borderId="0" xfId="0" applyFont="1" applyFill="1" applyAlignment="1">
      <alignment wrapText="1"/>
    </xf>
    <xf numFmtId="0" fontId="4" fillId="7" borderId="0" xfId="0" applyFont="1" applyFill="1" applyAlignment="1">
      <alignment horizontal="center" vertical="center" wrapText="1"/>
    </xf>
    <xf numFmtId="0" fontId="5" fillId="6" borderId="0" xfId="0" applyFont="1" applyFill="1" applyAlignment="1">
      <alignment vertical="center" wrapText="1"/>
    </xf>
    <xf numFmtId="0" fontId="6" fillId="6" borderId="0" xfId="0" applyFont="1" applyFill="1" applyAlignment="1">
      <alignment vertical="center" wrapText="1"/>
    </xf>
    <xf numFmtId="0" fontId="6" fillId="6" borderId="0" xfId="0" applyFont="1" applyFill="1" applyAlignment="1">
      <alignment wrapText="1"/>
    </xf>
    <xf numFmtId="167" fontId="5" fillId="6" borderId="0" xfId="0" applyNumberFormat="1" applyFont="1" applyFill="1" applyAlignment="1">
      <alignment vertical="center" wrapText="1"/>
    </xf>
    <xf numFmtId="166" fontId="5" fillId="6" borderId="0" xfId="0" applyNumberFormat="1" applyFont="1" applyFill="1" applyAlignment="1">
      <alignment vertical="center" wrapText="1"/>
    </xf>
    <xf numFmtId="0" fontId="7" fillId="2" borderId="0" xfId="0" applyFont="1" applyFill="1" applyAlignment="1">
      <alignment horizontal="center" vertical="center" wrapText="1"/>
    </xf>
    <xf numFmtId="164" fontId="0" fillId="0" borderId="0" xfId="0" applyNumberFormat="1" applyFont="1" applyAlignment="1">
      <alignment wrapText="1"/>
    </xf>
  </cellXfs>
  <cellStyles count="1">
    <cellStyle name="Normal" xfId="0" builtinId="0"/>
  </cellStyles>
  <dxfs count="4">
    <dxf>
      <font>
        <strike val="0"/>
        <outline val="0"/>
        <shadow val="0"/>
        <u val="none"/>
        <vertAlign val="baseline"/>
        <sz val="11"/>
        <color auto="1"/>
        <name val="Carlito"/>
        <scheme val="none"/>
      </font>
    </dxf>
    <dxf>
      <font>
        <b/>
        <color rgb="FF92400E"/>
      </font>
      <fill>
        <patternFill patternType="solid">
          <bgColor rgb="FFFEF3C7"/>
        </patternFill>
      </fill>
    </dxf>
    <dxf>
      <font>
        <b/>
        <color rgb="FF991B1B"/>
      </font>
      <fill>
        <patternFill patternType="solid">
          <bgColor rgb="FFFEE2E2"/>
        </patternFill>
      </fill>
    </dxf>
    <dxf>
      <font>
        <color rgb="FF3730A3"/>
      </font>
      <fill>
        <patternFill patternType="solid">
          <bgColor rgb="FFE0E7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Invoices by Status</a:t>
            </a:r>
          </a:p>
        </c:rich>
      </c:tx>
      <c:overlay val="0"/>
    </c:title>
    <c:autoTitleDeleted val="0"/>
    <c:plotArea>
      <c:layout/>
      <c:barChart>
        <c:barDir val="col"/>
        <c:grouping val="clustered"/>
        <c:varyColors val="0"/>
        <c:ser>
          <c:idx val="0"/>
          <c:order val="0"/>
          <c:tx>
            <c:v>Count</c:v>
          </c:tx>
          <c:invertIfNegative val="1"/>
          <c:cat>
            <c:strRef>
              <c:f>'KPI Dashboard'!$A$13:$A$20</c:f>
              <c:strCache>
                <c:ptCount val="8"/>
                <c:pt idx="0">
                  <c:v>Received</c:v>
                </c:pt>
                <c:pt idx="1">
                  <c:v>In Validation</c:v>
                </c:pt>
                <c:pt idx="2">
                  <c:v>Pending Approval</c:v>
                </c:pt>
                <c:pt idx="3">
                  <c:v>Approved</c:v>
                </c:pt>
                <c:pt idx="4">
                  <c:v>Rejected</c:v>
                </c:pt>
                <c:pt idx="5">
                  <c:v>Exception</c:v>
                </c:pt>
                <c:pt idx="6">
                  <c:v>Sent to Accounting</c:v>
                </c:pt>
                <c:pt idx="7">
                  <c:v>Paid</c:v>
                </c:pt>
              </c:strCache>
            </c:strRef>
          </c:cat>
          <c:val>
            <c:numRef>
              <c:f>'KPI Dashboard'!$B$13:$B$20</c:f>
              <c:numCache>
                <c:formatCode>General</c:formatCode>
                <c:ptCount val="8"/>
                <c:pt idx="0">
                  <c:v>21</c:v>
                </c:pt>
                <c:pt idx="1">
                  <c:v>28</c:v>
                </c:pt>
                <c:pt idx="2">
                  <c:v>21</c:v>
                </c:pt>
                <c:pt idx="3">
                  <c:v>14</c:v>
                </c:pt>
                <c:pt idx="4">
                  <c:v>4</c:v>
                </c:pt>
                <c:pt idx="5">
                  <c:v>24</c:v>
                </c:pt>
                <c:pt idx="6">
                  <c:v>43</c:v>
                </c:pt>
                <c:pt idx="7">
                  <c:v>25</c:v>
                </c:pt>
              </c:numCache>
            </c:numRef>
          </c:val>
          <c:extLst>
            <c:ext xmlns:c16="http://schemas.microsoft.com/office/drawing/2014/chart" uri="{C3380CC4-5D6E-409C-BE32-E72D297353CC}">
              <c16:uniqueId val="{00000000-67E3-4402-83E1-3347B8C90E9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Exceptions by Type</a:t>
            </a:r>
          </a:p>
        </c:rich>
      </c:tx>
      <c:overlay val="0"/>
    </c:title>
    <c:autoTitleDeleted val="0"/>
    <c:plotArea>
      <c:layout/>
      <c:barChart>
        <c:barDir val="col"/>
        <c:grouping val="clustered"/>
        <c:varyColors val="0"/>
        <c:ser>
          <c:idx val="0"/>
          <c:order val="0"/>
          <c:tx>
            <c:v>Count</c:v>
          </c:tx>
          <c:invertIfNegative val="1"/>
          <c:cat>
            <c:strRef>
              <c:f>'KPI Dashboard'!$E$13:$E$18</c:f>
              <c:strCache>
                <c:ptCount val="6"/>
                <c:pt idx="0">
                  <c:v>None</c:v>
                </c:pt>
                <c:pt idx="1">
                  <c:v>Missing PO</c:v>
                </c:pt>
                <c:pt idx="2">
                  <c:v>Missing Documentation</c:v>
                </c:pt>
                <c:pt idx="3">
                  <c:v>Incorrect Vendor Info</c:v>
                </c:pt>
                <c:pt idx="4">
                  <c:v>Duplicate Invoice</c:v>
                </c:pt>
                <c:pt idx="5">
                  <c:v>Unclear Department Ownership</c:v>
                </c:pt>
              </c:strCache>
            </c:strRef>
          </c:cat>
          <c:val>
            <c:numRef>
              <c:f>'KPI Dashboard'!$F$13:$F$18</c:f>
              <c:numCache>
                <c:formatCode>General</c:formatCode>
                <c:ptCount val="6"/>
                <c:pt idx="0">
                  <c:v>132</c:v>
                </c:pt>
                <c:pt idx="1">
                  <c:v>8</c:v>
                </c:pt>
                <c:pt idx="2">
                  <c:v>10</c:v>
                </c:pt>
                <c:pt idx="3">
                  <c:v>9</c:v>
                </c:pt>
                <c:pt idx="4">
                  <c:v>9</c:v>
                </c:pt>
                <c:pt idx="5">
                  <c:v>12</c:v>
                </c:pt>
              </c:numCache>
            </c:numRef>
          </c:val>
          <c:extLst>
            <c:ext xmlns:c16="http://schemas.microsoft.com/office/drawing/2014/chart" uri="{C3380CC4-5D6E-409C-BE32-E72D297353CC}">
              <c16:uniqueId val="{00000000-52D7-4950-AF7C-619DBADC6FC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28</xdr:row>
      <xdr:rowOff>0</xdr:rowOff>
    </xdr:from>
    <xdr:to>
      <xdr:col>7</xdr:col>
      <xdr:colOff>0</xdr:colOff>
      <xdr:row>45</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28</xdr:row>
      <xdr:rowOff>0</xdr:rowOff>
    </xdr:from>
    <xdr:to>
      <xdr:col>14</xdr:col>
      <xdr:colOff>0</xdr:colOff>
      <xdr:row>45</xdr:row>
      <xdr:rowOff>0</xdr:rowOff>
    </xdr:to>
    <xdr:graphicFrame macro="">
      <xdr:nvGraphicFramePr>
        <xdr:cNvPr id="3" nam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InvoiceTrackerTable" displayName="InvoiceTrackerTable" ref="A3:V183">
  <tableColumns count="22">
    <tableColumn id="1" xr3:uid="{00000000-0010-0000-0000-000001000000}" name="Invoice ID"/>
    <tableColumn id="2" xr3:uid="{00000000-0010-0000-0000-000002000000}" name="Vendor Name"/>
    <tableColumn id="3" xr3:uid="{00000000-0010-0000-0000-000003000000}" name="Invoice Number"/>
    <tableColumn id="4" xr3:uid="{00000000-0010-0000-0000-000004000000}" name="Invoice Amount"/>
    <tableColumn id="5" xr3:uid="{00000000-0010-0000-0000-000005000000}" name="Department"/>
    <tableColumn id="6" xr3:uid="{00000000-0010-0000-0000-000006000000}" name="Invoice Type"/>
    <tableColumn id="7" xr3:uid="{00000000-0010-0000-0000-000007000000}" name="PO Number"/>
    <tableColumn id="8" xr3:uid="{00000000-0010-0000-0000-000008000000}" name="Date Received"/>
    <tableColumn id="9" xr3:uid="{00000000-0010-0000-0000-000009000000}" name="Payment Due Date"/>
    <tableColumn id="10" xr3:uid="{00000000-0010-0000-0000-00000A000000}" name="Approver"/>
    <tableColumn id="11" xr3:uid="{00000000-0010-0000-0000-00000B000000}" name="Approver Role"/>
    <tableColumn id="12" xr3:uid="{00000000-0010-0000-0000-00000C000000}" name="AP Owner"/>
    <tableColumn id="13" xr3:uid="{00000000-0010-0000-0000-00000D000000}" name="Status"/>
    <tableColumn id="14" xr3:uid="{00000000-0010-0000-0000-00000E000000}" name="Exception Type"/>
    <tableColumn id="15" xr3:uid="{00000000-0010-0000-0000-00000F000000}" name="Approval Date"/>
    <tableColumn id="16" xr3:uid="{00000000-0010-0000-0000-000010000000}" name="Payment Date"/>
    <tableColumn id="17" xr3:uid="{00000000-0010-0000-0000-000011000000}" name="Priority"/>
    <tableColumn id="18" xr3:uid="{00000000-0010-0000-0000-000012000000}" name="Invoice Age Days"/>
    <tableColumn id="19" xr3:uid="{00000000-0010-0000-0000-000013000000}" name="Approval Cycle Days"/>
    <tableColumn id="20" xr3:uid="{00000000-0010-0000-0000-000014000000}" name="Days Until Due"/>
    <tableColumn id="21" xr3:uid="{00000000-0010-0000-0000-000015000000}" name="Overdue Approval Flag"/>
    <tableColumn id="22" xr3:uid="{00000000-0010-0000-0000-000016000000}" name="Late Payment Ris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ApprovalMatrixTable" displayName="ApprovalMatrixTable" ref="A3:I15">
  <tableColumns count="9">
    <tableColumn id="1" xr3:uid="{00000000-0010-0000-0100-000001000000}" name="Department"/>
    <tableColumn id="2" xr3:uid="{00000000-0010-0000-0100-000002000000}" name="Manager Approver"/>
    <tableColumn id="3" xr3:uid="{00000000-0010-0000-0100-000003000000}" name="Director Approver"/>
    <tableColumn id="4" xr3:uid="{00000000-0010-0000-0100-000004000000}" name="Backup Approver"/>
    <tableColumn id="5" xr3:uid="{00000000-0010-0000-0100-000005000000}" name="Under $5K"/>
    <tableColumn id="6" xr3:uid="{00000000-0010-0000-0100-000006000000}" name="$5K-$25K"/>
    <tableColumn id="7" xr3:uid="{00000000-0010-0000-0100-000007000000}" name="Over $25K"/>
    <tableColumn id="8" xr3:uid="{00000000-0010-0000-0100-000008000000}" name="Policy Status"/>
    <tableColumn id="9" xr3:uid="{00000000-0010-0000-0100-000009000000}" name="Last Validated"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xceptionLogTable" displayName="ExceptionLogTable" ref="A3:K51">
  <tableColumns count="11">
    <tableColumn id="1" xr3:uid="{00000000-0010-0000-0200-000001000000}" name="Exception ID"/>
    <tableColumn id="2" xr3:uid="{00000000-0010-0000-0200-000002000000}" name="Invoice ID"/>
    <tableColumn id="3" xr3:uid="{00000000-0010-0000-0200-000003000000}" name="Date Identified"/>
    <tableColumn id="4" xr3:uid="{00000000-0010-0000-0200-000004000000}" name="Exception Type"/>
    <tableColumn id="5" xr3:uid="{00000000-0010-0000-0200-000005000000}" name="Department"/>
    <tableColumn id="6" xr3:uid="{00000000-0010-0000-0200-000006000000}" name="Vendor"/>
    <tableColumn id="7" xr3:uid="{00000000-0010-0000-0200-000007000000}" name="Invoice Amount"/>
    <tableColumn id="8" xr3:uid="{00000000-0010-0000-0200-000008000000}" name="Owner"/>
    <tableColumn id="9" xr3:uid="{00000000-0010-0000-0200-000009000000}" name="Status"/>
    <tableColumn id="10" xr3:uid="{00000000-0010-0000-0200-00000A000000}" name="Resolution Notes"/>
    <tableColumn id="11" xr3:uid="{00000000-0010-0000-0200-00000B000000}" name="Control Impac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takeholderTable" displayName="StakeholderTable" ref="A3:J12">
  <tableColumns count="10">
    <tableColumn id="1" xr3:uid="{00000000-0010-0000-0300-000001000000}" name="Stakeholder"/>
    <tableColumn id="2" xr3:uid="{00000000-0010-0000-0300-000002000000}" name="Role"/>
    <tableColumn id="3" xr3:uid="{00000000-0010-0000-0300-000003000000}" name="Influence"/>
    <tableColumn id="4" xr3:uid="{00000000-0010-0000-0300-000004000000}" name="Interest"/>
    <tableColumn id="5" xr3:uid="{00000000-0010-0000-0300-000005000000}" name="Decision Authority"/>
    <tableColumn id="6" xr3:uid="{00000000-0010-0000-0300-000006000000}" name="Process Ownership"/>
    <tableColumn id="7" xr3:uid="{00000000-0010-0000-0300-000007000000}" name="Goals"/>
    <tableColumn id="8" xr3:uid="{00000000-0010-0000-0300-000008000000}" name="Concerns"/>
    <tableColumn id="9" xr3:uid="{00000000-0010-0000-0300-000009000000}" name="Potential Resistance"/>
    <tableColumn id="10" xr3:uid="{00000000-0010-0000-0300-00000A000000}" name="Engagement Strateg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quirementsTable" displayName="RequirementsTable" ref="A3:F23">
  <tableColumns count="6">
    <tableColumn id="1" xr3:uid="{00000000-0010-0000-0400-000001000000}" name="ID"/>
    <tableColumn id="2" xr3:uid="{00000000-0010-0000-0400-000002000000}" name="Type"/>
    <tableColumn id="3" xr3:uid="{00000000-0010-0000-0400-000003000000}" name="Requirement"/>
    <tableColumn id="4" xr3:uid="{00000000-0010-0000-0400-000004000000}" name="Priority"/>
    <tableColumn id="5" xr3:uid="{00000000-0010-0000-0400-000005000000}" name="Owner"/>
    <tableColumn id="6" xr3:uid="{00000000-0010-0000-0400-000006000000}" name="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UserStoriesTable" displayName="UserStoriesTable" ref="A3:G14">
  <tableColumns count="7">
    <tableColumn id="1" xr3:uid="{00000000-0010-0000-0500-000001000000}" name="Story ID"/>
    <tableColumn id="2" xr3:uid="{00000000-0010-0000-0500-000002000000}" name="Phase"/>
    <tableColumn id="3" xr3:uid="{00000000-0010-0000-0500-000003000000}" name="Epic"/>
    <tableColumn id="4" xr3:uid="{00000000-0010-0000-0500-000004000000}" name="User Story"/>
    <tableColumn id="5" xr3:uid="{00000000-0010-0000-0500-000005000000}" name="Acceptance Criteria"/>
    <tableColumn id="6" xr3:uid="{00000000-0010-0000-0500-000006000000}" name="Priority"/>
    <tableColumn id="7" xr3:uid="{00000000-0010-0000-0500-000007000000}" name="Dependenci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oadmapTable" displayName="RoadmapTable" ref="A3:H15">
  <tableColumns count="8">
    <tableColumn id="1" xr3:uid="{00000000-0010-0000-0600-000001000000}" name="Phase"/>
    <tableColumn id="2" xr3:uid="{00000000-0010-0000-0600-000002000000}" name="Timeline"/>
    <tableColumn id="3" xr3:uid="{00000000-0010-0000-0600-000003000000}" name="Workstream"/>
    <tableColumn id="4" xr3:uid="{00000000-0010-0000-0600-000004000000}" name="Activity"/>
    <tableColumn id="5" xr3:uid="{00000000-0010-0000-0600-000005000000}" name="Owner"/>
    <tableColumn id="6" xr3:uid="{00000000-0010-0000-0600-000006000000}" name="Deliverable"/>
    <tableColumn id="7" xr3:uid="{00000000-0010-0000-0600-000007000000}" name="Status"/>
    <tableColumn id="8" xr3:uid="{00000000-0010-0000-0600-000008000000}" name="Risk / Dependenc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DataDictionaryTable" displayName="DataDictionaryTable" ref="A3:D11">
  <tableColumns count="4">
    <tableColumn id="1" xr3:uid="{00000000-0010-0000-0700-000001000000}" name="Field"/>
    <tableColumn id="2" xr3:uid="{00000000-0010-0000-0700-000002000000}" name="Sheet"/>
    <tableColumn id="3" xr3:uid="{00000000-0010-0000-0700-000003000000}" name="Definition"/>
    <tableColumn id="4" xr3:uid="{00000000-0010-0000-0700-000004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7"/>
  <sheetViews>
    <sheetView tabSelected="1" workbookViewId="0">
      <selection sqref="A1:H1"/>
    </sheetView>
  </sheetViews>
  <sheetFormatPr defaultRowHeight="14"/>
  <cols>
    <col min="1" max="1" width="28" customWidth="1"/>
    <col min="2" max="2" width="80" customWidth="1"/>
  </cols>
  <sheetData>
    <row r="1" spans="1:26" ht="18.649999999999999" customHeight="1">
      <c r="A1" s="10" t="s">
        <v>0</v>
      </c>
      <c r="B1" s="11"/>
      <c r="C1" s="11"/>
      <c r="D1" s="11"/>
      <c r="E1" s="11"/>
      <c r="F1" s="11"/>
      <c r="G1" s="11"/>
      <c r="H1" s="11"/>
      <c r="I1" s="8"/>
      <c r="J1" s="8"/>
      <c r="K1" s="8"/>
      <c r="L1" s="8"/>
      <c r="M1" s="8"/>
      <c r="N1" s="8"/>
      <c r="O1" s="8"/>
      <c r="P1" s="8"/>
      <c r="Q1" s="8"/>
      <c r="R1" s="8"/>
      <c r="S1" s="8"/>
      <c r="T1" s="8"/>
      <c r="U1" s="8"/>
      <c r="V1" s="8"/>
      <c r="W1" s="8"/>
      <c r="X1" s="8"/>
      <c r="Y1" s="8"/>
      <c r="Z1" s="8"/>
    </row>
    <row r="3" spans="1:26">
      <c r="A3" s="12" t="s">
        <v>1</v>
      </c>
      <c r="B3" s="13"/>
      <c r="C3" s="13"/>
      <c r="D3" s="13"/>
      <c r="E3" s="13"/>
      <c r="F3" s="13"/>
      <c r="G3" s="13"/>
      <c r="H3" s="13"/>
    </row>
    <row r="4" spans="1:26">
      <c r="A4" s="14" t="s">
        <v>2</v>
      </c>
      <c r="B4" s="13"/>
      <c r="C4" s="13"/>
      <c r="D4" s="13"/>
      <c r="E4" s="13"/>
      <c r="F4" s="13"/>
      <c r="G4" s="13"/>
      <c r="H4" s="13"/>
    </row>
    <row r="5" spans="1:26">
      <c r="A5" s="13"/>
      <c r="B5" s="13"/>
      <c r="C5" s="13"/>
      <c r="D5" s="13"/>
      <c r="E5" s="13"/>
      <c r="F5" s="13"/>
      <c r="G5" s="13"/>
      <c r="H5" s="13"/>
    </row>
    <row r="7" spans="1:26">
      <c r="A7" s="1" t="s">
        <v>3</v>
      </c>
      <c r="B7" s="1" t="s">
        <v>4</v>
      </c>
    </row>
    <row r="8" spans="1:26" ht="28">
      <c r="A8" s="2" t="s">
        <v>5</v>
      </c>
      <c r="B8" s="2" t="s">
        <v>6</v>
      </c>
    </row>
    <row r="9" spans="1:26" ht="28">
      <c r="A9" s="2" t="s">
        <v>7</v>
      </c>
      <c r="B9" s="2" t="s">
        <v>8</v>
      </c>
    </row>
    <row r="10" spans="1:26">
      <c r="A10" s="2" t="s">
        <v>9</v>
      </c>
      <c r="B10" s="2" t="s">
        <v>10</v>
      </c>
    </row>
    <row r="11" spans="1:26" ht="28">
      <c r="A11" s="2" t="s">
        <v>11</v>
      </c>
      <c r="B11" s="2" t="s">
        <v>12</v>
      </c>
    </row>
    <row r="12" spans="1:26">
      <c r="A12" s="2" t="s">
        <v>13</v>
      </c>
      <c r="B12" s="2" t="s">
        <v>14</v>
      </c>
    </row>
    <row r="13" spans="1:26">
      <c r="A13" s="2" t="s">
        <v>15</v>
      </c>
      <c r="B13" s="2" t="s">
        <v>16</v>
      </c>
    </row>
    <row r="14" spans="1:26">
      <c r="A14" s="2" t="s">
        <v>17</v>
      </c>
      <c r="B14" s="2" t="s">
        <v>18</v>
      </c>
    </row>
    <row r="15" spans="1:26">
      <c r="A15" s="2" t="s">
        <v>19</v>
      </c>
      <c r="B15" s="2" t="s">
        <v>20</v>
      </c>
    </row>
    <row r="16" spans="1:26">
      <c r="A16" s="2" t="s">
        <v>21</v>
      </c>
      <c r="B16" s="2" t="s">
        <v>22</v>
      </c>
    </row>
    <row r="17" spans="1:2">
      <c r="A17" s="2"/>
      <c r="B17" s="2"/>
    </row>
  </sheetData>
  <mergeCells count="3">
    <mergeCell ref="A1:H1"/>
    <mergeCell ref="A3:H3"/>
    <mergeCell ref="A4:H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83"/>
  <sheetViews>
    <sheetView topLeftCell="K18" workbookViewId="0">
      <selection activeCell="O5" sqref="O5"/>
    </sheetView>
  </sheetViews>
  <sheetFormatPr defaultColWidth="11.83203125" defaultRowHeight="14"/>
  <sheetData>
    <row r="1" spans="1:26" ht="18">
      <c r="A1" s="10" t="s">
        <v>23</v>
      </c>
      <c r="B1" s="11"/>
      <c r="C1" s="11"/>
      <c r="D1" s="11"/>
      <c r="E1" s="11"/>
      <c r="F1" s="11"/>
      <c r="G1" s="11"/>
      <c r="H1" s="11"/>
      <c r="I1" s="11"/>
      <c r="J1" s="11"/>
      <c r="K1" s="11"/>
      <c r="L1" s="11"/>
      <c r="M1" s="11"/>
      <c r="N1" s="11"/>
      <c r="O1" s="11"/>
      <c r="P1" s="11"/>
      <c r="Q1" s="11"/>
      <c r="R1" s="11"/>
      <c r="S1" s="11"/>
      <c r="T1" s="11"/>
      <c r="U1" s="11"/>
      <c r="V1" s="11"/>
      <c r="W1" s="8"/>
      <c r="X1" s="8"/>
      <c r="Y1" s="8"/>
      <c r="Z1" s="8"/>
    </row>
    <row r="3" spans="1:26" ht="28">
      <c r="A3" s="1" t="s">
        <v>24</v>
      </c>
      <c r="B3" s="1" t="s">
        <v>25</v>
      </c>
      <c r="C3" s="1" t="s">
        <v>26</v>
      </c>
      <c r="D3" s="1" t="s">
        <v>27</v>
      </c>
      <c r="E3" s="1" t="s">
        <v>28</v>
      </c>
      <c r="F3" s="1" t="s">
        <v>29</v>
      </c>
      <c r="G3" s="1" t="s">
        <v>30</v>
      </c>
      <c r="H3" s="1" t="s">
        <v>31</v>
      </c>
      <c r="I3" s="1" t="s">
        <v>32</v>
      </c>
      <c r="J3" s="1" t="s">
        <v>33</v>
      </c>
      <c r="K3" s="1" t="s">
        <v>34</v>
      </c>
      <c r="L3" s="1" t="s">
        <v>35</v>
      </c>
      <c r="M3" s="1" t="s">
        <v>36</v>
      </c>
      <c r="N3" s="1" t="s">
        <v>37</v>
      </c>
      <c r="O3" s="1" t="s">
        <v>38</v>
      </c>
      <c r="P3" s="1" t="s">
        <v>39</v>
      </c>
      <c r="Q3" s="1" t="s">
        <v>40</v>
      </c>
      <c r="R3" s="1" t="s">
        <v>41</v>
      </c>
      <c r="S3" s="1" t="s">
        <v>42</v>
      </c>
      <c r="T3" s="1" t="s">
        <v>43</v>
      </c>
      <c r="U3" s="1" t="s">
        <v>44</v>
      </c>
      <c r="V3" s="1" t="s">
        <v>45</v>
      </c>
    </row>
    <row r="4" spans="1:26" ht="28">
      <c r="A4" s="2" t="s">
        <v>46</v>
      </c>
      <c r="B4" s="2" t="s">
        <v>47</v>
      </c>
      <c r="C4" s="2" t="s">
        <v>48</v>
      </c>
      <c r="D4" s="4">
        <v>16809.259999999998</v>
      </c>
      <c r="E4" s="2" t="s">
        <v>49</v>
      </c>
      <c r="F4" s="2" t="s">
        <v>50</v>
      </c>
      <c r="G4" s="2" t="s">
        <v>51</v>
      </c>
      <c r="H4" s="3">
        <v>46145</v>
      </c>
      <c r="I4" s="3">
        <v>46160</v>
      </c>
      <c r="J4" s="2" t="s">
        <v>52</v>
      </c>
      <c r="K4" s="2" t="s">
        <v>53</v>
      </c>
      <c r="L4" s="2" t="s">
        <v>54</v>
      </c>
      <c r="M4" s="2" t="s">
        <v>55</v>
      </c>
      <c r="N4" s="2" t="s">
        <v>56</v>
      </c>
      <c r="O4" s="3">
        <v>46153</v>
      </c>
      <c r="P4" s="3">
        <v>46165</v>
      </c>
      <c r="Q4" s="2" t="s">
        <v>57</v>
      </c>
      <c r="R4" s="2">
        <f t="shared" ref="R4:R35" ca="1" si="0">TODAY()-H4</f>
        <v>44</v>
      </c>
      <c r="S4" s="2">
        <f t="shared" ref="S4:S35" si="1">IF(O4="","",O4-H4)</f>
        <v>8</v>
      </c>
      <c r="T4" s="2">
        <f t="shared" ref="T4:T35" ca="1" si="2">I4-TODAY()</f>
        <v>-29</v>
      </c>
      <c r="U4" s="2" t="str">
        <f t="shared" ref="U4:U35" ca="1" si="3">IF(AND(M4="Pending Approval",R4&gt;5),"Overdue",IF(M4="Pending Approval","On Track","N/A"))</f>
        <v>N/A</v>
      </c>
      <c r="V4" s="2" t="str">
        <f t="shared" ref="V4:V35" ca="1" si="4">IF(AND(M4&lt;&gt;"Paid",M4&lt;&gt;"Rejected",T4&lt;=7),"At Risk","Normal")</f>
        <v>Normal</v>
      </c>
    </row>
    <row r="5" spans="1:26" ht="28">
      <c r="A5" s="2" t="s">
        <v>58</v>
      </c>
      <c r="B5" s="2" t="s">
        <v>59</v>
      </c>
      <c r="C5" s="2" t="s">
        <v>60</v>
      </c>
      <c r="D5" s="4">
        <v>1542.1</v>
      </c>
      <c r="E5" s="2" t="s">
        <v>61</v>
      </c>
      <c r="F5" s="2" t="s">
        <v>50</v>
      </c>
      <c r="G5" s="2" t="s">
        <v>62</v>
      </c>
      <c r="H5" s="3">
        <v>46156</v>
      </c>
      <c r="I5" s="3">
        <v>46186</v>
      </c>
      <c r="J5" s="2" t="s">
        <v>63</v>
      </c>
      <c r="K5" s="2" t="s">
        <v>64</v>
      </c>
      <c r="L5" s="2" t="s">
        <v>65</v>
      </c>
      <c r="M5" s="2" t="s">
        <v>66</v>
      </c>
      <c r="N5" s="2" t="s">
        <v>67</v>
      </c>
      <c r="O5" s="3"/>
      <c r="P5" s="3"/>
      <c r="Q5" s="2" t="s">
        <v>68</v>
      </c>
      <c r="R5" s="2">
        <f t="shared" ca="1" si="0"/>
        <v>33</v>
      </c>
      <c r="S5" s="2" t="str">
        <f t="shared" si="1"/>
        <v/>
      </c>
      <c r="T5" s="2">
        <f t="shared" ca="1" si="2"/>
        <v>-3</v>
      </c>
      <c r="U5" s="2" t="str">
        <f t="shared" ca="1" si="3"/>
        <v>N/A</v>
      </c>
      <c r="V5" s="2" t="str">
        <f t="shared" ca="1" si="4"/>
        <v>At Risk</v>
      </c>
    </row>
    <row r="6" spans="1:26" ht="28">
      <c r="A6" s="2" t="s">
        <v>69</v>
      </c>
      <c r="B6" s="2" t="s">
        <v>70</v>
      </c>
      <c r="C6" s="2" t="s">
        <v>71</v>
      </c>
      <c r="D6" s="4">
        <v>3173.18</v>
      </c>
      <c r="E6" s="2" t="s">
        <v>72</v>
      </c>
      <c r="F6" s="2" t="s">
        <v>73</v>
      </c>
      <c r="G6" s="2"/>
      <c r="H6" s="3">
        <v>46166</v>
      </c>
      <c r="I6" s="3">
        <v>46211</v>
      </c>
      <c r="J6" s="2" t="s">
        <v>74</v>
      </c>
      <c r="K6" s="2" t="s">
        <v>64</v>
      </c>
      <c r="L6" s="2" t="s">
        <v>75</v>
      </c>
      <c r="M6" s="2" t="s">
        <v>66</v>
      </c>
      <c r="N6" s="2" t="s">
        <v>76</v>
      </c>
      <c r="O6" s="3"/>
      <c r="P6" s="3"/>
      <c r="Q6" s="2" t="s">
        <v>57</v>
      </c>
      <c r="R6" s="2">
        <f t="shared" ca="1" si="0"/>
        <v>23</v>
      </c>
      <c r="S6" s="2" t="str">
        <f t="shared" si="1"/>
        <v/>
      </c>
      <c r="T6" s="2">
        <f t="shared" ca="1" si="2"/>
        <v>22</v>
      </c>
      <c r="U6" s="2" t="str">
        <f t="shared" ca="1" si="3"/>
        <v>N/A</v>
      </c>
      <c r="V6" s="2" t="str">
        <f t="shared" ca="1" si="4"/>
        <v>Normal</v>
      </c>
    </row>
    <row r="7" spans="1:26" ht="28">
      <c r="A7" s="2" t="s">
        <v>77</v>
      </c>
      <c r="B7" s="2" t="s">
        <v>78</v>
      </c>
      <c r="C7" s="2" t="s">
        <v>79</v>
      </c>
      <c r="D7" s="4">
        <v>1902.01</v>
      </c>
      <c r="E7" s="2" t="s">
        <v>49</v>
      </c>
      <c r="F7" s="2" t="s">
        <v>73</v>
      </c>
      <c r="G7" s="2"/>
      <c r="H7" s="3">
        <v>46185</v>
      </c>
      <c r="I7" s="3">
        <v>46215</v>
      </c>
      <c r="J7" s="2" t="s">
        <v>80</v>
      </c>
      <c r="K7" s="2" t="s">
        <v>64</v>
      </c>
      <c r="L7" s="2" t="s">
        <v>54</v>
      </c>
      <c r="M7" s="2" t="s">
        <v>81</v>
      </c>
      <c r="N7" s="2" t="s">
        <v>82</v>
      </c>
      <c r="O7" s="3">
        <v>46189</v>
      </c>
      <c r="P7" s="3"/>
      <c r="Q7" s="2" t="s">
        <v>57</v>
      </c>
      <c r="R7" s="2">
        <f t="shared" ca="1" si="0"/>
        <v>4</v>
      </c>
      <c r="S7" s="2">
        <f t="shared" si="1"/>
        <v>4</v>
      </c>
      <c r="T7" s="2">
        <f t="shared" ca="1" si="2"/>
        <v>26</v>
      </c>
      <c r="U7" s="2" t="str">
        <f t="shared" ca="1" si="3"/>
        <v>N/A</v>
      </c>
      <c r="V7" s="2" t="str">
        <f t="shared" ca="1" si="4"/>
        <v>Normal</v>
      </c>
    </row>
    <row r="8" spans="1:26" ht="28">
      <c r="A8" s="2" t="s">
        <v>83</v>
      </c>
      <c r="B8" s="2" t="s">
        <v>84</v>
      </c>
      <c r="C8" s="2" t="s">
        <v>85</v>
      </c>
      <c r="D8" s="4">
        <v>21856.2</v>
      </c>
      <c r="E8" s="2" t="s">
        <v>86</v>
      </c>
      <c r="F8" s="2" t="s">
        <v>50</v>
      </c>
      <c r="G8" s="2" t="s">
        <v>87</v>
      </c>
      <c r="H8" s="3">
        <v>46146</v>
      </c>
      <c r="I8" s="3">
        <v>46161</v>
      </c>
      <c r="J8" s="2" t="s">
        <v>88</v>
      </c>
      <c r="K8" s="2" t="s">
        <v>53</v>
      </c>
      <c r="L8" s="2" t="s">
        <v>65</v>
      </c>
      <c r="M8" s="2" t="s">
        <v>89</v>
      </c>
      <c r="N8" s="2" t="s">
        <v>82</v>
      </c>
      <c r="O8" s="3"/>
      <c r="P8" s="3"/>
      <c r="Q8" s="2" t="s">
        <v>68</v>
      </c>
      <c r="R8" s="2">
        <f t="shared" ca="1" si="0"/>
        <v>43</v>
      </c>
      <c r="S8" s="2" t="str">
        <f t="shared" si="1"/>
        <v/>
      </c>
      <c r="T8" s="2">
        <f t="shared" ca="1" si="2"/>
        <v>-28</v>
      </c>
      <c r="U8" s="2" t="str">
        <f t="shared" ca="1" si="3"/>
        <v>N/A</v>
      </c>
      <c r="V8" s="2" t="str">
        <f t="shared" ca="1" si="4"/>
        <v>At Risk</v>
      </c>
    </row>
    <row r="9" spans="1:26" ht="28">
      <c r="A9" s="2" t="s">
        <v>90</v>
      </c>
      <c r="B9" s="2" t="s">
        <v>91</v>
      </c>
      <c r="C9" s="2" t="s">
        <v>92</v>
      </c>
      <c r="D9" s="4">
        <v>1481.69</v>
      </c>
      <c r="E9" s="2" t="s">
        <v>93</v>
      </c>
      <c r="F9" s="2" t="s">
        <v>73</v>
      </c>
      <c r="G9" s="2"/>
      <c r="H9" s="3">
        <v>46158</v>
      </c>
      <c r="I9" s="3">
        <v>46203</v>
      </c>
      <c r="J9" s="2" t="s">
        <v>94</v>
      </c>
      <c r="K9" s="2" t="s">
        <v>64</v>
      </c>
      <c r="L9" s="2" t="s">
        <v>75</v>
      </c>
      <c r="M9" s="2" t="s">
        <v>95</v>
      </c>
      <c r="N9" s="2" t="s">
        <v>82</v>
      </c>
      <c r="O9" s="3">
        <v>46178</v>
      </c>
      <c r="P9" s="3"/>
      <c r="Q9" s="2" t="s">
        <v>57</v>
      </c>
      <c r="R9" s="2">
        <f t="shared" ca="1" si="0"/>
        <v>31</v>
      </c>
      <c r="S9" s="2">
        <f t="shared" si="1"/>
        <v>20</v>
      </c>
      <c r="T9" s="2">
        <f t="shared" ca="1" si="2"/>
        <v>14</v>
      </c>
      <c r="U9" s="2" t="str">
        <f t="shared" ca="1" si="3"/>
        <v>N/A</v>
      </c>
      <c r="V9" s="2" t="str">
        <f t="shared" ca="1" si="4"/>
        <v>Normal</v>
      </c>
    </row>
    <row r="10" spans="1:26" ht="28">
      <c r="A10" s="2" t="s">
        <v>96</v>
      </c>
      <c r="B10" s="2" t="s">
        <v>97</v>
      </c>
      <c r="C10" s="2" t="s">
        <v>98</v>
      </c>
      <c r="D10" s="4">
        <v>993.92</v>
      </c>
      <c r="E10" s="2" t="s">
        <v>99</v>
      </c>
      <c r="F10" s="2" t="s">
        <v>73</v>
      </c>
      <c r="G10" s="2"/>
      <c r="H10" s="3">
        <v>46186</v>
      </c>
      <c r="I10" s="3">
        <v>46216</v>
      </c>
      <c r="J10" s="2" t="s">
        <v>100</v>
      </c>
      <c r="K10" s="2" t="s">
        <v>64</v>
      </c>
      <c r="L10" s="2" t="s">
        <v>54</v>
      </c>
      <c r="M10" s="2" t="s">
        <v>89</v>
      </c>
      <c r="N10" s="2" t="s">
        <v>82</v>
      </c>
      <c r="O10" s="3"/>
      <c r="P10" s="3"/>
      <c r="Q10" s="2" t="s">
        <v>57</v>
      </c>
      <c r="R10" s="2">
        <f t="shared" ca="1" si="0"/>
        <v>3</v>
      </c>
      <c r="S10" s="2" t="str">
        <f t="shared" si="1"/>
        <v/>
      </c>
      <c r="T10" s="2">
        <f t="shared" ca="1" si="2"/>
        <v>27</v>
      </c>
      <c r="U10" s="2" t="str">
        <f t="shared" ca="1" si="3"/>
        <v>N/A</v>
      </c>
      <c r="V10" s="2" t="str">
        <f t="shared" ca="1" si="4"/>
        <v>Normal</v>
      </c>
    </row>
    <row r="11" spans="1:26" ht="28">
      <c r="A11" s="2" t="s">
        <v>101</v>
      </c>
      <c r="B11" s="2" t="s">
        <v>70</v>
      </c>
      <c r="C11" s="2" t="s">
        <v>102</v>
      </c>
      <c r="D11" s="4">
        <v>11803.17</v>
      </c>
      <c r="E11" s="2" t="s">
        <v>103</v>
      </c>
      <c r="F11" s="2" t="s">
        <v>73</v>
      </c>
      <c r="G11" s="2"/>
      <c r="H11" s="3">
        <v>46161</v>
      </c>
      <c r="I11" s="3">
        <v>46191</v>
      </c>
      <c r="J11" s="2" t="s">
        <v>104</v>
      </c>
      <c r="K11" s="2" t="s">
        <v>53</v>
      </c>
      <c r="L11" s="2" t="s">
        <v>65</v>
      </c>
      <c r="M11" s="2" t="s">
        <v>89</v>
      </c>
      <c r="N11" s="2" t="s">
        <v>76</v>
      </c>
      <c r="O11" s="3"/>
      <c r="P11" s="3"/>
      <c r="Q11" s="2" t="s">
        <v>68</v>
      </c>
      <c r="R11" s="2">
        <f t="shared" ca="1" si="0"/>
        <v>28</v>
      </c>
      <c r="S11" s="2" t="str">
        <f t="shared" si="1"/>
        <v/>
      </c>
      <c r="T11" s="2">
        <f t="shared" ca="1" si="2"/>
        <v>2</v>
      </c>
      <c r="U11" s="2" t="str">
        <f t="shared" ca="1" si="3"/>
        <v>N/A</v>
      </c>
      <c r="V11" s="2" t="str">
        <f t="shared" ca="1" si="4"/>
        <v>At Risk</v>
      </c>
    </row>
    <row r="12" spans="1:26" ht="28">
      <c r="A12" s="2" t="s">
        <v>105</v>
      </c>
      <c r="B12" s="2" t="s">
        <v>106</v>
      </c>
      <c r="C12" s="2" t="s">
        <v>107</v>
      </c>
      <c r="D12" s="4">
        <v>1988.7</v>
      </c>
      <c r="E12" s="2" t="s">
        <v>103</v>
      </c>
      <c r="F12" s="2" t="s">
        <v>73</v>
      </c>
      <c r="G12" s="2"/>
      <c r="H12" s="3">
        <v>46153</v>
      </c>
      <c r="I12" s="3">
        <v>46198</v>
      </c>
      <c r="J12" s="2" t="s">
        <v>108</v>
      </c>
      <c r="K12" s="2" t="s">
        <v>64</v>
      </c>
      <c r="L12" s="2" t="s">
        <v>75</v>
      </c>
      <c r="M12" s="2" t="s">
        <v>109</v>
      </c>
      <c r="N12" s="2" t="s">
        <v>82</v>
      </c>
      <c r="O12" s="3"/>
      <c r="P12" s="3"/>
      <c r="Q12" s="2" t="s">
        <v>57</v>
      </c>
      <c r="R12" s="2">
        <f t="shared" ca="1" si="0"/>
        <v>36</v>
      </c>
      <c r="S12" s="2" t="str">
        <f t="shared" si="1"/>
        <v/>
      </c>
      <c r="T12" s="2">
        <f t="shared" ca="1" si="2"/>
        <v>9</v>
      </c>
      <c r="U12" s="2" t="str">
        <f t="shared" ca="1" si="3"/>
        <v>N/A</v>
      </c>
      <c r="V12" s="2" t="str">
        <f t="shared" ca="1" si="4"/>
        <v>Normal</v>
      </c>
    </row>
    <row r="13" spans="1:26" ht="28">
      <c r="A13" s="2" t="s">
        <v>110</v>
      </c>
      <c r="B13" s="2" t="s">
        <v>111</v>
      </c>
      <c r="C13" s="2" t="s">
        <v>112</v>
      </c>
      <c r="D13" s="4">
        <v>4332.74</v>
      </c>
      <c r="E13" s="2" t="s">
        <v>72</v>
      </c>
      <c r="F13" s="2" t="s">
        <v>50</v>
      </c>
      <c r="G13" s="2" t="s">
        <v>113</v>
      </c>
      <c r="H13" s="3">
        <v>46148</v>
      </c>
      <c r="I13" s="3">
        <v>46163</v>
      </c>
      <c r="J13" s="2" t="s">
        <v>74</v>
      </c>
      <c r="K13" s="2" t="s">
        <v>64</v>
      </c>
      <c r="L13" s="2" t="s">
        <v>54</v>
      </c>
      <c r="M13" s="2" t="s">
        <v>109</v>
      </c>
      <c r="N13" s="2" t="s">
        <v>82</v>
      </c>
      <c r="O13" s="3"/>
      <c r="P13" s="3"/>
      <c r="Q13" s="2" t="s">
        <v>68</v>
      </c>
      <c r="R13" s="2">
        <f t="shared" ca="1" si="0"/>
        <v>41</v>
      </c>
      <c r="S13" s="2" t="str">
        <f t="shared" si="1"/>
        <v/>
      </c>
      <c r="T13" s="2">
        <f t="shared" ca="1" si="2"/>
        <v>-26</v>
      </c>
      <c r="U13" s="2" t="str">
        <f t="shared" ca="1" si="3"/>
        <v>N/A</v>
      </c>
      <c r="V13" s="2" t="str">
        <f t="shared" ca="1" si="4"/>
        <v>At Risk</v>
      </c>
    </row>
    <row r="14" spans="1:26" ht="28">
      <c r="A14" s="2" t="s">
        <v>114</v>
      </c>
      <c r="B14" s="2" t="s">
        <v>115</v>
      </c>
      <c r="C14" s="2" t="s">
        <v>116</v>
      </c>
      <c r="D14" s="4">
        <v>18796.66</v>
      </c>
      <c r="E14" s="2" t="s">
        <v>61</v>
      </c>
      <c r="F14" s="2" t="s">
        <v>73</v>
      </c>
      <c r="G14" s="2"/>
      <c r="H14" s="3">
        <v>46188</v>
      </c>
      <c r="I14" s="3">
        <v>46218</v>
      </c>
      <c r="J14" s="2" t="s">
        <v>117</v>
      </c>
      <c r="K14" s="2" t="s">
        <v>53</v>
      </c>
      <c r="L14" s="2" t="s">
        <v>65</v>
      </c>
      <c r="M14" s="2" t="s">
        <v>109</v>
      </c>
      <c r="N14" s="2" t="s">
        <v>82</v>
      </c>
      <c r="O14" s="3"/>
      <c r="P14" s="3"/>
      <c r="Q14" s="2" t="s">
        <v>57</v>
      </c>
      <c r="R14" s="2">
        <f t="shared" ca="1" si="0"/>
        <v>1</v>
      </c>
      <c r="S14" s="2" t="str">
        <f t="shared" si="1"/>
        <v/>
      </c>
      <c r="T14" s="2">
        <f t="shared" ca="1" si="2"/>
        <v>29</v>
      </c>
      <c r="U14" s="2" t="str">
        <f t="shared" ca="1" si="3"/>
        <v>N/A</v>
      </c>
      <c r="V14" s="2" t="str">
        <f t="shared" ca="1" si="4"/>
        <v>Normal</v>
      </c>
    </row>
    <row r="15" spans="1:26" ht="28">
      <c r="A15" s="2" t="s">
        <v>118</v>
      </c>
      <c r="B15" s="2" t="s">
        <v>119</v>
      </c>
      <c r="C15" s="2" t="s">
        <v>120</v>
      </c>
      <c r="D15" s="4">
        <v>3541.46</v>
      </c>
      <c r="E15" s="2" t="s">
        <v>99</v>
      </c>
      <c r="F15" s="2" t="s">
        <v>50</v>
      </c>
      <c r="G15" s="2" t="s">
        <v>121</v>
      </c>
      <c r="H15" s="3">
        <v>46146</v>
      </c>
      <c r="I15" s="3">
        <v>46161</v>
      </c>
      <c r="J15" s="2" t="s">
        <v>100</v>
      </c>
      <c r="K15" s="2" t="s">
        <v>64</v>
      </c>
      <c r="L15" s="2" t="s">
        <v>75</v>
      </c>
      <c r="M15" s="2" t="s">
        <v>55</v>
      </c>
      <c r="N15" s="2" t="s">
        <v>122</v>
      </c>
      <c r="O15" s="3">
        <v>46155</v>
      </c>
      <c r="P15" s="3">
        <v>46161</v>
      </c>
      <c r="Q15" s="2" t="s">
        <v>57</v>
      </c>
      <c r="R15" s="2">
        <f t="shared" ca="1" si="0"/>
        <v>43</v>
      </c>
      <c r="S15" s="2">
        <f t="shared" si="1"/>
        <v>9</v>
      </c>
      <c r="T15" s="2">
        <f t="shared" ca="1" si="2"/>
        <v>-28</v>
      </c>
      <c r="U15" s="2" t="str">
        <f t="shared" ca="1" si="3"/>
        <v>N/A</v>
      </c>
      <c r="V15" s="2" t="str">
        <f t="shared" ca="1" si="4"/>
        <v>Normal</v>
      </c>
    </row>
    <row r="16" spans="1:26" ht="28">
      <c r="A16" s="2" t="s">
        <v>123</v>
      </c>
      <c r="B16" s="2" t="s">
        <v>91</v>
      </c>
      <c r="C16" s="2" t="s">
        <v>124</v>
      </c>
      <c r="D16" s="4">
        <v>6938.52</v>
      </c>
      <c r="E16" s="2" t="s">
        <v>103</v>
      </c>
      <c r="F16" s="2" t="s">
        <v>50</v>
      </c>
      <c r="G16" s="2" t="s">
        <v>125</v>
      </c>
      <c r="H16" s="3">
        <v>46170</v>
      </c>
      <c r="I16" s="3">
        <v>46200</v>
      </c>
      <c r="J16" s="2" t="s">
        <v>104</v>
      </c>
      <c r="K16" s="2" t="s">
        <v>53</v>
      </c>
      <c r="L16" s="2" t="s">
        <v>54</v>
      </c>
      <c r="M16" s="2" t="s">
        <v>95</v>
      </c>
      <c r="N16" s="2" t="s">
        <v>82</v>
      </c>
      <c r="O16" s="3">
        <v>46173</v>
      </c>
      <c r="P16" s="3"/>
      <c r="Q16" s="2" t="s">
        <v>57</v>
      </c>
      <c r="R16" s="2">
        <f t="shared" ca="1" si="0"/>
        <v>19</v>
      </c>
      <c r="S16" s="2">
        <f t="shared" si="1"/>
        <v>3</v>
      </c>
      <c r="T16" s="2">
        <f t="shared" ca="1" si="2"/>
        <v>11</v>
      </c>
      <c r="U16" s="2" t="str">
        <f t="shared" ca="1" si="3"/>
        <v>N/A</v>
      </c>
      <c r="V16" s="2" t="str">
        <f t="shared" ca="1" si="4"/>
        <v>Normal</v>
      </c>
    </row>
    <row r="17" spans="1:22" ht="28">
      <c r="A17" s="2" t="s">
        <v>126</v>
      </c>
      <c r="B17" s="2" t="s">
        <v>47</v>
      </c>
      <c r="C17" s="2" t="s">
        <v>127</v>
      </c>
      <c r="D17" s="4">
        <v>2336.0500000000002</v>
      </c>
      <c r="E17" s="2" t="s">
        <v>49</v>
      </c>
      <c r="F17" s="2" t="s">
        <v>50</v>
      </c>
      <c r="G17" s="2" t="s">
        <v>128</v>
      </c>
      <c r="H17" s="3">
        <v>46170</v>
      </c>
      <c r="I17" s="3">
        <v>46185</v>
      </c>
      <c r="J17" s="2" t="s">
        <v>80</v>
      </c>
      <c r="K17" s="2" t="s">
        <v>64</v>
      </c>
      <c r="L17" s="2" t="s">
        <v>65</v>
      </c>
      <c r="M17" s="2" t="s">
        <v>95</v>
      </c>
      <c r="N17" s="2" t="s">
        <v>82</v>
      </c>
      <c r="O17" s="3">
        <v>46174</v>
      </c>
      <c r="P17" s="3"/>
      <c r="Q17" s="2" t="s">
        <v>68</v>
      </c>
      <c r="R17" s="2">
        <f t="shared" ca="1" si="0"/>
        <v>19</v>
      </c>
      <c r="S17" s="2">
        <f t="shared" si="1"/>
        <v>4</v>
      </c>
      <c r="T17" s="2">
        <f t="shared" ca="1" si="2"/>
        <v>-4</v>
      </c>
      <c r="U17" s="2" t="str">
        <f t="shared" ca="1" si="3"/>
        <v>N/A</v>
      </c>
      <c r="V17" s="2" t="str">
        <f t="shared" ca="1" si="4"/>
        <v>At Risk</v>
      </c>
    </row>
    <row r="18" spans="1:22" ht="28">
      <c r="A18" s="2" t="s">
        <v>129</v>
      </c>
      <c r="B18" s="2" t="s">
        <v>84</v>
      </c>
      <c r="C18" s="2" t="s">
        <v>130</v>
      </c>
      <c r="D18" s="4">
        <v>2508.23</v>
      </c>
      <c r="E18" s="2" t="s">
        <v>49</v>
      </c>
      <c r="F18" s="2" t="s">
        <v>50</v>
      </c>
      <c r="G18" s="2" t="s">
        <v>131</v>
      </c>
      <c r="H18" s="3">
        <v>46156</v>
      </c>
      <c r="I18" s="3">
        <v>46186</v>
      </c>
      <c r="J18" s="2" t="s">
        <v>80</v>
      </c>
      <c r="K18" s="2" t="s">
        <v>64</v>
      </c>
      <c r="L18" s="2" t="s">
        <v>75</v>
      </c>
      <c r="M18" s="2" t="s">
        <v>55</v>
      </c>
      <c r="N18" s="2" t="s">
        <v>82</v>
      </c>
      <c r="O18" s="3">
        <v>46158</v>
      </c>
      <c r="P18" s="3">
        <v>46166</v>
      </c>
      <c r="Q18" s="2" t="s">
        <v>57</v>
      </c>
      <c r="R18" s="2">
        <f t="shared" ca="1" si="0"/>
        <v>33</v>
      </c>
      <c r="S18" s="2">
        <f t="shared" si="1"/>
        <v>2</v>
      </c>
      <c r="T18" s="2">
        <f t="shared" ca="1" si="2"/>
        <v>-3</v>
      </c>
      <c r="U18" s="2" t="str">
        <f t="shared" ca="1" si="3"/>
        <v>N/A</v>
      </c>
      <c r="V18" s="2" t="str">
        <f t="shared" ca="1" si="4"/>
        <v>Normal</v>
      </c>
    </row>
    <row r="19" spans="1:22" ht="28">
      <c r="A19" s="2" t="s">
        <v>132</v>
      </c>
      <c r="B19" s="2" t="s">
        <v>133</v>
      </c>
      <c r="C19" s="2" t="s">
        <v>134</v>
      </c>
      <c r="D19" s="4">
        <v>1133.03</v>
      </c>
      <c r="E19" s="2" t="s">
        <v>135</v>
      </c>
      <c r="F19" s="2" t="s">
        <v>50</v>
      </c>
      <c r="G19" s="2" t="s">
        <v>136</v>
      </c>
      <c r="H19" s="3">
        <v>46156</v>
      </c>
      <c r="I19" s="3">
        <v>46171</v>
      </c>
      <c r="J19" s="2" t="s">
        <v>137</v>
      </c>
      <c r="K19" s="2" t="s">
        <v>64</v>
      </c>
      <c r="L19" s="2" t="s">
        <v>54</v>
      </c>
      <c r="M19" s="2" t="s">
        <v>55</v>
      </c>
      <c r="N19" s="2" t="s">
        <v>82</v>
      </c>
      <c r="O19" s="3">
        <v>46168</v>
      </c>
      <c r="P19" s="3">
        <v>46170</v>
      </c>
      <c r="Q19" s="2" t="s">
        <v>57</v>
      </c>
      <c r="R19" s="2">
        <f t="shared" ca="1" si="0"/>
        <v>33</v>
      </c>
      <c r="S19" s="2">
        <f t="shared" si="1"/>
        <v>12</v>
      </c>
      <c r="T19" s="2">
        <f t="shared" ca="1" si="2"/>
        <v>-18</v>
      </c>
      <c r="U19" s="2" t="str">
        <f t="shared" ca="1" si="3"/>
        <v>N/A</v>
      </c>
      <c r="V19" s="2" t="str">
        <f t="shared" ca="1" si="4"/>
        <v>Normal</v>
      </c>
    </row>
    <row r="20" spans="1:22" ht="28">
      <c r="A20" s="2" t="s">
        <v>138</v>
      </c>
      <c r="B20" s="2" t="s">
        <v>111</v>
      </c>
      <c r="C20" s="2" t="s">
        <v>139</v>
      </c>
      <c r="D20" s="4">
        <v>566.02</v>
      </c>
      <c r="E20" s="2" t="s">
        <v>103</v>
      </c>
      <c r="F20" s="2" t="s">
        <v>73</v>
      </c>
      <c r="G20" s="2"/>
      <c r="H20" s="3">
        <v>46158</v>
      </c>
      <c r="I20" s="3">
        <v>46188</v>
      </c>
      <c r="J20" s="2" t="s">
        <v>108</v>
      </c>
      <c r="K20" s="2" t="s">
        <v>64</v>
      </c>
      <c r="L20" s="2" t="s">
        <v>65</v>
      </c>
      <c r="M20" s="2" t="s">
        <v>66</v>
      </c>
      <c r="N20" s="2" t="s">
        <v>67</v>
      </c>
      <c r="O20" s="3"/>
      <c r="P20" s="3"/>
      <c r="Q20" s="2" t="s">
        <v>68</v>
      </c>
      <c r="R20" s="2">
        <f t="shared" ca="1" si="0"/>
        <v>31</v>
      </c>
      <c r="S20" s="2" t="str">
        <f t="shared" si="1"/>
        <v/>
      </c>
      <c r="T20" s="2">
        <f t="shared" ca="1" si="2"/>
        <v>-1</v>
      </c>
      <c r="U20" s="2" t="str">
        <f t="shared" ca="1" si="3"/>
        <v>N/A</v>
      </c>
      <c r="V20" s="2" t="str">
        <f t="shared" ca="1" si="4"/>
        <v>At Risk</v>
      </c>
    </row>
    <row r="21" spans="1:22" ht="28">
      <c r="A21" s="2" t="s">
        <v>140</v>
      </c>
      <c r="B21" s="2" t="s">
        <v>141</v>
      </c>
      <c r="C21" s="2" t="s">
        <v>142</v>
      </c>
      <c r="D21" s="4">
        <v>3580.29</v>
      </c>
      <c r="E21" s="2" t="s">
        <v>93</v>
      </c>
      <c r="F21" s="2" t="s">
        <v>50</v>
      </c>
      <c r="G21" s="2" t="s">
        <v>143</v>
      </c>
      <c r="H21" s="3">
        <v>46158</v>
      </c>
      <c r="I21" s="3">
        <v>46188</v>
      </c>
      <c r="J21" s="2" t="s">
        <v>94</v>
      </c>
      <c r="K21" s="2" t="s">
        <v>64</v>
      </c>
      <c r="L21" s="2" t="s">
        <v>75</v>
      </c>
      <c r="M21" s="2" t="s">
        <v>95</v>
      </c>
      <c r="N21" s="2" t="s">
        <v>82</v>
      </c>
      <c r="O21" s="3">
        <v>46169</v>
      </c>
      <c r="P21" s="3"/>
      <c r="Q21" s="2" t="s">
        <v>68</v>
      </c>
      <c r="R21" s="2">
        <f t="shared" ca="1" si="0"/>
        <v>31</v>
      </c>
      <c r="S21" s="2">
        <f t="shared" si="1"/>
        <v>11</v>
      </c>
      <c r="T21" s="2">
        <f t="shared" ca="1" si="2"/>
        <v>-1</v>
      </c>
      <c r="U21" s="2" t="str">
        <f t="shared" ca="1" si="3"/>
        <v>N/A</v>
      </c>
      <c r="V21" s="2" t="str">
        <f t="shared" ca="1" si="4"/>
        <v>At Risk</v>
      </c>
    </row>
    <row r="22" spans="1:22" ht="28">
      <c r="A22" s="2" t="s">
        <v>144</v>
      </c>
      <c r="B22" s="2" t="s">
        <v>145</v>
      </c>
      <c r="C22" s="2" t="s">
        <v>146</v>
      </c>
      <c r="D22" s="4">
        <v>865.92</v>
      </c>
      <c r="E22" s="2" t="s">
        <v>72</v>
      </c>
      <c r="F22" s="2" t="s">
        <v>50</v>
      </c>
      <c r="G22" s="2" t="s">
        <v>147</v>
      </c>
      <c r="H22" s="3">
        <v>46165</v>
      </c>
      <c r="I22" s="3">
        <v>46180</v>
      </c>
      <c r="J22" s="2" t="s">
        <v>74</v>
      </c>
      <c r="K22" s="2" t="s">
        <v>64</v>
      </c>
      <c r="L22" s="2" t="s">
        <v>54</v>
      </c>
      <c r="M22" s="2" t="s">
        <v>95</v>
      </c>
      <c r="N22" s="2" t="s">
        <v>82</v>
      </c>
      <c r="O22" s="3">
        <v>46172</v>
      </c>
      <c r="P22" s="3"/>
      <c r="Q22" s="2" t="s">
        <v>68</v>
      </c>
      <c r="R22" s="2">
        <f t="shared" ca="1" si="0"/>
        <v>24</v>
      </c>
      <c r="S22" s="2">
        <f t="shared" si="1"/>
        <v>7</v>
      </c>
      <c r="T22" s="2">
        <f t="shared" ca="1" si="2"/>
        <v>-9</v>
      </c>
      <c r="U22" s="2" t="str">
        <f t="shared" ca="1" si="3"/>
        <v>N/A</v>
      </c>
      <c r="V22" s="2" t="str">
        <f t="shared" ca="1" si="4"/>
        <v>At Risk</v>
      </c>
    </row>
    <row r="23" spans="1:22" ht="28">
      <c r="A23" s="2" t="s">
        <v>148</v>
      </c>
      <c r="B23" s="2" t="s">
        <v>84</v>
      </c>
      <c r="C23" s="2" t="s">
        <v>149</v>
      </c>
      <c r="D23" s="4">
        <v>18267.11</v>
      </c>
      <c r="E23" s="2" t="s">
        <v>86</v>
      </c>
      <c r="F23" s="2" t="s">
        <v>50</v>
      </c>
      <c r="G23" s="2" t="s">
        <v>150</v>
      </c>
      <c r="H23" s="3">
        <v>46151</v>
      </c>
      <c r="I23" s="3">
        <v>46181</v>
      </c>
      <c r="J23" s="2" t="s">
        <v>88</v>
      </c>
      <c r="K23" s="2" t="s">
        <v>53</v>
      </c>
      <c r="L23" s="2" t="s">
        <v>65</v>
      </c>
      <c r="M23" s="2" t="s">
        <v>55</v>
      </c>
      <c r="N23" s="2" t="s">
        <v>122</v>
      </c>
      <c r="O23" s="3">
        <v>46162</v>
      </c>
      <c r="P23" s="3">
        <v>46173</v>
      </c>
      <c r="Q23" s="2" t="s">
        <v>57</v>
      </c>
      <c r="R23" s="2">
        <f t="shared" ca="1" si="0"/>
        <v>38</v>
      </c>
      <c r="S23" s="2">
        <f t="shared" si="1"/>
        <v>11</v>
      </c>
      <c r="T23" s="2">
        <f t="shared" ca="1" si="2"/>
        <v>-8</v>
      </c>
      <c r="U23" s="2" t="str">
        <f t="shared" ca="1" si="3"/>
        <v>N/A</v>
      </c>
      <c r="V23" s="2" t="str">
        <f t="shared" ca="1" si="4"/>
        <v>Normal</v>
      </c>
    </row>
    <row r="24" spans="1:22" ht="28">
      <c r="A24" s="2" t="s">
        <v>151</v>
      </c>
      <c r="B24" s="2" t="s">
        <v>152</v>
      </c>
      <c r="C24" s="2" t="s">
        <v>153</v>
      </c>
      <c r="D24" s="4">
        <v>2219.63</v>
      </c>
      <c r="E24" s="2" t="s">
        <v>99</v>
      </c>
      <c r="F24" s="2" t="s">
        <v>73</v>
      </c>
      <c r="G24" s="2"/>
      <c r="H24" s="3">
        <v>46160</v>
      </c>
      <c r="I24" s="3">
        <v>46175</v>
      </c>
      <c r="J24" s="2" t="s">
        <v>100</v>
      </c>
      <c r="K24" s="2" t="s">
        <v>64</v>
      </c>
      <c r="L24" s="2" t="s">
        <v>75</v>
      </c>
      <c r="M24" s="2" t="s">
        <v>95</v>
      </c>
      <c r="N24" s="2" t="s">
        <v>122</v>
      </c>
      <c r="O24" s="3">
        <v>46176</v>
      </c>
      <c r="P24" s="3"/>
      <c r="Q24" s="2" t="s">
        <v>68</v>
      </c>
      <c r="R24" s="2">
        <f t="shared" ca="1" si="0"/>
        <v>29</v>
      </c>
      <c r="S24" s="2">
        <f t="shared" si="1"/>
        <v>16</v>
      </c>
      <c r="T24" s="2">
        <f t="shared" ca="1" si="2"/>
        <v>-14</v>
      </c>
      <c r="U24" s="2" t="str">
        <f t="shared" ca="1" si="3"/>
        <v>N/A</v>
      </c>
      <c r="V24" s="2" t="str">
        <f t="shared" ca="1" si="4"/>
        <v>At Risk</v>
      </c>
    </row>
    <row r="25" spans="1:22" ht="28">
      <c r="A25" s="2" t="s">
        <v>154</v>
      </c>
      <c r="B25" s="2" t="s">
        <v>155</v>
      </c>
      <c r="C25" s="2" t="s">
        <v>156</v>
      </c>
      <c r="D25" s="4">
        <v>4130.87</v>
      </c>
      <c r="E25" s="2" t="s">
        <v>157</v>
      </c>
      <c r="F25" s="2" t="s">
        <v>50</v>
      </c>
      <c r="G25" s="2" t="s">
        <v>158</v>
      </c>
      <c r="H25" s="3">
        <v>46180</v>
      </c>
      <c r="I25" s="3">
        <v>46225</v>
      </c>
      <c r="J25" s="2" t="s">
        <v>159</v>
      </c>
      <c r="K25" s="2" t="s">
        <v>64</v>
      </c>
      <c r="L25" s="2" t="s">
        <v>54</v>
      </c>
      <c r="M25" s="2" t="s">
        <v>89</v>
      </c>
      <c r="N25" s="2" t="s">
        <v>82</v>
      </c>
      <c r="O25" s="3"/>
      <c r="P25" s="3"/>
      <c r="Q25" s="2" t="s">
        <v>57</v>
      </c>
      <c r="R25" s="2">
        <f t="shared" ca="1" si="0"/>
        <v>9</v>
      </c>
      <c r="S25" s="2" t="str">
        <f t="shared" si="1"/>
        <v/>
      </c>
      <c r="T25" s="2">
        <f t="shared" ca="1" si="2"/>
        <v>36</v>
      </c>
      <c r="U25" s="2" t="str">
        <f t="shared" ca="1" si="3"/>
        <v>N/A</v>
      </c>
      <c r="V25" s="2" t="str">
        <f t="shared" ca="1" si="4"/>
        <v>Normal</v>
      </c>
    </row>
    <row r="26" spans="1:22" ht="28">
      <c r="A26" s="2" t="s">
        <v>160</v>
      </c>
      <c r="B26" s="2" t="s">
        <v>141</v>
      </c>
      <c r="C26" s="2" t="s">
        <v>161</v>
      </c>
      <c r="D26" s="4">
        <v>23514.35</v>
      </c>
      <c r="E26" s="2" t="s">
        <v>162</v>
      </c>
      <c r="F26" s="2" t="s">
        <v>50</v>
      </c>
      <c r="G26" s="2" t="s">
        <v>163</v>
      </c>
      <c r="H26" s="3">
        <v>46158</v>
      </c>
      <c r="I26" s="3">
        <v>46173</v>
      </c>
      <c r="J26" s="2" t="s">
        <v>164</v>
      </c>
      <c r="K26" s="2" t="s">
        <v>53</v>
      </c>
      <c r="L26" s="2" t="s">
        <v>65</v>
      </c>
      <c r="M26" s="2" t="s">
        <v>89</v>
      </c>
      <c r="N26" s="2" t="s">
        <v>82</v>
      </c>
      <c r="O26" s="3"/>
      <c r="P26" s="3"/>
      <c r="Q26" s="2" t="s">
        <v>68</v>
      </c>
      <c r="R26" s="2">
        <f t="shared" ca="1" si="0"/>
        <v>31</v>
      </c>
      <c r="S26" s="2" t="str">
        <f t="shared" si="1"/>
        <v/>
      </c>
      <c r="T26" s="2">
        <f t="shared" ca="1" si="2"/>
        <v>-16</v>
      </c>
      <c r="U26" s="2" t="str">
        <f t="shared" ca="1" si="3"/>
        <v>N/A</v>
      </c>
      <c r="V26" s="2" t="str">
        <f t="shared" ca="1" si="4"/>
        <v>At Risk</v>
      </c>
    </row>
    <row r="27" spans="1:22" ht="28">
      <c r="A27" s="2" t="s">
        <v>165</v>
      </c>
      <c r="B27" s="2" t="s">
        <v>166</v>
      </c>
      <c r="C27" s="2" t="s">
        <v>167</v>
      </c>
      <c r="D27" s="4">
        <v>3911.29</v>
      </c>
      <c r="E27" s="2" t="s">
        <v>162</v>
      </c>
      <c r="F27" s="2" t="s">
        <v>73</v>
      </c>
      <c r="G27" s="2"/>
      <c r="H27" s="3">
        <v>46149</v>
      </c>
      <c r="I27" s="3">
        <v>46179</v>
      </c>
      <c r="J27" s="2" t="s">
        <v>168</v>
      </c>
      <c r="K27" s="2" t="s">
        <v>64</v>
      </c>
      <c r="L27" s="2" t="s">
        <v>75</v>
      </c>
      <c r="M27" s="2" t="s">
        <v>55</v>
      </c>
      <c r="N27" s="2" t="s">
        <v>82</v>
      </c>
      <c r="O27" s="3">
        <v>46165</v>
      </c>
      <c r="P27" s="3">
        <v>46172</v>
      </c>
      <c r="Q27" s="2" t="s">
        <v>57</v>
      </c>
      <c r="R27" s="2">
        <f t="shared" ca="1" si="0"/>
        <v>40</v>
      </c>
      <c r="S27" s="2">
        <f t="shared" si="1"/>
        <v>16</v>
      </c>
      <c r="T27" s="2">
        <f t="shared" ca="1" si="2"/>
        <v>-10</v>
      </c>
      <c r="U27" s="2" t="str">
        <f t="shared" ca="1" si="3"/>
        <v>N/A</v>
      </c>
      <c r="V27" s="2" t="str">
        <f t="shared" ca="1" si="4"/>
        <v>Normal</v>
      </c>
    </row>
    <row r="28" spans="1:22" ht="28">
      <c r="A28" s="2" t="s">
        <v>169</v>
      </c>
      <c r="B28" s="2" t="s">
        <v>59</v>
      </c>
      <c r="C28" s="2" t="s">
        <v>170</v>
      </c>
      <c r="D28" s="4">
        <v>2618.7399999999998</v>
      </c>
      <c r="E28" s="2" t="s">
        <v>99</v>
      </c>
      <c r="F28" s="2" t="s">
        <v>50</v>
      </c>
      <c r="G28" s="2" t="s">
        <v>171</v>
      </c>
      <c r="H28" s="3">
        <v>46186</v>
      </c>
      <c r="I28" s="3">
        <v>46231</v>
      </c>
      <c r="J28" s="2" t="s">
        <v>100</v>
      </c>
      <c r="K28" s="2" t="s">
        <v>64</v>
      </c>
      <c r="L28" s="2" t="s">
        <v>54</v>
      </c>
      <c r="M28" s="2" t="s">
        <v>81</v>
      </c>
      <c r="N28" s="2" t="s">
        <v>82</v>
      </c>
      <c r="O28" s="3">
        <v>46189</v>
      </c>
      <c r="P28" s="3"/>
      <c r="Q28" s="2" t="s">
        <v>57</v>
      </c>
      <c r="R28" s="2">
        <f t="shared" ca="1" si="0"/>
        <v>3</v>
      </c>
      <c r="S28" s="2">
        <f t="shared" si="1"/>
        <v>3</v>
      </c>
      <c r="T28" s="2">
        <f t="shared" ca="1" si="2"/>
        <v>42</v>
      </c>
      <c r="U28" s="2" t="str">
        <f t="shared" ca="1" si="3"/>
        <v>N/A</v>
      </c>
      <c r="V28" s="2" t="str">
        <f t="shared" ca="1" si="4"/>
        <v>Normal</v>
      </c>
    </row>
    <row r="29" spans="1:22" ht="28">
      <c r="A29" s="2" t="s">
        <v>172</v>
      </c>
      <c r="B29" s="2" t="s">
        <v>70</v>
      </c>
      <c r="C29" s="2" t="s">
        <v>173</v>
      </c>
      <c r="D29" s="4">
        <v>22989.200000000001</v>
      </c>
      <c r="E29" s="2" t="s">
        <v>72</v>
      </c>
      <c r="F29" s="2" t="s">
        <v>50</v>
      </c>
      <c r="G29" s="2" t="s">
        <v>174</v>
      </c>
      <c r="H29" s="3">
        <v>46155</v>
      </c>
      <c r="I29" s="3">
        <v>46185</v>
      </c>
      <c r="J29" s="2" t="s">
        <v>52</v>
      </c>
      <c r="K29" s="2" t="s">
        <v>53</v>
      </c>
      <c r="L29" s="2" t="s">
        <v>65</v>
      </c>
      <c r="M29" s="2" t="s">
        <v>66</v>
      </c>
      <c r="N29" s="2" t="s">
        <v>67</v>
      </c>
      <c r="O29" s="3"/>
      <c r="P29" s="3"/>
      <c r="Q29" s="2" t="s">
        <v>68</v>
      </c>
      <c r="R29" s="2">
        <f t="shared" ca="1" si="0"/>
        <v>34</v>
      </c>
      <c r="S29" s="2" t="str">
        <f t="shared" si="1"/>
        <v/>
      </c>
      <c r="T29" s="2">
        <f t="shared" ca="1" si="2"/>
        <v>-4</v>
      </c>
      <c r="U29" s="2" t="str">
        <f t="shared" ca="1" si="3"/>
        <v>N/A</v>
      </c>
      <c r="V29" s="2" t="str">
        <f t="shared" ca="1" si="4"/>
        <v>At Risk</v>
      </c>
    </row>
    <row r="30" spans="1:22" ht="28">
      <c r="A30" s="2" t="s">
        <v>175</v>
      </c>
      <c r="B30" s="2" t="s">
        <v>166</v>
      </c>
      <c r="C30" s="2" t="s">
        <v>176</v>
      </c>
      <c r="D30" s="4">
        <v>7492.38</v>
      </c>
      <c r="E30" s="2" t="s">
        <v>86</v>
      </c>
      <c r="F30" s="2" t="s">
        <v>73</v>
      </c>
      <c r="G30" s="2"/>
      <c r="H30" s="3">
        <v>46162</v>
      </c>
      <c r="I30" s="3">
        <v>46207</v>
      </c>
      <c r="J30" s="2" t="s">
        <v>88</v>
      </c>
      <c r="K30" s="2" t="s">
        <v>53</v>
      </c>
      <c r="L30" s="2" t="s">
        <v>75</v>
      </c>
      <c r="M30" s="2" t="s">
        <v>66</v>
      </c>
      <c r="N30" s="2" t="s">
        <v>177</v>
      </c>
      <c r="O30" s="3"/>
      <c r="P30" s="3"/>
      <c r="Q30" s="2" t="s">
        <v>57</v>
      </c>
      <c r="R30" s="2">
        <f t="shared" ca="1" si="0"/>
        <v>27</v>
      </c>
      <c r="S30" s="2" t="str">
        <f t="shared" si="1"/>
        <v/>
      </c>
      <c r="T30" s="2">
        <f t="shared" ca="1" si="2"/>
        <v>18</v>
      </c>
      <c r="U30" s="2" t="str">
        <f t="shared" ca="1" si="3"/>
        <v>N/A</v>
      </c>
      <c r="V30" s="2" t="str">
        <f t="shared" ca="1" si="4"/>
        <v>Normal</v>
      </c>
    </row>
    <row r="31" spans="1:22" ht="28">
      <c r="A31" s="2" t="s">
        <v>178</v>
      </c>
      <c r="B31" s="2" t="s">
        <v>78</v>
      </c>
      <c r="C31" s="2" t="s">
        <v>179</v>
      </c>
      <c r="D31" s="4">
        <v>15958.2</v>
      </c>
      <c r="E31" s="2" t="s">
        <v>103</v>
      </c>
      <c r="F31" s="2" t="s">
        <v>50</v>
      </c>
      <c r="G31" s="2" t="s">
        <v>180</v>
      </c>
      <c r="H31" s="3">
        <v>46143</v>
      </c>
      <c r="I31" s="3">
        <v>46173</v>
      </c>
      <c r="J31" s="2" t="s">
        <v>104</v>
      </c>
      <c r="K31" s="2" t="s">
        <v>53</v>
      </c>
      <c r="L31" s="2" t="s">
        <v>54</v>
      </c>
      <c r="M31" s="2" t="s">
        <v>55</v>
      </c>
      <c r="N31" s="2" t="s">
        <v>82</v>
      </c>
      <c r="O31" s="3">
        <v>46163</v>
      </c>
      <c r="P31" s="3">
        <v>46174</v>
      </c>
      <c r="Q31" s="2" t="s">
        <v>57</v>
      </c>
      <c r="R31" s="2">
        <f t="shared" ca="1" si="0"/>
        <v>46</v>
      </c>
      <c r="S31" s="2">
        <f t="shared" si="1"/>
        <v>20</v>
      </c>
      <c r="T31" s="2">
        <f t="shared" ca="1" si="2"/>
        <v>-16</v>
      </c>
      <c r="U31" s="2" t="str">
        <f t="shared" ca="1" si="3"/>
        <v>N/A</v>
      </c>
      <c r="V31" s="2" t="str">
        <f t="shared" ca="1" si="4"/>
        <v>Normal</v>
      </c>
    </row>
    <row r="32" spans="1:22" ht="28">
      <c r="A32" s="2" t="s">
        <v>181</v>
      </c>
      <c r="B32" s="2" t="s">
        <v>133</v>
      </c>
      <c r="C32" s="2" t="s">
        <v>182</v>
      </c>
      <c r="D32" s="4">
        <v>644.29999999999995</v>
      </c>
      <c r="E32" s="2" t="s">
        <v>61</v>
      </c>
      <c r="F32" s="2" t="s">
        <v>50</v>
      </c>
      <c r="G32" s="2" t="s">
        <v>183</v>
      </c>
      <c r="H32" s="3">
        <v>46175</v>
      </c>
      <c r="I32" s="3">
        <v>46220</v>
      </c>
      <c r="J32" s="2" t="s">
        <v>63</v>
      </c>
      <c r="K32" s="2" t="s">
        <v>64</v>
      </c>
      <c r="L32" s="2" t="s">
        <v>65</v>
      </c>
      <c r="M32" s="2" t="s">
        <v>184</v>
      </c>
      <c r="N32" s="2" t="s">
        <v>82</v>
      </c>
      <c r="O32" s="3">
        <v>46189</v>
      </c>
      <c r="P32" s="3"/>
      <c r="Q32" s="2" t="s">
        <v>57</v>
      </c>
      <c r="R32" s="2">
        <f t="shared" ca="1" si="0"/>
        <v>14</v>
      </c>
      <c r="S32" s="2">
        <f t="shared" si="1"/>
        <v>14</v>
      </c>
      <c r="T32" s="2">
        <f t="shared" ca="1" si="2"/>
        <v>31</v>
      </c>
      <c r="U32" s="2" t="str">
        <f t="shared" ca="1" si="3"/>
        <v>N/A</v>
      </c>
      <c r="V32" s="2" t="str">
        <f t="shared" ca="1" si="4"/>
        <v>Normal</v>
      </c>
    </row>
    <row r="33" spans="1:22" ht="28">
      <c r="A33" s="2" t="s">
        <v>185</v>
      </c>
      <c r="B33" s="2" t="s">
        <v>78</v>
      </c>
      <c r="C33" s="2" t="s">
        <v>186</v>
      </c>
      <c r="D33" s="4">
        <v>13288.41</v>
      </c>
      <c r="E33" s="2" t="s">
        <v>99</v>
      </c>
      <c r="F33" s="2" t="s">
        <v>73</v>
      </c>
      <c r="G33" s="2"/>
      <c r="H33" s="3">
        <v>46183</v>
      </c>
      <c r="I33" s="3">
        <v>46228</v>
      </c>
      <c r="J33" s="2" t="s">
        <v>187</v>
      </c>
      <c r="K33" s="2" t="s">
        <v>53</v>
      </c>
      <c r="L33" s="2" t="s">
        <v>75</v>
      </c>
      <c r="M33" s="2" t="s">
        <v>109</v>
      </c>
      <c r="N33" s="2" t="s">
        <v>177</v>
      </c>
      <c r="O33" s="3"/>
      <c r="P33" s="3"/>
      <c r="Q33" s="2" t="s">
        <v>57</v>
      </c>
      <c r="R33" s="2">
        <f t="shared" ca="1" si="0"/>
        <v>6</v>
      </c>
      <c r="S33" s="2" t="str">
        <f t="shared" si="1"/>
        <v/>
      </c>
      <c r="T33" s="2">
        <f t="shared" ca="1" si="2"/>
        <v>39</v>
      </c>
      <c r="U33" s="2" t="str">
        <f t="shared" ca="1" si="3"/>
        <v>N/A</v>
      </c>
      <c r="V33" s="2" t="str">
        <f t="shared" ca="1" si="4"/>
        <v>Normal</v>
      </c>
    </row>
    <row r="34" spans="1:22" ht="28">
      <c r="A34" s="2" t="s">
        <v>188</v>
      </c>
      <c r="B34" s="2" t="s">
        <v>189</v>
      </c>
      <c r="C34" s="2" t="s">
        <v>190</v>
      </c>
      <c r="D34" s="4">
        <v>1408.77</v>
      </c>
      <c r="E34" s="2" t="s">
        <v>49</v>
      </c>
      <c r="F34" s="2" t="s">
        <v>73</v>
      </c>
      <c r="G34" s="2"/>
      <c r="H34" s="3">
        <v>46150</v>
      </c>
      <c r="I34" s="3">
        <v>46180</v>
      </c>
      <c r="J34" s="2" t="s">
        <v>80</v>
      </c>
      <c r="K34" s="2" t="s">
        <v>64</v>
      </c>
      <c r="L34" s="2" t="s">
        <v>54</v>
      </c>
      <c r="M34" s="2" t="s">
        <v>109</v>
      </c>
      <c r="N34" s="2" t="s">
        <v>177</v>
      </c>
      <c r="O34" s="3"/>
      <c r="P34" s="3"/>
      <c r="Q34" s="2" t="s">
        <v>68</v>
      </c>
      <c r="R34" s="2">
        <f t="shared" ca="1" si="0"/>
        <v>39</v>
      </c>
      <c r="S34" s="2" t="str">
        <f t="shared" si="1"/>
        <v/>
      </c>
      <c r="T34" s="2">
        <f t="shared" ca="1" si="2"/>
        <v>-9</v>
      </c>
      <c r="U34" s="2" t="str">
        <f t="shared" ca="1" si="3"/>
        <v>N/A</v>
      </c>
      <c r="V34" s="2" t="str">
        <f t="shared" ca="1" si="4"/>
        <v>At Risk</v>
      </c>
    </row>
    <row r="35" spans="1:22" ht="28">
      <c r="A35" s="2" t="s">
        <v>191</v>
      </c>
      <c r="B35" s="2" t="s">
        <v>133</v>
      </c>
      <c r="C35" s="2" t="s">
        <v>192</v>
      </c>
      <c r="D35" s="4">
        <v>14493.01</v>
      </c>
      <c r="E35" s="2" t="s">
        <v>93</v>
      </c>
      <c r="F35" s="2" t="s">
        <v>73</v>
      </c>
      <c r="G35" s="2"/>
      <c r="H35" s="3">
        <v>46159</v>
      </c>
      <c r="I35" s="3">
        <v>46174</v>
      </c>
      <c r="J35" s="2" t="s">
        <v>193</v>
      </c>
      <c r="K35" s="2" t="s">
        <v>53</v>
      </c>
      <c r="L35" s="2" t="s">
        <v>65</v>
      </c>
      <c r="M35" s="2" t="s">
        <v>89</v>
      </c>
      <c r="N35" s="2" t="s">
        <v>82</v>
      </c>
      <c r="O35" s="3"/>
      <c r="P35" s="3"/>
      <c r="Q35" s="2" t="s">
        <v>68</v>
      </c>
      <c r="R35" s="2">
        <f t="shared" ca="1" si="0"/>
        <v>30</v>
      </c>
      <c r="S35" s="2" t="str">
        <f t="shared" si="1"/>
        <v/>
      </c>
      <c r="T35" s="2">
        <f t="shared" ca="1" si="2"/>
        <v>-15</v>
      </c>
      <c r="U35" s="2" t="str">
        <f t="shared" ca="1" si="3"/>
        <v>N/A</v>
      </c>
      <c r="V35" s="2" t="str">
        <f t="shared" ca="1" si="4"/>
        <v>At Risk</v>
      </c>
    </row>
    <row r="36" spans="1:22" ht="28">
      <c r="A36" s="2" t="s">
        <v>194</v>
      </c>
      <c r="B36" s="2" t="s">
        <v>59</v>
      </c>
      <c r="C36" s="2" t="s">
        <v>195</v>
      </c>
      <c r="D36" s="4">
        <v>951.36</v>
      </c>
      <c r="E36" s="2" t="s">
        <v>135</v>
      </c>
      <c r="F36" s="2" t="s">
        <v>50</v>
      </c>
      <c r="G36" s="2" t="s">
        <v>196</v>
      </c>
      <c r="H36" s="3">
        <v>46167</v>
      </c>
      <c r="I36" s="3">
        <v>46212</v>
      </c>
      <c r="J36" s="2" t="s">
        <v>137</v>
      </c>
      <c r="K36" s="2" t="s">
        <v>64</v>
      </c>
      <c r="L36" s="2" t="s">
        <v>75</v>
      </c>
      <c r="M36" s="2" t="s">
        <v>95</v>
      </c>
      <c r="N36" s="2" t="s">
        <v>82</v>
      </c>
      <c r="O36" s="3">
        <v>46182</v>
      </c>
      <c r="P36" s="3"/>
      <c r="Q36" s="2" t="s">
        <v>57</v>
      </c>
      <c r="R36" s="2">
        <f t="shared" ref="R36:R67" ca="1" si="5">TODAY()-H36</f>
        <v>22</v>
      </c>
      <c r="S36" s="2">
        <f t="shared" ref="S36:S67" si="6">IF(O36="","",O36-H36)</f>
        <v>15</v>
      </c>
      <c r="T36" s="2">
        <f t="shared" ref="T36:T67" ca="1" si="7">I36-TODAY()</f>
        <v>23</v>
      </c>
      <c r="U36" s="2" t="str">
        <f t="shared" ref="U36:U67" ca="1" si="8">IF(AND(M36="Pending Approval",R36&gt;5),"Overdue",IF(M36="Pending Approval","On Track","N/A"))</f>
        <v>N/A</v>
      </c>
      <c r="V36" s="2" t="str">
        <f t="shared" ref="V36:V67" ca="1" si="9">IF(AND(M36&lt;&gt;"Paid",M36&lt;&gt;"Rejected",T36&lt;=7),"At Risk","Normal")</f>
        <v>Normal</v>
      </c>
    </row>
    <row r="37" spans="1:22" ht="28">
      <c r="A37" s="2" t="s">
        <v>197</v>
      </c>
      <c r="B37" s="2" t="s">
        <v>84</v>
      </c>
      <c r="C37" s="2" t="s">
        <v>198</v>
      </c>
      <c r="D37" s="4">
        <v>22612.25</v>
      </c>
      <c r="E37" s="2" t="s">
        <v>61</v>
      </c>
      <c r="F37" s="2" t="s">
        <v>50</v>
      </c>
      <c r="G37" s="2" t="s">
        <v>199</v>
      </c>
      <c r="H37" s="3">
        <v>46179</v>
      </c>
      <c r="I37" s="3">
        <v>46209</v>
      </c>
      <c r="J37" s="2" t="s">
        <v>117</v>
      </c>
      <c r="K37" s="2" t="s">
        <v>53</v>
      </c>
      <c r="L37" s="2" t="s">
        <v>54</v>
      </c>
      <c r="M37" s="2" t="s">
        <v>89</v>
      </c>
      <c r="N37" s="2" t="s">
        <v>82</v>
      </c>
      <c r="O37" s="3"/>
      <c r="P37" s="3"/>
      <c r="Q37" s="2" t="s">
        <v>57</v>
      </c>
      <c r="R37" s="2">
        <f t="shared" ca="1" si="5"/>
        <v>10</v>
      </c>
      <c r="S37" s="2" t="str">
        <f t="shared" si="6"/>
        <v/>
      </c>
      <c r="T37" s="2">
        <f t="shared" ca="1" si="7"/>
        <v>20</v>
      </c>
      <c r="U37" s="2" t="str">
        <f t="shared" ca="1" si="8"/>
        <v>N/A</v>
      </c>
      <c r="V37" s="2" t="str">
        <f t="shared" ca="1" si="9"/>
        <v>Normal</v>
      </c>
    </row>
    <row r="38" spans="1:22" ht="28">
      <c r="A38" s="2" t="s">
        <v>200</v>
      </c>
      <c r="B38" s="2" t="s">
        <v>201</v>
      </c>
      <c r="C38" s="2" t="s">
        <v>202</v>
      </c>
      <c r="D38" s="4">
        <v>2508.2399999999998</v>
      </c>
      <c r="E38" s="2" t="s">
        <v>103</v>
      </c>
      <c r="F38" s="2" t="s">
        <v>73</v>
      </c>
      <c r="G38" s="2"/>
      <c r="H38" s="3">
        <v>46167</v>
      </c>
      <c r="I38" s="3">
        <v>46197</v>
      </c>
      <c r="J38" s="2" t="s">
        <v>108</v>
      </c>
      <c r="K38" s="2" t="s">
        <v>64</v>
      </c>
      <c r="L38" s="2" t="s">
        <v>65</v>
      </c>
      <c r="M38" s="2" t="s">
        <v>184</v>
      </c>
      <c r="N38" s="2" t="s">
        <v>82</v>
      </c>
      <c r="O38" s="3">
        <v>46183</v>
      </c>
      <c r="P38" s="3"/>
      <c r="Q38" s="2" t="s">
        <v>57</v>
      </c>
      <c r="R38" s="2">
        <f t="shared" ca="1" si="5"/>
        <v>22</v>
      </c>
      <c r="S38" s="2">
        <f t="shared" si="6"/>
        <v>16</v>
      </c>
      <c r="T38" s="2">
        <f t="shared" ca="1" si="7"/>
        <v>8</v>
      </c>
      <c r="U38" s="2" t="str">
        <f t="shared" ca="1" si="8"/>
        <v>N/A</v>
      </c>
      <c r="V38" s="2" t="str">
        <f t="shared" ca="1" si="9"/>
        <v>Normal</v>
      </c>
    </row>
    <row r="39" spans="1:22" ht="28">
      <c r="A39" s="2" t="s">
        <v>203</v>
      </c>
      <c r="B39" s="2" t="s">
        <v>204</v>
      </c>
      <c r="C39" s="2" t="s">
        <v>205</v>
      </c>
      <c r="D39" s="4">
        <v>4280.8599999999997</v>
      </c>
      <c r="E39" s="2" t="s">
        <v>103</v>
      </c>
      <c r="F39" s="2" t="s">
        <v>50</v>
      </c>
      <c r="G39" s="2" t="s">
        <v>206</v>
      </c>
      <c r="H39" s="3">
        <v>46154</v>
      </c>
      <c r="I39" s="3">
        <v>46169</v>
      </c>
      <c r="J39" s="2" t="s">
        <v>108</v>
      </c>
      <c r="K39" s="2" t="s">
        <v>64</v>
      </c>
      <c r="L39" s="2" t="s">
        <v>75</v>
      </c>
      <c r="M39" s="2" t="s">
        <v>55</v>
      </c>
      <c r="N39" s="2" t="s">
        <v>82</v>
      </c>
      <c r="O39" s="3">
        <v>46170</v>
      </c>
      <c r="P39" s="3">
        <v>46177</v>
      </c>
      <c r="Q39" s="2" t="s">
        <v>57</v>
      </c>
      <c r="R39" s="2">
        <f t="shared" ca="1" si="5"/>
        <v>35</v>
      </c>
      <c r="S39" s="2">
        <f t="shared" si="6"/>
        <v>16</v>
      </c>
      <c r="T39" s="2">
        <f t="shared" ca="1" si="7"/>
        <v>-20</v>
      </c>
      <c r="U39" s="2" t="str">
        <f t="shared" ca="1" si="8"/>
        <v>N/A</v>
      </c>
      <c r="V39" s="2" t="str">
        <f t="shared" ca="1" si="9"/>
        <v>Normal</v>
      </c>
    </row>
    <row r="40" spans="1:22" ht="28">
      <c r="A40" s="2" t="s">
        <v>207</v>
      </c>
      <c r="B40" s="2" t="s">
        <v>208</v>
      </c>
      <c r="C40" s="2" t="s">
        <v>209</v>
      </c>
      <c r="D40" s="4">
        <v>24037.439999999999</v>
      </c>
      <c r="E40" s="2" t="s">
        <v>135</v>
      </c>
      <c r="F40" s="2" t="s">
        <v>73</v>
      </c>
      <c r="G40" s="2"/>
      <c r="H40" s="3">
        <v>46157</v>
      </c>
      <c r="I40" s="3">
        <v>46202</v>
      </c>
      <c r="J40" s="2" t="s">
        <v>210</v>
      </c>
      <c r="K40" s="2" t="s">
        <v>53</v>
      </c>
      <c r="L40" s="2" t="s">
        <v>54</v>
      </c>
      <c r="M40" s="2" t="s">
        <v>211</v>
      </c>
      <c r="N40" s="2" t="s">
        <v>76</v>
      </c>
      <c r="O40" s="3"/>
      <c r="P40" s="3"/>
      <c r="Q40" s="2" t="s">
        <v>57</v>
      </c>
      <c r="R40" s="2">
        <f t="shared" ca="1" si="5"/>
        <v>32</v>
      </c>
      <c r="S40" s="2" t="str">
        <f t="shared" si="6"/>
        <v/>
      </c>
      <c r="T40" s="2">
        <f t="shared" ca="1" si="7"/>
        <v>13</v>
      </c>
      <c r="U40" s="2" t="str">
        <f t="shared" ca="1" si="8"/>
        <v>Overdue</v>
      </c>
      <c r="V40" s="2" t="str">
        <f t="shared" ca="1" si="9"/>
        <v>Normal</v>
      </c>
    </row>
    <row r="41" spans="1:22" ht="28">
      <c r="A41" s="2" t="s">
        <v>212</v>
      </c>
      <c r="B41" s="2" t="s">
        <v>189</v>
      </c>
      <c r="C41" s="2" t="s">
        <v>213</v>
      </c>
      <c r="D41" s="4">
        <v>1441.53</v>
      </c>
      <c r="E41" s="2" t="s">
        <v>93</v>
      </c>
      <c r="F41" s="2" t="s">
        <v>50</v>
      </c>
      <c r="G41" s="2" t="s">
        <v>214</v>
      </c>
      <c r="H41" s="3">
        <v>46166</v>
      </c>
      <c r="I41" s="3">
        <v>46181</v>
      </c>
      <c r="J41" s="2" t="s">
        <v>94</v>
      </c>
      <c r="K41" s="2" t="s">
        <v>64</v>
      </c>
      <c r="L41" s="2" t="s">
        <v>65</v>
      </c>
      <c r="M41" s="2" t="s">
        <v>109</v>
      </c>
      <c r="N41" s="2" t="s">
        <v>82</v>
      </c>
      <c r="O41" s="3"/>
      <c r="P41" s="3"/>
      <c r="Q41" s="2" t="s">
        <v>68</v>
      </c>
      <c r="R41" s="2">
        <f t="shared" ca="1" si="5"/>
        <v>23</v>
      </c>
      <c r="S41" s="2" t="str">
        <f t="shared" si="6"/>
        <v/>
      </c>
      <c r="T41" s="2">
        <f t="shared" ca="1" si="7"/>
        <v>-8</v>
      </c>
      <c r="U41" s="2" t="str">
        <f t="shared" ca="1" si="8"/>
        <v>N/A</v>
      </c>
      <c r="V41" s="2" t="str">
        <f t="shared" ca="1" si="9"/>
        <v>At Risk</v>
      </c>
    </row>
    <row r="42" spans="1:22" ht="28">
      <c r="A42" s="2" t="s">
        <v>215</v>
      </c>
      <c r="B42" s="2" t="s">
        <v>106</v>
      </c>
      <c r="C42" s="2" t="s">
        <v>216</v>
      </c>
      <c r="D42" s="4">
        <v>3574.82</v>
      </c>
      <c r="E42" s="2" t="s">
        <v>135</v>
      </c>
      <c r="F42" s="2" t="s">
        <v>50</v>
      </c>
      <c r="G42" s="2" t="s">
        <v>217</v>
      </c>
      <c r="H42" s="3">
        <v>46147</v>
      </c>
      <c r="I42" s="3">
        <v>46192</v>
      </c>
      <c r="J42" s="2" t="s">
        <v>137</v>
      </c>
      <c r="K42" s="2" t="s">
        <v>64</v>
      </c>
      <c r="L42" s="2" t="s">
        <v>75</v>
      </c>
      <c r="M42" s="2" t="s">
        <v>95</v>
      </c>
      <c r="N42" s="2" t="s">
        <v>82</v>
      </c>
      <c r="O42" s="3">
        <v>46152</v>
      </c>
      <c r="P42" s="3"/>
      <c r="Q42" s="2" t="s">
        <v>68</v>
      </c>
      <c r="R42" s="2">
        <f t="shared" ca="1" si="5"/>
        <v>42</v>
      </c>
      <c r="S42" s="2">
        <f t="shared" si="6"/>
        <v>5</v>
      </c>
      <c r="T42" s="2">
        <f t="shared" ca="1" si="7"/>
        <v>3</v>
      </c>
      <c r="U42" s="2" t="str">
        <f t="shared" ca="1" si="8"/>
        <v>N/A</v>
      </c>
      <c r="V42" s="2" t="str">
        <f t="shared" ca="1" si="9"/>
        <v>At Risk</v>
      </c>
    </row>
    <row r="43" spans="1:22" ht="28">
      <c r="A43" s="2" t="s">
        <v>218</v>
      </c>
      <c r="B43" s="2" t="s">
        <v>115</v>
      </c>
      <c r="C43" s="2" t="s">
        <v>219</v>
      </c>
      <c r="D43" s="4">
        <v>1973.15</v>
      </c>
      <c r="E43" s="2" t="s">
        <v>93</v>
      </c>
      <c r="F43" s="2" t="s">
        <v>73</v>
      </c>
      <c r="G43" s="2"/>
      <c r="H43" s="3">
        <v>46175</v>
      </c>
      <c r="I43" s="3">
        <v>46220</v>
      </c>
      <c r="J43" s="2" t="s">
        <v>94</v>
      </c>
      <c r="K43" s="2" t="s">
        <v>64</v>
      </c>
      <c r="L43" s="2" t="s">
        <v>54</v>
      </c>
      <c r="M43" s="2" t="s">
        <v>184</v>
      </c>
      <c r="N43" s="2" t="s">
        <v>177</v>
      </c>
      <c r="O43" s="3">
        <v>46182</v>
      </c>
      <c r="P43" s="3"/>
      <c r="Q43" s="2" t="s">
        <v>57</v>
      </c>
      <c r="R43" s="2">
        <f t="shared" ca="1" si="5"/>
        <v>14</v>
      </c>
      <c r="S43" s="2">
        <f t="shared" si="6"/>
        <v>7</v>
      </c>
      <c r="T43" s="2">
        <f t="shared" ca="1" si="7"/>
        <v>31</v>
      </c>
      <c r="U43" s="2" t="str">
        <f t="shared" ca="1" si="8"/>
        <v>N/A</v>
      </c>
      <c r="V43" s="2" t="str">
        <f t="shared" ca="1" si="9"/>
        <v>Normal</v>
      </c>
    </row>
    <row r="44" spans="1:22" ht="28">
      <c r="A44" s="2" t="s">
        <v>220</v>
      </c>
      <c r="B44" s="2" t="s">
        <v>133</v>
      </c>
      <c r="C44" s="2" t="s">
        <v>221</v>
      </c>
      <c r="D44" s="4">
        <v>14669.47</v>
      </c>
      <c r="E44" s="2" t="s">
        <v>86</v>
      </c>
      <c r="F44" s="2" t="s">
        <v>50</v>
      </c>
      <c r="G44" s="2" t="s">
        <v>222</v>
      </c>
      <c r="H44" s="3">
        <v>46170</v>
      </c>
      <c r="I44" s="3">
        <v>46215</v>
      </c>
      <c r="J44" s="2" t="s">
        <v>88</v>
      </c>
      <c r="K44" s="2" t="s">
        <v>53</v>
      </c>
      <c r="L44" s="2" t="s">
        <v>65</v>
      </c>
      <c r="M44" s="2" t="s">
        <v>95</v>
      </c>
      <c r="N44" s="2" t="s">
        <v>82</v>
      </c>
      <c r="O44" s="3">
        <v>46179</v>
      </c>
      <c r="P44" s="3"/>
      <c r="Q44" s="2" t="s">
        <v>57</v>
      </c>
      <c r="R44" s="2">
        <f t="shared" ca="1" si="5"/>
        <v>19</v>
      </c>
      <c r="S44" s="2">
        <f t="shared" si="6"/>
        <v>9</v>
      </c>
      <c r="T44" s="2">
        <f t="shared" ca="1" si="7"/>
        <v>26</v>
      </c>
      <c r="U44" s="2" t="str">
        <f t="shared" ca="1" si="8"/>
        <v>N/A</v>
      </c>
      <c r="V44" s="2" t="str">
        <f t="shared" ca="1" si="9"/>
        <v>Normal</v>
      </c>
    </row>
    <row r="45" spans="1:22" ht="28">
      <c r="A45" s="2" t="s">
        <v>223</v>
      </c>
      <c r="B45" s="2" t="s">
        <v>133</v>
      </c>
      <c r="C45" s="2" t="s">
        <v>224</v>
      </c>
      <c r="D45" s="4">
        <v>9242.18</v>
      </c>
      <c r="E45" s="2" t="s">
        <v>99</v>
      </c>
      <c r="F45" s="2" t="s">
        <v>73</v>
      </c>
      <c r="G45" s="2"/>
      <c r="H45" s="3">
        <v>46159</v>
      </c>
      <c r="I45" s="3">
        <v>46189</v>
      </c>
      <c r="J45" s="2" t="s">
        <v>187</v>
      </c>
      <c r="K45" s="2" t="s">
        <v>53</v>
      </c>
      <c r="L45" s="2" t="s">
        <v>75</v>
      </c>
      <c r="M45" s="2" t="s">
        <v>95</v>
      </c>
      <c r="N45" s="2" t="s">
        <v>67</v>
      </c>
      <c r="O45" s="3">
        <v>46161</v>
      </c>
      <c r="P45" s="3"/>
      <c r="Q45" s="2" t="s">
        <v>68</v>
      </c>
      <c r="R45" s="2">
        <f t="shared" ca="1" si="5"/>
        <v>30</v>
      </c>
      <c r="S45" s="2">
        <f t="shared" si="6"/>
        <v>2</v>
      </c>
      <c r="T45" s="2">
        <f t="shared" ca="1" si="7"/>
        <v>0</v>
      </c>
      <c r="U45" s="2" t="str">
        <f t="shared" ca="1" si="8"/>
        <v>N/A</v>
      </c>
      <c r="V45" s="2" t="str">
        <f t="shared" ca="1" si="9"/>
        <v>At Risk</v>
      </c>
    </row>
    <row r="46" spans="1:22" ht="28">
      <c r="A46" s="2" t="s">
        <v>225</v>
      </c>
      <c r="B46" s="2" t="s">
        <v>91</v>
      </c>
      <c r="C46" s="2" t="s">
        <v>226</v>
      </c>
      <c r="D46" s="4">
        <v>20857.86</v>
      </c>
      <c r="E46" s="2" t="s">
        <v>49</v>
      </c>
      <c r="F46" s="2" t="s">
        <v>50</v>
      </c>
      <c r="G46" s="2" t="s">
        <v>227</v>
      </c>
      <c r="H46" s="3">
        <v>46148</v>
      </c>
      <c r="I46" s="3">
        <v>46178</v>
      </c>
      <c r="J46" s="2" t="s">
        <v>52</v>
      </c>
      <c r="K46" s="2" t="s">
        <v>53</v>
      </c>
      <c r="L46" s="2" t="s">
        <v>54</v>
      </c>
      <c r="M46" s="2" t="s">
        <v>95</v>
      </c>
      <c r="N46" s="2" t="s">
        <v>82</v>
      </c>
      <c r="O46" s="3">
        <v>46159</v>
      </c>
      <c r="P46" s="3"/>
      <c r="Q46" s="2" t="s">
        <v>68</v>
      </c>
      <c r="R46" s="2">
        <f t="shared" ca="1" si="5"/>
        <v>41</v>
      </c>
      <c r="S46" s="2">
        <f t="shared" si="6"/>
        <v>11</v>
      </c>
      <c r="T46" s="2">
        <f t="shared" ca="1" si="7"/>
        <v>-11</v>
      </c>
      <c r="U46" s="2" t="str">
        <f t="shared" ca="1" si="8"/>
        <v>N/A</v>
      </c>
      <c r="V46" s="2" t="str">
        <f t="shared" ca="1" si="9"/>
        <v>At Risk</v>
      </c>
    </row>
    <row r="47" spans="1:22" ht="28">
      <c r="A47" s="2" t="s">
        <v>228</v>
      </c>
      <c r="B47" s="2" t="s">
        <v>97</v>
      </c>
      <c r="C47" s="2" t="s">
        <v>229</v>
      </c>
      <c r="D47" s="4">
        <v>10027.82</v>
      </c>
      <c r="E47" s="2" t="s">
        <v>61</v>
      </c>
      <c r="F47" s="2" t="s">
        <v>50</v>
      </c>
      <c r="G47" s="2" t="s">
        <v>230</v>
      </c>
      <c r="H47" s="3">
        <v>46150</v>
      </c>
      <c r="I47" s="3">
        <v>46195</v>
      </c>
      <c r="J47" s="2" t="s">
        <v>117</v>
      </c>
      <c r="K47" s="2" t="s">
        <v>53</v>
      </c>
      <c r="L47" s="2" t="s">
        <v>65</v>
      </c>
      <c r="M47" s="2" t="s">
        <v>55</v>
      </c>
      <c r="N47" s="2" t="s">
        <v>82</v>
      </c>
      <c r="O47" s="3">
        <v>46169</v>
      </c>
      <c r="P47" s="3">
        <v>46173</v>
      </c>
      <c r="Q47" s="2" t="s">
        <v>57</v>
      </c>
      <c r="R47" s="2">
        <f t="shared" ca="1" si="5"/>
        <v>39</v>
      </c>
      <c r="S47" s="2">
        <f t="shared" si="6"/>
        <v>19</v>
      </c>
      <c r="T47" s="2">
        <f t="shared" ca="1" si="7"/>
        <v>6</v>
      </c>
      <c r="U47" s="2" t="str">
        <f t="shared" ca="1" si="8"/>
        <v>N/A</v>
      </c>
      <c r="V47" s="2" t="str">
        <f t="shared" ca="1" si="9"/>
        <v>Normal</v>
      </c>
    </row>
    <row r="48" spans="1:22" ht="28">
      <c r="A48" s="2" t="s">
        <v>231</v>
      </c>
      <c r="B48" s="2" t="s">
        <v>166</v>
      </c>
      <c r="C48" s="2" t="s">
        <v>232</v>
      </c>
      <c r="D48" s="4">
        <v>12217.26</v>
      </c>
      <c r="E48" s="2" t="s">
        <v>61</v>
      </c>
      <c r="F48" s="2" t="s">
        <v>50</v>
      </c>
      <c r="G48" s="2" t="s">
        <v>233</v>
      </c>
      <c r="H48" s="3">
        <v>46162</v>
      </c>
      <c r="I48" s="3">
        <v>46177</v>
      </c>
      <c r="J48" s="2" t="s">
        <v>117</v>
      </c>
      <c r="K48" s="2" t="s">
        <v>53</v>
      </c>
      <c r="L48" s="2" t="s">
        <v>75</v>
      </c>
      <c r="M48" s="2" t="s">
        <v>95</v>
      </c>
      <c r="N48" s="2" t="s">
        <v>82</v>
      </c>
      <c r="O48" s="3">
        <v>46165</v>
      </c>
      <c r="P48" s="3"/>
      <c r="Q48" s="2" t="s">
        <v>68</v>
      </c>
      <c r="R48" s="2">
        <f t="shared" ca="1" si="5"/>
        <v>27</v>
      </c>
      <c r="S48" s="2">
        <f t="shared" si="6"/>
        <v>3</v>
      </c>
      <c r="T48" s="2">
        <f t="shared" ca="1" si="7"/>
        <v>-12</v>
      </c>
      <c r="U48" s="2" t="str">
        <f t="shared" ca="1" si="8"/>
        <v>N/A</v>
      </c>
      <c r="V48" s="2" t="str">
        <f t="shared" ca="1" si="9"/>
        <v>At Risk</v>
      </c>
    </row>
    <row r="49" spans="1:22" ht="28">
      <c r="A49" s="2" t="s">
        <v>234</v>
      </c>
      <c r="B49" s="2" t="s">
        <v>78</v>
      </c>
      <c r="C49" s="2" t="s">
        <v>235</v>
      </c>
      <c r="D49" s="4">
        <v>13808.94</v>
      </c>
      <c r="E49" s="2" t="s">
        <v>86</v>
      </c>
      <c r="F49" s="2" t="s">
        <v>73</v>
      </c>
      <c r="G49" s="2"/>
      <c r="H49" s="3">
        <v>46154</v>
      </c>
      <c r="I49" s="3">
        <v>46169</v>
      </c>
      <c r="J49" s="2" t="s">
        <v>88</v>
      </c>
      <c r="K49" s="2" t="s">
        <v>53</v>
      </c>
      <c r="L49" s="2" t="s">
        <v>54</v>
      </c>
      <c r="M49" s="2" t="s">
        <v>66</v>
      </c>
      <c r="N49" s="2" t="s">
        <v>177</v>
      </c>
      <c r="O49" s="3"/>
      <c r="P49" s="3"/>
      <c r="Q49" s="2" t="s">
        <v>68</v>
      </c>
      <c r="R49" s="2">
        <f t="shared" ca="1" si="5"/>
        <v>35</v>
      </c>
      <c r="S49" s="2" t="str">
        <f t="shared" si="6"/>
        <v/>
      </c>
      <c r="T49" s="2">
        <f t="shared" ca="1" si="7"/>
        <v>-20</v>
      </c>
      <c r="U49" s="2" t="str">
        <f t="shared" ca="1" si="8"/>
        <v>N/A</v>
      </c>
      <c r="V49" s="2" t="str">
        <f t="shared" ca="1" si="9"/>
        <v>At Risk</v>
      </c>
    </row>
    <row r="50" spans="1:22" ht="28">
      <c r="A50" s="2" t="s">
        <v>236</v>
      </c>
      <c r="B50" s="2" t="s">
        <v>208</v>
      </c>
      <c r="C50" s="2" t="s">
        <v>237</v>
      </c>
      <c r="D50" s="4">
        <v>9963.57</v>
      </c>
      <c r="E50" s="2" t="s">
        <v>61</v>
      </c>
      <c r="F50" s="2" t="s">
        <v>50</v>
      </c>
      <c r="G50" s="2" t="s">
        <v>238</v>
      </c>
      <c r="H50" s="3">
        <v>46178</v>
      </c>
      <c r="I50" s="3">
        <v>46208</v>
      </c>
      <c r="J50" s="2" t="s">
        <v>117</v>
      </c>
      <c r="K50" s="2" t="s">
        <v>53</v>
      </c>
      <c r="L50" s="2" t="s">
        <v>65</v>
      </c>
      <c r="M50" s="2" t="s">
        <v>211</v>
      </c>
      <c r="N50" s="2" t="s">
        <v>82</v>
      </c>
      <c r="O50" s="3"/>
      <c r="P50" s="3"/>
      <c r="Q50" s="2" t="s">
        <v>57</v>
      </c>
      <c r="R50" s="2">
        <f t="shared" ca="1" si="5"/>
        <v>11</v>
      </c>
      <c r="S50" s="2" t="str">
        <f t="shared" si="6"/>
        <v/>
      </c>
      <c r="T50" s="2">
        <f t="shared" ca="1" si="7"/>
        <v>19</v>
      </c>
      <c r="U50" s="2" t="str">
        <f t="shared" ca="1" si="8"/>
        <v>Overdue</v>
      </c>
      <c r="V50" s="2" t="str">
        <f t="shared" ca="1" si="9"/>
        <v>Normal</v>
      </c>
    </row>
    <row r="51" spans="1:22" ht="28">
      <c r="A51" s="2" t="s">
        <v>239</v>
      </c>
      <c r="B51" s="2" t="s">
        <v>133</v>
      </c>
      <c r="C51" s="2" t="s">
        <v>240</v>
      </c>
      <c r="D51" s="4">
        <v>23950.86</v>
      </c>
      <c r="E51" s="2" t="s">
        <v>61</v>
      </c>
      <c r="F51" s="2" t="s">
        <v>50</v>
      </c>
      <c r="G51" s="2" t="s">
        <v>241</v>
      </c>
      <c r="H51" s="3">
        <v>46156</v>
      </c>
      <c r="I51" s="3">
        <v>46201</v>
      </c>
      <c r="J51" s="2" t="s">
        <v>117</v>
      </c>
      <c r="K51" s="2" t="s">
        <v>53</v>
      </c>
      <c r="L51" s="2" t="s">
        <v>75</v>
      </c>
      <c r="M51" s="2" t="s">
        <v>95</v>
      </c>
      <c r="N51" s="2" t="s">
        <v>82</v>
      </c>
      <c r="O51" s="3">
        <v>46163</v>
      </c>
      <c r="P51" s="3"/>
      <c r="Q51" s="2" t="s">
        <v>57</v>
      </c>
      <c r="R51" s="2">
        <f t="shared" ca="1" si="5"/>
        <v>33</v>
      </c>
      <c r="S51" s="2">
        <f t="shared" si="6"/>
        <v>7</v>
      </c>
      <c r="T51" s="2">
        <f t="shared" ca="1" si="7"/>
        <v>12</v>
      </c>
      <c r="U51" s="2" t="str">
        <f t="shared" ca="1" si="8"/>
        <v>N/A</v>
      </c>
      <c r="V51" s="2" t="str">
        <f t="shared" ca="1" si="9"/>
        <v>Normal</v>
      </c>
    </row>
    <row r="52" spans="1:22" ht="28">
      <c r="A52" s="2" t="s">
        <v>242</v>
      </c>
      <c r="B52" s="2" t="s">
        <v>84</v>
      </c>
      <c r="C52" s="2" t="s">
        <v>243</v>
      </c>
      <c r="D52" s="4">
        <v>3537.34</v>
      </c>
      <c r="E52" s="2" t="s">
        <v>49</v>
      </c>
      <c r="F52" s="2" t="s">
        <v>50</v>
      </c>
      <c r="G52" s="2" t="s">
        <v>244</v>
      </c>
      <c r="H52" s="3">
        <v>46187</v>
      </c>
      <c r="I52" s="3">
        <v>46217</v>
      </c>
      <c r="J52" s="2" t="s">
        <v>80</v>
      </c>
      <c r="K52" s="2" t="s">
        <v>64</v>
      </c>
      <c r="L52" s="2" t="s">
        <v>54</v>
      </c>
      <c r="M52" s="2" t="s">
        <v>109</v>
      </c>
      <c r="N52" s="2" t="s">
        <v>56</v>
      </c>
      <c r="O52" s="3"/>
      <c r="P52" s="3"/>
      <c r="Q52" s="2" t="s">
        <v>57</v>
      </c>
      <c r="R52" s="2">
        <f t="shared" ca="1" si="5"/>
        <v>2</v>
      </c>
      <c r="S52" s="2" t="str">
        <f t="shared" si="6"/>
        <v/>
      </c>
      <c r="T52" s="2">
        <f t="shared" ca="1" si="7"/>
        <v>28</v>
      </c>
      <c r="U52" s="2" t="str">
        <f t="shared" ca="1" si="8"/>
        <v>N/A</v>
      </c>
      <c r="V52" s="2" t="str">
        <f t="shared" ca="1" si="9"/>
        <v>Normal</v>
      </c>
    </row>
    <row r="53" spans="1:22" ht="28">
      <c r="A53" s="2" t="s">
        <v>245</v>
      </c>
      <c r="B53" s="2" t="s">
        <v>91</v>
      </c>
      <c r="C53" s="2" t="s">
        <v>246</v>
      </c>
      <c r="D53" s="4">
        <v>1021.54</v>
      </c>
      <c r="E53" s="2" t="s">
        <v>157</v>
      </c>
      <c r="F53" s="2" t="s">
        <v>50</v>
      </c>
      <c r="G53" s="2" t="s">
        <v>247</v>
      </c>
      <c r="H53" s="3">
        <v>46162</v>
      </c>
      <c r="I53" s="3">
        <v>46207</v>
      </c>
      <c r="J53" s="2" t="s">
        <v>159</v>
      </c>
      <c r="K53" s="2" t="s">
        <v>64</v>
      </c>
      <c r="L53" s="2" t="s">
        <v>65</v>
      </c>
      <c r="M53" s="2" t="s">
        <v>95</v>
      </c>
      <c r="N53" s="2" t="s">
        <v>82</v>
      </c>
      <c r="O53" s="3">
        <v>46173</v>
      </c>
      <c r="P53" s="3"/>
      <c r="Q53" s="2" t="s">
        <v>57</v>
      </c>
      <c r="R53" s="2">
        <f t="shared" ca="1" si="5"/>
        <v>27</v>
      </c>
      <c r="S53" s="2">
        <f t="shared" si="6"/>
        <v>11</v>
      </c>
      <c r="T53" s="2">
        <f t="shared" ca="1" si="7"/>
        <v>18</v>
      </c>
      <c r="U53" s="2" t="str">
        <f t="shared" ca="1" si="8"/>
        <v>N/A</v>
      </c>
      <c r="V53" s="2" t="str">
        <f t="shared" ca="1" si="9"/>
        <v>Normal</v>
      </c>
    </row>
    <row r="54" spans="1:22" ht="28">
      <c r="A54" s="2" t="s">
        <v>248</v>
      </c>
      <c r="B54" s="2" t="s">
        <v>133</v>
      </c>
      <c r="C54" s="2" t="s">
        <v>249</v>
      </c>
      <c r="D54" s="4">
        <v>435.35</v>
      </c>
      <c r="E54" s="2" t="s">
        <v>86</v>
      </c>
      <c r="F54" s="2" t="s">
        <v>50</v>
      </c>
      <c r="G54" s="2" t="s">
        <v>250</v>
      </c>
      <c r="H54" s="3">
        <v>46170</v>
      </c>
      <c r="I54" s="3">
        <v>46215</v>
      </c>
      <c r="J54" s="2" t="s">
        <v>251</v>
      </c>
      <c r="K54" s="2" t="s">
        <v>64</v>
      </c>
      <c r="L54" s="2" t="s">
        <v>75</v>
      </c>
      <c r="M54" s="2" t="s">
        <v>95</v>
      </c>
      <c r="N54" s="2" t="s">
        <v>82</v>
      </c>
      <c r="O54" s="3">
        <v>46174</v>
      </c>
      <c r="P54" s="3"/>
      <c r="Q54" s="2" t="s">
        <v>57</v>
      </c>
      <c r="R54" s="2">
        <f t="shared" ca="1" si="5"/>
        <v>19</v>
      </c>
      <c r="S54" s="2">
        <f t="shared" si="6"/>
        <v>4</v>
      </c>
      <c r="T54" s="2">
        <f t="shared" ca="1" si="7"/>
        <v>26</v>
      </c>
      <c r="U54" s="2" t="str">
        <f t="shared" ca="1" si="8"/>
        <v>N/A</v>
      </c>
      <c r="V54" s="2" t="str">
        <f t="shared" ca="1" si="9"/>
        <v>Normal</v>
      </c>
    </row>
    <row r="55" spans="1:22" ht="28">
      <c r="A55" s="2" t="s">
        <v>252</v>
      </c>
      <c r="B55" s="2" t="s">
        <v>253</v>
      </c>
      <c r="C55" s="2" t="s">
        <v>254</v>
      </c>
      <c r="D55" s="4">
        <v>15378.76</v>
      </c>
      <c r="E55" s="2" t="s">
        <v>93</v>
      </c>
      <c r="F55" s="2" t="s">
        <v>73</v>
      </c>
      <c r="G55" s="2"/>
      <c r="H55" s="3">
        <v>46171</v>
      </c>
      <c r="I55" s="3">
        <v>46201</v>
      </c>
      <c r="J55" s="2" t="s">
        <v>193</v>
      </c>
      <c r="K55" s="2" t="s">
        <v>53</v>
      </c>
      <c r="L55" s="2" t="s">
        <v>54</v>
      </c>
      <c r="M55" s="2" t="s">
        <v>211</v>
      </c>
      <c r="N55" s="2" t="s">
        <v>67</v>
      </c>
      <c r="O55" s="3"/>
      <c r="P55" s="3"/>
      <c r="Q55" s="2" t="s">
        <v>57</v>
      </c>
      <c r="R55" s="2">
        <f t="shared" ca="1" si="5"/>
        <v>18</v>
      </c>
      <c r="S55" s="2" t="str">
        <f t="shared" si="6"/>
        <v/>
      </c>
      <c r="T55" s="2">
        <f t="shared" ca="1" si="7"/>
        <v>12</v>
      </c>
      <c r="U55" s="2" t="str">
        <f t="shared" ca="1" si="8"/>
        <v>Overdue</v>
      </c>
      <c r="V55" s="2" t="str">
        <f t="shared" ca="1" si="9"/>
        <v>Normal</v>
      </c>
    </row>
    <row r="56" spans="1:22" ht="28">
      <c r="A56" s="2" t="s">
        <v>255</v>
      </c>
      <c r="B56" s="2" t="s">
        <v>97</v>
      </c>
      <c r="C56" s="2" t="s">
        <v>256</v>
      </c>
      <c r="D56" s="4">
        <v>3331.01</v>
      </c>
      <c r="E56" s="2" t="s">
        <v>157</v>
      </c>
      <c r="F56" s="2" t="s">
        <v>50</v>
      </c>
      <c r="G56" s="2" t="s">
        <v>257</v>
      </c>
      <c r="H56" s="3">
        <v>46168</v>
      </c>
      <c r="I56" s="3">
        <v>46213</v>
      </c>
      <c r="J56" s="2" t="s">
        <v>159</v>
      </c>
      <c r="K56" s="2" t="s">
        <v>64</v>
      </c>
      <c r="L56" s="2" t="s">
        <v>65</v>
      </c>
      <c r="M56" s="2" t="s">
        <v>66</v>
      </c>
      <c r="N56" s="2" t="s">
        <v>122</v>
      </c>
      <c r="O56" s="3"/>
      <c r="P56" s="3"/>
      <c r="Q56" s="2" t="s">
        <v>57</v>
      </c>
      <c r="R56" s="2">
        <f t="shared" ca="1" si="5"/>
        <v>21</v>
      </c>
      <c r="S56" s="2" t="str">
        <f t="shared" si="6"/>
        <v/>
      </c>
      <c r="T56" s="2">
        <f t="shared" ca="1" si="7"/>
        <v>24</v>
      </c>
      <c r="U56" s="2" t="str">
        <f t="shared" ca="1" si="8"/>
        <v>N/A</v>
      </c>
      <c r="V56" s="2" t="str">
        <f t="shared" ca="1" si="9"/>
        <v>Normal</v>
      </c>
    </row>
    <row r="57" spans="1:22" ht="28">
      <c r="A57" s="2" t="s">
        <v>258</v>
      </c>
      <c r="B57" s="2" t="s">
        <v>208</v>
      </c>
      <c r="C57" s="2" t="s">
        <v>259</v>
      </c>
      <c r="D57" s="4">
        <v>1932.27</v>
      </c>
      <c r="E57" s="2" t="s">
        <v>103</v>
      </c>
      <c r="F57" s="2" t="s">
        <v>73</v>
      </c>
      <c r="G57" s="2"/>
      <c r="H57" s="3">
        <v>46174</v>
      </c>
      <c r="I57" s="3">
        <v>46219</v>
      </c>
      <c r="J57" s="2" t="s">
        <v>108</v>
      </c>
      <c r="K57" s="2" t="s">
        <v>64</v>
      </c>
      <c r="L57" s="2" t="s">
        <v>75</v>
      </c>
      <c r="M57" s="2" t="s">
        <v>89</v>
      </c>
      <c r="N57" s="2" t="s">
        <v>177</v>
      </c>
      <c r="O57" s="3"/>
      <c r="P57" s="3"/>
      <c r="Q57" s="2" t="s">
        <v>57</v>
      </c>
      <c r="R57" s="2">
        <f t="shared" ca="1" si="5"/>
        <v>15</v>
      </c>
      <c r="S57" s="2" t="str">
        <f t="shared" si="6"/>
        <v/>
      </c>
      <c r="T57" s="2">
        <f t="shared" ca="1" si="7"/>
        <v>30</v>
      </c>
      <c r="U57" s="2" t="str">
        <f t="shared" ca="1" si="8"/>
        <v>N/A</v>
      </c>
      <c r="V57" s="2" t="str">
        <f t="shared" ca="1" si="9"/>
        <v>Normal</v>
      </c>
    </row>
    <row r="58" spans="1:22" ht="28">
      <c r="A58" s="2" t="s">
        <v>260</v>
      </c>
      <c r="B58" s="2" t="s">
        <v>111</v>
      </c>
      <c r="C58" s="2" t="s">
        <v>261</v>
      </c>
      <c r="D58" s="4">
        <v>6864.09</v>
      </c>
      <c r="E58" s="2" t="s">
        <v>49</v>
      </c>
      <c r="F58" s="2" t="s">
        <v>50</v>
      </c>
      <c r="G58" s="2" t="s">
        <v>262</v>
      </c>
      <c r="H58" s="3">
        <v>46150</v>
      </c>
      <c r="I58" s="3">
        <v>46180</v>
      </c>
      <c r="J58" s="2" t="s">
        <v>52</v>
      </c>
      <c r="K58" s="2" t="s">
        <v>53</v>
      </c>
      <c r="L58" s="2" t="s">
        <v>54</v>
      </c>
      <c r="M58" s="2" t="s">
        <v>95</v>
      </c>
      <c r="N58" s="2" t="s">
        <v>82</v>
      </c>
      <c r="O58" s="3">
        <v>46156</v>
      </c>
      <c r="P58" s="3"/>
      <c r="Q58" s="2" t="s">
        <v>68</v>
      </c>
      <c r="R58" s="2">
        <f t="shared" ca="1" si="5"/>
        <v>39</v>
      </c>
      <c r="S58" s="2">
        <f t="shared" si="6"/>
        <v>6</v>
      </c>
      <c r="T58" s="2">
        <f t="shared" ca="1" si="7"/>
        <v>-9</v>
      </c>
      <c r="U58" s="2" t="str">
        <f t="shared" ca="1" si="8"/>
        <v>N/A</v>
      </c>
      <c r="V58" s="2" t="str">
        <f t="shared" ca="1" si="9"/>
        <v>At Risk</v>
      </c>
    </row>
    <row r="59" spans="1:22" ht="28">
      <c r="A59" s="2" t="s">
        <v>263</v>
      </c>
      <c r="B59" s="2" t="s">
        <v>78</v>
      </c>
      <c r="C59" s="2" t="s">
        <v>264</v>
      </c>
      <c r="D59" s="4">
        <v>23436.44</v>
      </c>
      <c r="E59" s="2" t="s">
        <v>103</v>
      </c>
      <c r="F59" s="2" t="s">
        <v>73</v>
      </c>
      <c r="G59" s="2"/>
      <c r="H59" s="3">
        <v>46175</v>
      </c>
      <c r="I59" s="3">
        <v>46220</v>
      </c>
      <c r="J59" s="2" t="s">
        <v>104</v>
      </c>
      <c r="K59" s="2" t="s">
        <v>53</v>
      </c>
      <c r="L59" s="2" t="s">
        <v>65</v>
      </c>
      <c r="M59" s="2" t="s">
        <v>184</v>
      </c>
      <c r="N59" s="2" t="s">
        <v>82</v>
      </c>
      <c r="O59" s="3">
        <v>46189</v>
      </c>
      <c r="P59" s="3"/>
      <c r="Q59" s="2" t="s">
        <v>57</v>
      </c>
      <c r="R59" s="2">
        <f t="shared" ca="1" si="5"/>
        <v>14</v>
      </c>
      <c r="S59" s="2">
        <f t="shared" si="6"/>
        <v>14</v>
      </c>
      <c r="T59" s="2">
        <f t="shared" ca="1" si="7"/>
        <v>31</v>
      </c>
      <c r="U59" s="2" t="str">
        <f t="shared" ca="1" si="8"/>
        <v>N/A</v>
      </c>
      <c r="V59" s="2" t="str">
        <f t="shared" ca="1" si="9"/>
        <v>Normal</v>
      </c>
    </row>
    <row r="60" spans="1:22" ht="28">
      <c r="A60" s="2" t="s">
        <v>265</v>
      </c>
      <c r="B60" s="2" t="s">
        <v>201</v>
      </c>
      <c r="C60" s="2" t="s">
        <v>266</v>
      </c>
      <c r="D60" s="4">
        <v>18198.16</v>
      </c>
      <c r="E60" s="2" t="s">
        <v>162</v>
      </c>
      <c r="F60" s="2" t="s">
        <v>73</v>
      </c>
      <c r="G60" s="2"/>
      <c r="H60" s="3">
        <v>46152</v>
      </c>
      <c r="I60" s="3">
        <v>46182</v>
      </c>
      <c r="J60" s="2" t="s">
        <v>164</v>
      </c>
      <c r="K60" s="2" t="s">
        <v>53</v>
      </c>
      <c r="L60" s="2" t="s">
        <v>75</v>
      </c>
      <c r="M60" s="2" t="s">
        <v>95</v>
      </c>
      <c r="N60" s="2" t="s">
        <v>82</v>
      </c>
      <c r="O60" s="3">
        <v>46171</v>
      </c>
      <c r="P60" s="3"/>
      <c r="Q60" s="2" t="s">
        <v>68</v>
      </c>
      <c r="R60" s="2">
        <f t="shared" ca="1" si="5"/>
        <v>37</v>
      </c>
      <c r="S60" s="2">
        <f t="shared" si="6"/>
        <v>19</v>
      </c>
      <c r="T60" s="2">
        <f t="shared" ca="1" si="7"/>
        <v>-7</v>
      </c>
      <c r="U60" s="2" t="str">
        <f t="shared" ca="1" si="8"/>
        <v>N/A</v>
      </c>
      <c r="V60" s="2" t="str">
        <f t="shared" ca="1" si="9"/>
        <v>At Risk</v>
      </c>
    </row>
    <row r="61" spans="1:22" ht="28">
      <c r="A61" s="2" t="s">
        <v>267</v>
      </c>
      <c r="B61" s="2" t="s">
        <v>133</v>
      </c>
      <c r="C61" s="2" t="s">
        <v>268</v>
      </c>
      <c r="D61" s="4">
        <v>3712.88</v>
      </c>
      <c r="E61" s="2" t="s">
        <v>162</v>
      </c>
      <c r="F61" s="2" t="s">
        <v>73</v>
      </c>
      <c r="G61" s="2"/>
      <c r="H61" s="3">
        <v>46188</v>
      </c>
      <c r="I61" s="3">
        <v>46218</v>
      </c>
      <c r="J61" s="2" t="s">
        <v>168</v>
      </c>
      <c r="K61" s="2" t="s">
        <v>64</v>
      </c>
      <c r="L61" s="2" t="s">
        <v>54</v>
      </c>
      <c r="M61" s="2" t="s">
        <v>211</v>
      </c>
      <c r="N61" s="2" t="s">
        <v>82</v>
      </c>
      <c r="O61" s="3"/>
      <c r="P61" s="3"/>
      <c r="Q61" s="2" t="s">
        <v>57</v>
      </c>
      <c r="R61" s="2">
        <f t="shared" ca="1" si="5"/>
        <v>1</v>
      </c>
      <c r="S61" s="2" t="str">
        <f t="shared" si="6"/>
        <v/>
      </c>
      <c r="T61" s="2">
        <f t="shared" ca="1" si="7"/>
        <v>29</v>
      </c>
      <c r="U61" s="2" t="str">
        <f t="shared" ca="1" si="8"/>
        <v>On Track</v>
      </c>
      <c r="V61" s="2" t="str">
        <f t="shared" ca="1" si="9"/>
        <v>Normal</v>
      </c>
    </row>
    <row r="62" spans="1:22" ht="28">
      <c r="A62" s="2" t="s">
        <v>269</v>
      </c>
      <c r="B62" s="2" t="s">
        <v>141</v>
      </c>
      <c r="C62" s="2" t="s">
        <v>270</v>
      </c>
      <c r="D62" s="4">
        <v>4483.55</v>
      </c>
      <c r="E62" s="2" t="s">
        <v>271</v>
      </c>
      <c r="F62" s="2" t="s">
        <v>50</v>
      </c>
      <c r="G62" s="2" t="s">
        <v>272</v>
      </c>
      <c r="H62" s="3">
        <v>46143</v>
      </c>
      <c r="I62" s="3">
        <v>46188</v>
      </c>
      <c r="J62" s="2" t="s">
        <v>273</v>
      </c>
      <c r="K62" s="2" t="s">
        <v>64</v>
      </c>
      <c r="L62" s="2" t="s">
        <v>65</v>
      </c>
      <c r="M62" s="2" t="s">
        <v>211</v>
      </c>
      <c r="N62" s="2" t="s">
        <v>82</v>
      </c>
      <c r="O62" s="3"/>
      <c r="P62" s="3"/>
      <c r="Q62" s="2" t="s">
        <v>68</v>
      </c>
      <c r="R62" s="2">
        <f t="shared" ca="1" si="5"/>
        <v>46</v>
      </c>
      <c r="S62" s="2" t="str">
        <f t="shared" si="6"/>
        <v/>
      </c>
      <c r="T62" s="2">
        <f t="shared" ca="1" si="7"/>
        <v>-1</v>
      </c>
      <c r="U62" s="2" t="str">
        <f t="shared" ca="1" si="8"/>
        <v>Overdue</v>
      </c>
      <c r="V62" s="2" t="str">
        <f t="shared" ca="1" si="9"/>
        <v>At Risk</v>
      </c>
    </row>
    <row r="63" spans="1:22" ht="28">
      <c r="A63" s="2" t="s">
        <v>274</v>
      </c>
      <c r="B63" s="2" t="s">
        <v>70</v>
      </c>
      <c r="C63" s="2" t="s">
        <v>275</v>
      </c>
      <c r="D63" s="4">
        <v>11332.91</v>
      </c>
      <c r="E63" s="2" t="s">
        <v>162</v>
      </c>
      <c r="F63" s="2" t="s">
        <v>73</v>
      </c>
      <c r="G63" s="2"/>
      <c r="H63" s="3">
        <v>46188</v>
      </c>
      <c r="I63" s="3">
        <v>46218</v>
      </c>
      <c r="J63" s="2" t="s">
        <v>164</v>
      </c>
      <c r="K63" s="2" t="s">
        <v>53</v>
      </c>
      <c r="L63" s="2" t="s">
        <v>75</v>
      </c>
      <c r="M63" s="2" t="s">
        <v>66</v>
      </c>
      <c r="N63" s="2" t="s">
        <v>122</v>
      </c>
      <c r="O63" s="3"/>
      <c r="P63" s="3"/>
      <c r="Q63" s="2" t="s">
        <v>57</v>
      </c>
      <c r="R63" s="2">
        <f t="shared" ca="1" si="5"/>
        <v>1</v>
      </c>
      <c r="S63" s="2" t="str">
        <f t="shared" si="6"/>
        <v/>
      </c>
      <c r="T63" s="2">
        <f t="shared" ca="1" si="7"/>
        <v>29</v>
      </c>
      <c r="U63" s="2" t="str">
        <f t="shared" ca="1" si="8"/>
        <v>N/A</v>
      </c>
      <c r="V63" s="2" t="str">
        <f t="shared" ca="1" si="9"/>
        <v>Normal</v>
      </c>
    </row>
    <row r="64" spans="1:22" ht="28">
      <c r="A64" s="2" t="s">
        <v>276</v>
      </c>
      <c r="B64" s="2" t="s">
        <v>78</v>
      </c>
      <c r="C64" s="2" t="s">
        <v>277</v>
      </c>
      <c r="D64" s="4">
        <v>3477.11</v>
      </c>
      <c r="E64" s="2" t="s">
        <v>99</v>
      </c>
      <c r="F64" s="2" t="s">
        <v>73</v>
      </c>
      <c r="G64" s="2"/>
      <c r="H64" s="3">
        <v>46144</v>
      </c>
      <c r="I64" s="3">
        <v>46159</v>
      </c>
      <c r="J64" s="2" t="s">
        <v>100</v>
      </c>
      <c r="K64" s="2" t="s">
        <v>64</v>
      </c>
      <c r="L64" s="2" t="s">
        <v>54</v>
      </c>
      <c r="M64" s="2" t="s">
        <v>66</v>
      </c>
      <c r="N64" s="2" t="s">
        <v>76</v>
      </c>
      <c r="O64" s="3"/>
      <c r="P64" s="3"/>
      <c r="Q64" s="2" t="s">
        <v>68</v>
      </c>
      <c r="R64" s="2">
        <f t="shared" ca="1" si="5"/>
        <v>45</v>
      </c>
      <c r="S64" s="2" t="str">
        <f t="shared" si="6"/>
        <v/>
      </c>
      <c r="T64" s="2">
        <f t="shared" ca="1" si="7"/>
        <v>-30</v>
      </c>
      <c r="U64" s="2" t="str">
        <f t="shared" ca="1" si="8"/>
        <v>N/A</v>
      </c>
      <c r="V64" s="2" t="str">
        <f t="shared" ca="1" si="9"/>
        <v>At Risk</v>
      </c>
    </row>
    <row r="65" spans="1:22" ht="28">
      <c r="A65" s="2" t="s">
        <v>278</v>
      </c>
      <c r="B65" s="2" t="s">
        <v>201</v>
      </c>
      <c r="C65" s="2" t="s">
        <v>279</v>
      </c>
      <c r="D65" s="4">
        <v>4299.3999999999996</v>
      </c>
      <c r="E65" s="2" t="s">
        <v>271</v>
      </c>
      <c r="F65" s="2" t="s">
        <v>50</v>
      </c>
      <c r="G65" s="2" t="s">
        <v>280</v>
      </c>
      <c r="H65" s="3">
        <v>46182</v>
      </c>
      <c r="I65" s="3">
        <v>46227</v>
      </c>
      <c r="J65" s="2" t="s">
        <v>273</v>
      </c>
      <c r="K65" s="2" t="s">
        <v>64</v>
      </c>
      <c r="L65" s="2" t="s">
        <v>65</v>
      </c>
      <c r="M65" s="2" t="s">
        <v>211</v>
      </c>
      <c r="N65" s="2" t="s">
        <v>82</v>
      </c>
      <c r="O65" s="3"/>
      <c r="P65" s="3"/>
      <c r="Q65" s="2" t="s">
        <v>57</v>
      </c>
      <c r="R65" s="2">
        <f t="shared" ca="1" si="5"/>
        <v>7</v>
      </c>
      <c r="S65" s="2" t="str">
        <f t="shared" si="6"/>
        <v/>
      </c>
      <c r="T65" s="2">
        <f t="shared" ca="1" si="7"/>
        <v>38</v>
      </c>
      <c r="U65" s="2" t="str">
        <f t="shared" ca="1" si="8"/>
        <v>Overdue</v>
      </c>
      <c r="V65" s="2" t="str">
        <f t="shared" ca="1" si="9"/>
        <v>Normal</v>
      </c>
    </row>
    <row r="66" spans="1:22" ht="28">
      <c r="A66" s="2" t="s">
        <v>281</v>
      </c>
      <c r="B66" s="2" t="s">
        <v>47</v>
      </c>
      <c r="C66" s="2" t="s">
        <v>282</v>
      </c>
      <c r="D66" s="4">
        <v>13834.15</v>
      </c>
      <c r="E66" s="2" t="s">
        <v>135</v>
      </c>
      <c r="F66" s="2" t="s">
        <v>50</v>
      </c>
      <c r="G66" s="2" t="s">
        <v>283</v>
      </c>
      <c r="H66" s="3">
        <v>46165</v>
      </c>
      <c r="I66" s="3">
        <v>46210</v>
      </c>
      <c r="J66" s="2" t="s">
        <v>210</v>
      </c>
      <c r="K66" s="2" t="s">
        <v>53</v>
      </c>
      <c r="L66" s="2" t="s">
        <v>75</v>
      </c>
      <c r="M66" s="2" t="s">
        <v>109</v>
      </c>
      <c r="N66" s="2" t="s">
        <v>82</v>
      </c>
      <c r="O66" s="3"/>
      <c r="P66" s="3"/>
      <c r="Q66" s="2" t="s">
        <v>57</v>
      </c>
      <c r="R66" s="2">
        <f t="shared" ca="1" si="5"/>
        <v>24</v>
      </c>
      <c r="S66" s="2" t="str">
        <f t="shared" si="6"/>
        <v/>
      </c>
      <c r="T66" s="2">
        <f t="shared" ca="1" si="7"/>
        <v>21</v>
      </c>
      <c r="U66" s="2" t="str">
        <f t="shared" ca="1" si="8"/>
        <v>N/A</v>
      </c>
      <c r="V66" s="2" t="str">
        <f t="shared" ca="1" si="9"/>
        <v>Normal</v>
      </c>
    </row>
    <row r="67" spans="1:22" ht="28">
      <c r="A67" s="2" t="s">
        <v>284</v>
      </c>
      <c r="B67" s="2" t="s">
        <v>78</v>
      </c>
      <c r="C67" s="2" t="s">
        <v>285</v>
      </c>
      <c r="D67" s="4">
        <v>7026.41</v>
      </c>
      <c r="E67" s="2" t="s">
        <v>99</v>
      </c>
      <c r="F67" s="2" t="s">
        <v>73</v>
      </c>
      <c r="G67" s="2"/>
      <c r="H67" s="3">
        <v>46161</v>
      </c>
      <c r="I67" s="3">
        <v>46176</v>
      </c>
      <c r="J67" s="2" t="s">
        <v>187</v>
      </c>
      <c r="K67" s="2" t="s">
        <v>53</v>
      </c>
      <c r="L67" s="2" t="s">
        <v>54</v>
      </c>
      <c r="M67" s="2" t="s">
        <v>95</v>
      </c>
      <c r="N67" s="2" t="s">
        <v>82</v>
      </c>
      <c r="O67" s="3">
        <v>46181</v>
      </c>
      <c r="P67" s="3"/>
      <c r="Q67" s="2" t="s">
        <v>68</v>
      </c>
      <c r="R67" s="2">
        <f t="shared" ca="1" si="5"/>
        <v>28</v>
      </c>
      <c r="S67" s="2">
        <f t="shared" si="6"/>
        <v>20</v>
      </c>
      <c r="T67" s="2">
        <f t="shared" ca="1" si="7"/>
        <v>-13</v>
      </c>
      <c r="U67" s="2" t="str">
        <f t="shared" ca="1" si="8"/>
        <v>N/A</v>
      </c>
      <c r="V67" s="2" t="str">
        <f t="shared" ca="1" si="9"/>
        <v>At Risk</v>
      </c>
    </row>
    <row r="68" spans="1:22" ht="28">
      <c r="A68" s="2" t="s">
        <v>286</v>
      </c>
      <c r="B68" s="2" t="s">
        <v>166</v>
      </c>
      <c r="C68" s="2" t="s">
        <v>287</v>
      </c>
      <c r="D68" s="4">
        <v>17731.72</v>
      </c>
      <c r="E68" s="2" t="s">
        <v>72</v>
      </c>
      <c r="F68" s="2" t="s">
        <v>73</v>
      </c>
      <c r="G68" s="2"/>
      <c r="H68" s="3">
        <v>46182</v>
      </c>
      <c r="I68" s="3">
        <v>46212</v>
      </c>
      <c r="J68" s="2" t="s">
        <v>52</v>
      </c>
      <c r="K68" s="2" t="s">
        <v>53</v>
      </c>
      <c r="L68" s="2" t="s">
        <v>65</v>
      </c>
      <c r="M68" s="2" t="s">
        <v>211</v>
      </c>
      <c r="N68" s="2" t="s">
        <v>82</v>
      </c>
      <c r="O68" s="3"/>
      <c r="P68" s="3"/>
      <c r="Q68" s="2" t="s">
        <v>57</v>
      </c>
      <c r="R68" s="2">
        <f t="shared" ref="R68:R99" ca="1" si="10">TODAY()-H68</f>
        <v>7</v>
      </c>
      <c r="S68" s="2" t="str">
        <f t="shared" ref="S68:S99" si="11">IF(O68="","",O68-H68)</f>
        <v/>
      </c>
      <c r="T68" s="2">
        <f t="shared" ref="T68:T99" ca="1" si="12">I68-TODAY()</f>
        <v>23</v>
      </c>
      <c r="U68" s="2" t="str">
        <f t="shared" ref="U68:U99" ca="1" si="13">IF(AND(M68="Pending Approval",R68&gt;5),"Overdue",IF(M68="Pending Approval","On Track","N/A"))</f>
        <v>Overdue</v>
      </c>
      <c r="V68" s="2" t="str">
        <f t="shared" ref="V68:V99" ca="1" si="14">IF(AND(M68&lt;&gt;"Paid",M68&lt;&gt;"Rejected",T68&lt;=7),"At Risk","Normal")</f>
        <v>Normal</v>
      </c>
    </row>
    <row r="69" spans="1:22" ht="28">
      <c r="A69" s="2" t="s">
        <v>288</v>
      </c>
      <c r="B69" s="2" t="s">
        <v>119</v>
      </c>
      <c r="C69" s="2" t="s">
        <v>289</v>
      </c>
      <c r="D69" s="4">
        <v>4479.7700000000004</v>
      </c>
      <c r="E69" s="2" t="s">
        <v>290</v>
      </c>
      <c r="F69" s="2" t="s">
        <v>73</v>
      </c>
      <c r="G69" s="2"/>
      <c r="H69" s="3">
        <v>46163</v>
      </c>
      <c r="I69" s="3">
        <v>46208</v>
      </c>
      <c r="J69" s="2" t="s">
        <v>291</v>
      </c>
      <c r="K69" s="2" t="s">
        <v>64</v>
      </c>
      <c r="L69" s="2" t="s">
        <v>75</v>
      </c>
      <c r="M69" s="2" t="s">
        <v>89</v>
      </c>
      <c r="N69" s="2" t="s">
        <v>82</v>
      </c>
      <c r="O69" s="3"/>
      <c r="P69" s="3"/>
      <c r="Q69" s="2" t="s">
        <v>57</v>
      </c>
      <c r="R69" s="2">
        <f t="shared" ca="1" si="10"/>
        <v>26</v>
      </c>
      <c r="S69" s="2" t="str">
        <f t="shared" si="11"/>
        <v/>
      </c>
      <c r="T69" s="2">
        <f t="shared" ca="1" si="12"/>
        <v>19</v>
      </c>
      <c r="U69" s="2" t="str">
        <f t="shared" ca="1" si="13"/>
        <v>N/A</v>
      </c>
      <c r="V69" s="2" t="str">
        <f t="shared" ca="1" si="14"/>
        <v>Normal</v>
      </c>
    </row>
    <row r="70" spans="1:22" ht="28">
      <c r="A70" s="2" t="s">
        <v>292</v>
      </c>
      <c r="B70" s="2" t="s">
        <v>293</v>
      </c>
      <c r="C70" s="2" t="s">
        <v>294</v>
      </c>
      <c r="D70" s="4">
        <v>7303.28</v>
      </c>
      <c r="E70" s="2" t="s">
        <v>135</v>
      </c>
      <c r="F70" s="2" t="s">
        <v>73</v>
      </c>
      <c r="G70" s="2"/>
      <c r="H70" s="3">
        <v>46147</v>
      </c>
      <c r="I70" s="3">
        <v>46162</v>
      </c>
      <c r="J70" s="2" t="s">
        <v>210</v>
      </c>
      <c r="K70" s="2" t="s">
        <v>53</v>
      </c>
      <c r="L70" s="2" t="s">
        <v>54</v>
      </c>
      <c r="M70" s="2" t="s">
        <v>95</v>
      </c>
      <c r="N70" s="2" t="s">
        <v>82</v>
      </c>
      <c r="O70" s="3">
        <v>46170</v>
      </c>
      <c r="P70" s="3"/>
      <c r="Q70" s="2" t="s">
        <v>68</v>
      </c>
      <c r="R70" s="2">
        <f t="shared" ca="1" si="10"/>
        <v>42</v>
      </c>
      <c r="S70" s="2">
        <f t="shared" si="11"/>
        <v>23</v>
      </c>
      <c r="T70" s="2">
        <f t="shared" ca="1" si="12"/>
        <v>-27</v>
      </c>
      <c r="U70" s="2" t="str">
        <f t="shared" ca="1" si="13"/>
        <v>N/A</v>
      </c>
      <c r="V70" s="2" t="str">
        <f t="shared" ca="1" si="14"/>
        <v>At Risk</v>
      </c>
    </row>
    <row r="71" spans="1:22" ht="28">
      <c r="A71" s="2" t="s">
        <v>295</v>
      </c>
      <c r="B71" s="2" t="s">
        <v>84</v>
      </c>
      <c r="C71" s="2" t="s">
        <v>296</v>
      </c>
      <c r="D71" s="4">
        <v>16690.62</v>
      </c>
      <c r="E71" s="2" t="s">
        <v>162</v>
      </c>
      <c r="F71" s="2" t="s">
        <v>50</v>
      </c>
      <c r="G71" s="2" t="s">
        <v>297</v>
      </c>
      <c r="H71" s="3">
        <v>46183</v>
      </c>
      <c r="I71" s="3">
        <v>46213</v>
      </c>
      <c r="J71" s="2" t="s">
        <v>164</v>
      </c>
      <c r="K71" s="2" t="s">
        <v>53</v>
      </c>
      <c r="L71" s="2" t="s">
        <v>65</v>
      </c>
      <c r="M71" s="2" t="s">
        <v>109</v>
      </c>
      <c r="N71" s="2" t="s">
        <v>56</v>
      </c>
      <c r="O71" s="3"/>
      <c r="P71" s="3"/>
      <c r="Q71" s="2" t="s">
        <v>57</v>
      </c>
      <c r="R71" s="2">
        <f t="shared" ca="1" si="10"/>
        <v>6</v>
      </c>
      <c r="S71" s="2" t="str">
        <f t="shared" si="11"/>
        <v/>
      </c>
      <c r="T71" s="2">
        <f t="shared" ca="1" si="12"/>
        <v>24</v>
      </c>
      <c r="U71" s="2" t="str">
        <f t="shared" ca="1" si="13"/>
        <v>N/A</v>
      </c>
      <c r="V71" s="2" t="str">
        <f t="shared" ca="1" si="14"/>
        <v>Normal</v>
      </c>
    </row>
    <row r="72" spans="1:22" ht="28">
      <c r="A72" s="2" t="s">
        <v>298</v>
      </c>
      <c r="B72" s="2" t="s">
        <v>59</v>
      </c>
      <c r="C72" s="2" t="s">
        <v>299</v>
      </c>
      <c r="D72" s="4">
        <v>460.86</v>
      </c>
      <c r="E72" s="2" t="s">
        <v>290</v>
      </c>
      <c r="F72" s="2" t="s">
        <v>50</v>
      </c>
      <c r="G72" s="2" t="s">
        <v>300</v>
      </c>
      <c r="H72" s="3">
        <v>46145</v>
      </c>
      <c r="I72" s="3">
        <v>46175</v>
      </c>
      <c r="J72" s="2" t="s">
        <v>291</v>
      </c>
      <c r="K72" s="2" t="s">
        <v>64</v>
      </c>
      <c r="L72" s="2" t="s">
        <v>75</v>
      </c>
      <c r="M72" s="2" t="s">
        <v>55</v>
      </c>
      <c r="N72" s="2" t="s">
        <v>82</v>
      </c>
      <c r="O72" s="3">
        <v>46154</v>
      </c>
      <c r="P72" s="3">
        <v>46164</v>
      </c>
      <c r="Q72" s="2" t="s">
        <v>57</v>
      </c>
      <c r="R72" s="2">
        <f t="shared" ca="1" si="10"/>
        <v>44</v>
      </c>
      <c r="S72" s="2">
        <f t="shared" si="11"/>
        <v>9</v>
      </c>
      <c r="T72" s="2">
        <f t="shared" ca="1" si="12"/>
        <v>-14</v>
      </c>
      <c r="U72" s="2" t="str">
        <f t="shared" ca="1" si="13"/>
        <v>N/A</v>
      </c>
      <c r="V72" s="2" t="str">
        <f t="shared" ca="1" si="14"/>
        <v>Normal</v>
      </c>
    </row>
    <row r="73" spans="1:22" ht="28">
      <c r="A73" s="2" t="s">
        <v>301</v>
      </c>
      <c r="B73" s="2" t="s">
        <v>133</v>
      </c>
      <c r="C73" s="2" t="s">
        <v>302</v>
      </c>
      <c r="D73" s="4">
        <v>48051.97</v>
      </c>
      <c r="E73" s="2" t="s">
        <v>162</v>
      </c>
      <c r="F73" s="2" t="s">
        <v>73</v>
      </c>
      <c r="G73" s="2"/>
      <c r="H73" s="3">
        <v>46184</v>
      </c>
      <c r="I73" s="3">
        <v>46199</v>
      </c>
      <c r="J73" s="2" t="s">
        <v>104</v>
      </c>
      <c r="K73" s="2" t="s">
        <v>104</v>
      </c>
      <c r="L73" s="2" t="s">
        <v>54</v>
      </c>
      <c r="M73" s="2" t="s">
        <v>89</v>
      </c>
      <c r="N73" s="2" t="s">
        <v>82</v>
      </c>
      <c r="O73" s="3"/>
      <c r="P73" s="3"/>
      <c r="Q73" s="2" t="s">
        <v>303</v>
      </c>
      <c r="R73" s="2">
        <f t="shared" ca="1" si="10"/>
        <v>5</v>
      </c>
      <c r="S73" s="2" t="str">
        <f t="shared" si="11"/>
        <v/>
      </c>
      <c r="T73" s="2">
        <f t="shared" ca="1" si="12"/>
        <v>10</v>
      </c>
      <c r="U73" s="2" t="str">
        <f t="shared" ca="1" si="13"/>
        <v>N/A</v>
      </c>
      <c r="V73" s="2" t="str">
        <f t="shared" ca="1" si="14"/>
        <v>Normal</v>
      </c>
    </row>
    <row r="74" spans="1:22" ht="28">
      <c r="A74" s="2" t="s">
        <v>304</v>
      </c>
      <c r="B74" s="2" t="s">
        <v>155</v>
      </c>
      <c r="C74" s="2" t="s">
        <v>305</v>
      </c>
      <c r="D74" s="4">
        <v>4442.8900000000003</v>
      </c>
      <c r="E74" s="2" t="s">
        <v>162</v>
      </c>
      <c r="F74" s="2" t="s">
        <v>50</v>
      </c>
      <c r="G74" s="2" t="s">
        <v>306</v>
      </c>
      <c r="H74" s="3">
        <v>46184</v>
      </c>
      <c r="I74" s="3">
        <v>46214</v>
      </c>
      <c r="J74" s="2" t="s">
        <v>168</v>
      </c>
      <c r="K74" s="2" t="s">
        <v>64</v>
      </c>
      <c r="L74" s="2" t="s">
        <v>65</v>
      </c>
      <c r="M74" s="2" t="s">
        <v>66</v>
      </c>
      <c r="N74" s="2" t="s">
        <v>177</v>
      </c>
      <c r="O74" s="3"/>
      <c r="P74" s="3"/>
      <c r="Q74" s="2" t="s">
        <v>57</v>
      </c>
      <c r="R74" s="2">
        <f t="shared" ca="1" si="10"/>
        <v>5</v>
      </c>
      <c r="S74" s="2" t="str">
        <f t="shared" si="11"/>
        <v/>
      </c>
      <c r="T74" s="2">
        <f t="shared" ca="1" si="12"/>
        <v>25</v>
      </c>
      <c r="U74" s="2" t="str">
        <f t="shared" ca="1" si="13"/>
        <v>N/A</v>
      </c>
      <c r="V74" s="2" t="str">
        <f t="shared" ca="1" si="14"/>
        <v>Normal</v>
      </c>
    </row>
    <row r="75" spans="1:22" ht="28">
      <c r="A75" s="2" t="s">
        <v>307</v>
      </c>
      <c r="B75" s="2" t="s">
        <v>133</v>
      </c>
      <c r="C75" s="2" t="s">
        <v>308</v>
      </c>
      <c r="D75" s="4">
        <v>835.55</v>
      </c>
      <c r="E75" s="2" t="s">
        <v>49</v>
      </c>
      <c r="F75" s="2" t="s">
        <v>73</v>
      </c>
      <c r="G75" s="2"/>
      <c r="H75" s="3">
        <v>46179</v>
      </c>
      <c r="I75" s="3">
        <v>46194</v>
      </c>
      <c r="J75" s="2" t="s">
        <v>80</v>
      </c>
      <c r="K75" s="2" t="s">
        <v>64</v>
      </c>
      <c r="L75" s="2" t="s">
        <v>75</v>
      </c>
      <c r="M75" s="2" t="s">
        <v>66</v>
      </c>
      <c r="N75" s="2" t="s">
        <v>67</v>
      </c>
      <c r="O75" s="3"/>
      <c r="P75" s="3"/>
      <c r="Q75" s="2" t="s">
        <v>68</v>
      </c>
      <c r="R75" s="2">
        <f t="shared" ca="1" si="10"/>
        <v>10</v>
      </c>
      <c r="S75" s="2" t="str">
        <f t="shared" si="11"/>
        <v/>
      </c>
      <c r="T75" s="2">
        <f t="shared" ca="1" si="12"/>
        <v>5</v>
      </c>
      <c r="U75" s="2" t="str">
        <f t="shared" ca="1" si="13"/>
        <v>N/A</v>
      </c>
      <c r="V75" s="2" t="str">
        <f t="shared" ca="1" si="14"/>
        <v>At Risk</v>
      </c>
    </row>
    <row r="76" spans="1:22" ht="28">
      <c r="A76" s="2" t="s">
        <v>309</v>
      </c>
      <c r="B76" s="2" t="s">
        <v>59</v>
      </c>
      <c r="C76" s="2" t="s">
        <v>310</v>
      </c>
      <c r="D76" s="4">
        <v>20969.48</v>
      </c>
      <c r="E76" s="2" t="s">
        <v>162</v>
      </c>
      <c r="F76" s="2" t="s">
        <v>73</v>
      </c>
      <c r="G76" s="2"/>
      <c r="H76" s="3">
        <v>46150</v>
      </c>
      <c r="I76" s="3">
        <v>46195</v>
      </c>
      <c r="J76" s="2" t="s">
        <v>164</v>
      </c>
      <c r="K76" s="2" t="s">
        <v>53</v>
      </c>
      <c r="L76" s="2" t="s">
        <v>54</v>
      </c>
      <c r="M76" s="2" t="s">
        <v>55</v>
      </c>
      <c r="N76" s="2" t="s">
        <v>82</v>
      </c>
      <c r="O76" s="3">
        <v>46159</v>
      </c>
      <c r="P76" s="3">
        <v>46170</v>
      </c>
      <c r="Q76" s="2" t="s">
        <v>57</v>
      </c>
      <c r="R76" s="2">
        <f t="shared" ca="1" si="10"/>
        <v>39</v>
      </c>
      <c r="S76" s="2">
        <f t="shared" si="11"/>
        <v>9</v>
      </c>
      <c r="T76" s="2">
        <f t="shared" ca="1" si="12"/>
        <v>6</v>
      </c>
      <c r="U76" s="2" t="str">
        <f t="shared" ca="1" si="13"/>
        <v>N/A</v>
      </c>
      <c r="V76" s="2" t="str">
        <f t="shared" ca="1" si="14"/>
        <v>Normal</v>
      </c>
    </row>
    <row r="77" spans="1:22" ht="28">
      <c r="A77" s="2" t="s">
        <v>311</v>
      </c>
      <c r="B77" s="2" t="s">
        <v>189</v>
      </c>
      <c r="C77" s="2" t="s">
        <v>312</v>
      </c>
      <c r="D77" s="4">
        <v>3867.78</v>
      </c>
      <c r="E77" s="2" t="s">
        <v>271</v>
      </c>
      <c r="F77" s="2" t="s">
        <v>50</v>
      </c>
      <c r="G77" s="2" t="s">
        <v>313</v>
      </c>
      <c r="H77" s="3">
        <v>46175</v>
      </c>
      <c r="I77" s="3">
        <v>46220</v>
      </c>
      <c r="J77" s="2" t="s">
        <v>273</v>
      </c>
      <c r="K77" s="2" t="s">
        <v>64</v>
      </c>
      <c r="L77" s="2" t="s">
        <v>65</v>
      </c>
      <c r="M77" s="2" t="s">
        <v>184</v>
      </c>
      <c r="N77" s="2" t="s">
        <v>56</v>
      </c>
      <c r="O77" s="3">
        <v>46189</v>
      </c>
      <c r="P77" s="3"/>
      <c r="Q77" s="2" t="s">
        <v>57</v>
      </c>
      <c r="R77" s="2">
        <f t="shared" ca="1" si="10"/>
        <v>14</v>
      </c>
      <c r="S77" s="2">
        <f t="shared" si="11"/>
        <v>14</v>
      </c>
      <c r="T77" s="2">
        <f t="shared" ca="1" si="12"/>
        <v>31</v>
      </c>
      <c r="U77" s="2" t="str">
        <f t="shared" ca="1" si="13"/>
        <v>N/A</v>
      </c>
      <c r="V77" s="2" t="str">
        <f t="shared" ca="1" si="14"/>
        <v>Normal</v>
      </c>
    </row>
    <row r="78" spans="1:22" ht="28">
      <c r="A78" s="2" t="s">
        <v>314</v>
      </c>
      <c r="B78" s="2" t="s">
        <v>78</v>
      </c>
      <c r="C78" s="2" t="s">
        <v>315</v>
      </c>
      <c r="D78" s="4">
        <v>23193.11</v>
      </c>
      <c r="E78" s="2" t="s">
        <v>61</v>
      </c>
      <c r="F78" s="2" t="s">
        <v>73</v>
      </c>
      <c r="G78" s="2"/>
      <c r="H78" s="3">
        <v>46147</v>
      </c>
      <c r="I78" s="3">
        <v>46162</v>
      </c>
      <c r="J78" s="2" t="s">
        <v>117</v>
      </c>
      <c r="K78" s="2" t="s">
        <v>53</v>
      </c>
      <c r="L78" s="2" t="s">
        <v>75</v>
      </c>
      <c r="M78" s="2" t="s">
        <v>66</v>
      </c>
      <c r="N78" s="2" t="s">
        <v>122</v>
      </c>
      <c r="O78" s="3"/>
      <c r="P78" s="3"/>
      <c r="Q78" s="2" t="s">
        <v>68</v>
      </c>
      <c r="R78" s="2">
        <f t="shared" ca="1" si="10"/>
        <v>42</v>
      </c>
      <c r="S78" s="2" t="str">
        <f t="shared" si="11"/>
        <v/>
      </c>
      <c r="T78" s="2">
        <f t="shared" ca="1" si="12"/>
        <v>-27</v>
      </c>
      <c r="U78" s="2" t="str">
        <f t="shared" ca="1" si="13"/>
        <v>N/A</v>
      </c>
      <c r="V78" s="2" t="str">
        <f t="shared" ca="1" si="14"/>
        <v>At Risk</v>
      </c>
    </row>
    <row r="79" spans="1:22" ht="28">
      <c r="A79" s="2" t="s">
        <v>316</v>
      </c>
      <c r="B79" s="2" t="s">
        <v>204</v>
      </c>
      <c r="C79" s="2" t="s">
        <v>317</v>
      </c>
      <c r="D79" s="4">
        <v>3065.23</v>
      </c>
      <c r="E79" s="2" t="s">
        <v>290</v>
      </c>
      <c r="F79" s="2" t="s">
        <v>50</v>
      </c>
      <c r="G79" s="2" t="s">
        <v>318</v>
      </c>
      <c r="H79" s="3">
        <v>46149</v>
      </c>
      <c r="I79" s="3">
        <v>46194</v>
      </c>
      <c r="J79" s="2" t="s">
        <v>291</v>
      </c>
      <c r="K79" s="2" t="s">
        <v>64</v>
      </c>
      <c r="L79" s="2" t="s">
        <v>54</v>
      </c>
      <c r="M79" s="2" t="s">
        <v>89</v>
      </c>
      <c r="N79" s="2" t="s">
        <v>56</v>
      </c>
      <c r="O79" s="3"/>
      <c r="P79" s="3"/>
      <c r="Q79" s="2" t="s">
        <v>68</v>
      </c>
      <c r="R79" s="2">
        <f t="shared" ca="1" si="10"/>
        <v>40</v>
      </c>
      <c r="S79" s="2" t="str">
        <f t="shared" si="11"/>
        <v/>
      </c>
      <c r="T79" s="2">
        <f t="shared" ca="1" si="12"/>
        <v>5</v>
      </c>
      <c r="U79" s="2" t="str">
        <f t="shared" ca="1" si="13"/>
        <v>N/A</v>
      </c>
      <c r="V79" s="2" t="str">
        <f t="shared" ca="1" si="14"/>
        <v>At Risk</v>
      </c>
    </row>
    <row r="80" spans="1:22" ht="28">
      <c r="A80" s="2" t="s">
        <v>319</v>
      </c>
      <c r="B80" s="2" t="s">
        <v>133</v>
      </c>
      <c r="C80" s="2" t="s">
        <v>320</v>
      </c>
      <c r="D80" s="4">
        <v>14484.88</v>
      </c>
      <c r="E80" s="2" t="s">
        <v>157</v>
      </c>
      <c r="F80" s="2" t="s">
        <v>50</v>
      </c>
      <c r="G80" s="2" t="s">
        <v>321</v>
      </c>
      <c r="H80" s="3">
        <v>46148</v>
      </c>
      <c r="I80" s="3">
        <v>46163</v>
      </c>
      <c r="J80" s="2" t="s">
        <v>322</v>
      </c>
      <c r="K80" s="2" t="s">
        <v>53</v>
      </c>
      <c r="L80" s="2" t="s">
        <v>65</v>
      </c>
      <c r="M80" s="2" t="s">
        <v>55</v>
      </c>
      <c r="N80" s="2" t="s">
        <v>122</v>
      </c>
      <c r="O80" s="3">
        <v>46154</v>
      </c>
      <c r="P80" s="3">
        <v>46164</v>
      </c>
      <c r="Q80" s="2" t="s">
        <v>57</v>
      </c>
      <c r="R80" s="2">
        <f t="shared" ca="1" si="10"/>
        <v>41</v>
      </c>
      <c r="S80" s="2">
        <f t="shared" si="11"/>
        <v>6</v>
      </c>
      <c r="T80" s="2">
        <f t="shared" ca="1" si="12"/>
        <v>-26</v>
      </c>
      <c r="U80" s="2" t="str">
        <f t="shared" ca="1" si="13"/>
        <v>N/A</v>
      </c>
      <c r="V80" s="2" t="str">
        <f t="shared" ca="1" si="14"/>
        <v>Normal</v>
      </c>
    </row>
    <row r="81" spans="1:22" ht="28">
      <c r="A81" s="2" t="s">
        <v>323</v>
      </c>
      <c r="B81" s="2" t="s">
        <v>84</v>
      </c>
      <c r="C81" s="2" t="s">
        <v>324</v>
      </c>
      <c r="D81" s="4">
        <v>24367</v>
      </c>
      <c r="E81" s="2" t="s">
        <v>103</v>
      </c>
      <c r="F81" s="2" t="s">
        <v>50</v>
      </c>
      <c r="G81" s="2" t="s">
        <v>325</v>
      </c>
      <c r="H81" s="3">
        <v>46181</v>
      </c>
      <c r="I81" s="3">
        <v>46211</v>
      </c>
      <c r="J81" s="2" t="s">
        <v>104</v>
      </c>
      <c r="K81" s="2" t="s">
        <v>53</v>
      </c>
      <c r="L81" s="2" t="s">
        <v>75</v>
      </c>
      <c r="M81" s="2" t="s">
        <v>211</v>
      </c>
      <c r="N81" s="2" t="s">
        <v>82</v>
      </c>
      <c r="O81" s="3"/>
      <c r="P81" s="3"/>
      <c r="Q81" s="2" t="s">
        <v>57</v>
      </c>
      <c r="R81" s="2">
        <f t="shared" ca="1" si="10"/>
        <v>8</v>
      </c>
      <c r="S81" s="2" t="str">
        <f t="shared" si="11"/>
        <v/>
      </c>
      <c r="T81" s="2">
        <f t="shared" ca="1" si="12"/>
        <v>22</v>
      </c>
      <c r="U81" s="2" t="str">
        <f t="shared" ca="1" si="13"/>
        <v>Overdue</v>
      </c>
      <c r="V81" s="2" t="str">
        <f t="shared" ca="1" si="14"/>
        <v>Normal</v>
      </c>
    </row>
    <row r="82" spans="1:22" ht="28">
      <c r="A82" s="2" t="s">
        <v>326</v>
      </c>
      <c r="B82" s="2" t="s">
        <v>111</v>
      </c>
      <c r="C82" s="2" t="s">
        <v>327</v>
      </c>
      <c r="D82" s="4">
        <v>15569.04</v>
      </c>
      <c r="E82" s="2" t="s">
        <v>99</v>
      </c>
      <c r="F82" s="2" t="s">
        <v>73</v>
      </c>
      <c r="G82" s="2"/>
      <c r="H82" s="3">
        <v>46178</v>
      </c>
      <c r="I82" s="3">
        <v>46223</v>
      </c>
      <c r="J82" s="2" t="s">
        <v>187</v>
      </c>
      <c r="K82" s="2" t="s">
        <v>53</v>
      </c>
      <c r="L82" s="2" t="s">
        <v>54</v>
      </c>
      <c r="M82" s="2" t="s">
        <v>81</v>
      </c>
      <c r="N82" s="2" t="s">
        <v>82</v>
      </c>
      <c r="O82" s="3">
        <v>46184</v>
      </c>
      <c r="P82" s="3"/>
      <c r="Q82" s="2" t="s">
        <v>57</v>
      </c>
      <c r="R82" s="2">
        <f t="shared" ca="1" si="10"/>
        <v>11</v>
      </c>
      <c r="S82" s="2">
        <f t="shared" si="11"/>
        <v>6</v>
      </c>
      <c r="T82" s="2">
        <f t="shared" ca="1" si="12"/>
        <v>34</v>
      </c>
      <c r="U82" s="2" t="str">
        <f t="shared" ca="1" si="13"/>
        <v>N/A</v>
      </c>
      <c r="V82" s="2" t="str">
        <f t="shared" ca="1" si="14"/>
        <v>Normal</v>
      </c>
    </row>
    <row r="83" spans="1:22" ht="28">
      <c r="A83" s="2" t="s">
        <v>328</v>
      </c>
      <c r="B83" s="2" t="s">
        <v>106</v>
      </c>
      <c r="C83" s="2" t="s">
        <v>329</v>
      </c>
      <c r="D83" s="4">
        <v>7837.35</v>
      </c>
      <c r="E83" s="2" t="s">
        <v>135</v>
      </c>
      <c r="F83" s="2" t="s">
        <v>73</v>
      </c>
      <c r="G83" s="2"/>
      <c r="H83" s="3">
        <v>46183</v>
      </c>
      <c r="I83" s="3">
        <v>46198</v>
      </c>
      <c r="J83" s="2" t="s">
        <v>210</v>
      </c>
      <c r="K83" s="2" t="s">
        <v>53</v>
      </c>
      <c r="L83" s="2" t="s">
        <v>65</v>
      </c>
      <c r="M83" s="2" t="s">
        <v>66</v>
      </c>
      <c r="N83" s="2" t="s">
        <v>67</v>
      </c>
      <c r="O83" s="3"/>
      <c r="P83" s="3"/>
      <c r="Q83" s="2" t="s">
        <v>57</v>
      </c>
      <c r="R83" s="2">
        <f t="shared" ca="1" si="10"/>
        <v>6</v>
      </c>
      <c r="S83" s="2" t="str">
        <f t="shared" si="11"/>
        <v/>
      </c>
      <c r="T83" s="2">
        <f t="shared" ca="1" si="12"/>
        <v>9</v>
      </c>
      <c r="U83" s="2" t="str">
        <f t="shared" ca="1" si="13"/>
        <v>N/A</v>
      </c>
      <c r="V83" s="2" t="str">
        <f t="shared" ca="1" si="14"/>
        <v>Normal</v>
      </c>
    </row>
    <row r="84" spans="1:22" ht="28">
      <c r="A84" s="2" t="s">
        <v>330</v>
      </c>
      <c r="B84" s="2" t="s">
        <v>133</v>
      </c>
      <c r="C84" s="2" t="s">
        <v>331</v>
      </c>
      <c r="D84" s="4">
        <v>494.63</v>
      </c>
      <c r="E84" s="2" t="s">
        <v>162</v>
      </c>
      <c r="F84" s="2" t="s">
        <v>50</v>
      </c>
      <c r="G84" s="2" t="s">
        <v>332</v>
      </c>
      <c r="H84" s="3">
        <v>46153</v>
      </c>
      <c r="I84" s="3">
        <v>46198</v>
      </c>
      <c r="J84" s="2" t="s">
        <v>168</v>
      </c>
      <c r="K84" s="2" t="s">
        <v>64</v>
      </c>
      <c r="L84" s="2" t="s">
        <v>75</v>
      </c>
      <c r="M84" s="2" t="s">
        <v>66</v>
      </c>
      <c r="N84" s="2" t="s">
        <v>122</v>
      </c>
      <c r="O84" s="3"/>
      <c r="P84" s="3"/>
      <c r="Q84" s="2" t="s">
        <v>57</v>
      </c>
      <c r="R84" s="2">
        <f t="shared" ca="1" si="10"/>
        <v>36</v>
      </c>
      <c r="S84" s="2" t="str">
        <f t="shared" si="11"/>
        <v/>
      </c>
      <c r="T84" s="2">
        <f t="shared" ca="1" si="12"/>
        <v>9</v>
      </c>
      <c r="U84" s="2" t="str">
        <f t="shared" ca="1" si="13"/>
        <v>N/A</v>
      </c>
      <c r="V84" s="2" t="str">
        <f t="shared" ca="1" si="14"/>
        <v>Normal</v>
      </c>
    </row>
    <row r="85" spans="1:22" ht="28">
      <c r="A85" s="2" t="s">
        <v>333</v>
      </c>
      <c r="B85" s="2" t="s">
        <v>111</v>
      </c>
      <c r="C85" s="2" t="s">
        <v>334</v>
      </c>
      <c r="D85" s="4">
        <v>3403.71</v>
      </c>
      <c r="E85" s="2" t="s">
        <v>93</v>
      </c>
      <c r="F85" s="2" t="s">
        <v>50</v>
      </c>
      <c r="G85" s="2" t="s">
        <v>335</v>
      </c>
      <c r="H85" s="3">
        <v>46180</v>
      </c>
      <c r="I85" s="3">
        <v>46210</v>
      </c>
      <c r="J85" s="2" t="s">
        <v>94</v>
      </c>
      <c r="K85" s="2" t="s">
        <v>64</v>
      </c>
      <c r="L85" s="2" t="s">
        <v>54</v>
      </c>
      <c r="M85" s="2" t="s">
        <v>211</v>
      </c>
      <c r="N85" s="2" t="s">
        <v>82</v>
      </c>
      <c r="O85" s="3"/>
      <c r="P85" s="3"/>
      <c r="Q85" s="2" t="s">
        <v>57</v>
      </c>
      <c r="R85" s="2">
        <f t="shared" ca="1" si="10"/>
        <v>9</v>
      </c>
      <c r="S85" s="2" t="str">
        <f t="shared" si="11"/>
        <v/>
      </c>
      <c r="T85" s="2">
        <f t="shared" ca="1" si="12"/>
        <v>21</v>
      </c>
      <c r="U85" s="2" t="str">
        <f t="shared" ca="1" si="13"/>
        <v>Overdue</v>
      </c>
      <c r="V85" s="2" t="str">
        <f t="shared" ca="1" si="14"/>
        <v>Normal</v>
      </c>
    </row>
    <row r="86" spans="1:22" ht="28">
      <c r="A86" s="2" t="s">
        <v>336</v>
      </c>
      <c r="B86" s="2" t="s">
        <v>141</v>
      </c>
      <c r="C86" s="2" t="s">
        <v>337</v>
      </c>
      <c r="D86" s="4">
        <v>285.94</v>
      </c>
      <c r="E86" s="2" t="s">
        <v>72</v>
      </c>
      <c r="F86" s="2" t="s">
        <v>50</v>
      </c>
      <c r="G86" s="2" t="s">
        <v>338</v>
      </c>
      <c r="H86" s="3">
        <v>46170</v>
      </c>
      <c r="I86" s="3">
        <v>46185</v>
      </c>
      <c r="J86" s="2" t="s">
        <v>74</v>
      </c>
      <c r="K86" s="2" t="s">
        <v>64</v>
      </c>
      <c r="L86" s="2" t="s">
        <v>65</v>
      </c>
      <c r="M86" s="2" t="s">
        <v>95</v>
      </c>
      <c r="N86" s="2" t="s">
        <v>82</v>
      </c>
      <c r="O86" s="3">
        <v>46179</v>
      </c>
      <c r="P86" s="3"/>
      <c r="Q86" s="2" t="s">
        <v>68</v>
      </c>
      <c r="R86" s="2">
        <f t="shared" ca="1" si="10"/>
        <v>19</v>
      </c>
      <c r="S86" s="2">
        <f t="shared" si="11"/>
        <v>9</v>
      </c>
      <c r="T86" s="2">
        <f t="shared" ca="1" si="12"/>
        <v>-4</v>
      </c>
      <c r="U86" s="2" t="str">
        <f t="shared" ca="1" si="13"/>
        <v>N/A</v>
      </c>
      <c r="V86" s="2" t="str">
        <f t="shared" ca="1" si="14"/>
        <v>At Risk</v>
      </c>
    </row>
    <row r="87" spans="1:22" ht="28">
      <c r="A87" s="2" t="s">
        <v>339</v>
      </c>
      <c r="B87" s="2" t="s">
        <v>115</v>
      </c>
      <c r="C87" s="2" t="s">
        <v>340</v>
      </c>
      <c r="D87" s="4">
        <v>16467.419999999998</v>
      </c>
      <c r="E87" s="2" t="s">
        <v>162</v>
      </c>
      <c r="F87" s="2" t="s">
        <v>50</v>
      </c>
      <c r="G87" s="2" t="s">
        <v>341</v>
      </c>
      <c r="H87" s="3">
        <v>46188</v>
      </c>
      <c r="I87" s="3">
        <v>46233</v>
      </c>
      <c r="J87" s="2" t="s">
        <v>164</v>
      </c>
      <c r="K87" s="2" t="s">
        <v>53</v>
      </c>
      <c r="L87" s="2" t="s">
        <v>75</v>
      </c>
      <c r="M87" s="2" t="s">
        <v>211</v>
      </c>
      <c r="N87" s="2" t="s">
        <v>82</v>
      </c>
      <c r="O87" s="3"/>
      <c r="P87" s="3"/>
      <c r="Q87" s="2" t="s">
        <v>57</v>
      </c>
      <c r="R87" s="2">
        <f t="shared" ca="1" si="10"/>
        <v>1</v>
      </c>
      <c r="S87" s="2" t="str">
        <f t="shared" si="11"/>
        <v/>
      </c>
      <c r="T87" s="2">
        <f t="shared" ca="1" si="12"/>
        <v>44</v>
      </c>
      <c r="U87" s="2" t="str">
        <f t="shared" ca="1" si="13"/>
        <v>On Track</v>
      </c>
      <c r="V87" s="2" t="str">
        <f t="shared" ca="1" si="14"/>
        <v>Normal</v>
      </c>
    </row>
    <row r="88" spans="1:22" ht="28">
      <c r="A88" s="2" t="s">
        <v>342</v>
      </c>
      <c r="B88" s="2" t="s">
        <v>204</v>
      </c>
      <c r="C88" s="2" t="s">
        <v>343</v>
      </c>
      <c r="D88" s="4">
        <v>2112.09</v>
      </c>
      <c r="E88" s="2" t="s">
        <v>61</v>
      </c>
      <c r="F88" s="2" t="s">
        <v>73</v>
      </c>
      <c r="G88" s="2"/>
      <c r="H88" s="3">
        <v>46148</v>
      </c>
      <c r="I88" s="3">
        <v>46178</v>
      </c>
      <c r="J88" s="2" t="s">
        <v>63</v>
      </c>
      <c r="K88" s="2" t="s">
        <v>64</v>
      </c>
      <c r="L88" s="2" t="s">
        <v>54</v>
      </c>
      <c r="M88" s="2" t="s">
        <v>55</v>
      </c>
      <c r="N88" s="2" t="s">
        <v>82</v>
      </c>
      <c r="O88" s="3">
        <v>46155</v>
      </c>
      <c r="P88" s="3">
        <v>46158</v>
      </c>
      <c r="Q88" s="2" t="s">
        <v>57</v>
      </c>
      <c r="R88" s="2">
        <f t="shared" ca="1" si="10"/>
        <v>41</v>
      </c>
      <c r="S88" s="2">
        <f t="shared" si="11"/>
        <v>7</v>
      </c>
      <c r="T88" s="2">
        <f t="shared" ca="1" si="12"/>
        <v>-11</v>
      </c>
      <c r="U88" s="2" t="str">
        <f t="shared" ca="1" si="13"/>
        <v>N/A</v>
      </c>
      <c r="V88" s="2" t="str">
        <f t="shared" ca="1" si="14"/>
        <v>Normal</v>
      </c>
    </row>
    <row r="89" spans="1:22" ht="28">
      <c r="A89" s="2" t="s">
        <v>344</v>
      </c>
      <c r="B89" s="2" t="s">
        <v>47</v>
      </c>
      <c r="C89" s="2" t="s">
        <v>345</v>
      </c>
      <c r="D89" s="4">
        <v>7928.74</v>
      </c>
      <c r="E89" s="2" t="s">
        <v>49</v>
      </c>
      <c r="F89" s="2" t="s">
        <v>50</v>
      </c>
      <c r="G89" s="2" t="s">
        <v>346</v>
      </c>
      <c r="H89" s="3">
        <v>46155</v>
      </c>
      <c r="I89" s="3">
        <v>46170</v>
      </c>
      <c r="J89" s="2" t="s">
        <v>52</v>
      </c>
      <c r="K89" s="2" t="s">
        <v>53</v>
      </c>
      <c r="L89" s="2" t="s">
        <v>65</v>
      </c>
      <c r="M89" s="2" t="s">
        <v>109</v>
      </c>
      <c r="N89" s="2" t="s">
        <v>82</v>
      </c>
      <c r="O89" s="3"/>
      <c r="P89" s="3"/>
      <c r="Q89" s="2" t="s">
        <v>68</v>
      </c>
      <c r="R89" s="2">
        <f t="shared" ca="1" si="10"/>
        <v>34</v>
      </c>
      <c r="S89" s="2" t="str">
        <f t="shared" si="11"/>
        <v/>
      </c>
      <c r="T89" s="2">
        <f t="shared" ca="1" si="12"/>
        <v>-19</v>
      </c>
      <c r="U89" s="2" t="str">
        <f t="shared" ca="1" si="13"/>
        <v>N/A</v>
      </c>
      <c r="V89" s="2" t="str">
        <f t="shared" ca="1" si="14"/>
        <v>At Risk</v>
      </c>
    </row>
    <row r="90" spans="1:22" ht="28">
      <c r="A90" s="2" t="s">
        <v>347</v>
      </c>
      <c r="B90" s="2" t="s">
        <v>47</v>
      </c>
      <c r="C90" s="2" t="s">
        <v>348</v>
      </c>
      <c r="D90" s="4">
        <v>62462.34</v>
      </c>
      <c r="E90" s="2" t="s">
        <v>61</v>
      </c>
      <c r="F90" s="2" t="s">
        <v>50</v>
      </c>
      <c r="G90" s="2" t="s">
        <v>349</v>
      </c>
      <c r="H90" s="3">
        <v>46163</v>
      </c>
      <c r="I90" s="3">
        <v>46208</v>
      </c>
      <c r="J90" s="2" t="s">
        <v>104</v>
      </c>
      <c r="K90" s="2" t="s">
        <v>104</v>
      </c>
      <c r="L90" s="2" t="s">
        <v>75</v>
      </c>
      <c r="M90" s="2" t="s">
        <v>95</v>
      </c>
      <c r="N90" s="2" t="s">
        <v>82</v>
      </c>
      <c r="O90" s="3">
        <v>46180</v>
      </c>
      <c r="P90" s="3"/>
      <c r="Q90" s="2" t="s">
        <v>303</v>
      </c>
      <c r="R90" s="2">
        <f t="shared" ca="1" si="10"/>
        <v>26</v>
      </c>
      <c r="S90" s="2">
        <f t="shared" si="11"/>
        <v>17</v>
      </c>
      <c r="T90" s="2">
        <f t="shared" ca="1" si="12"/>
        <v>19</v>
      </c>
      <c r="U90" s="2" t="str">
        <f t="shared" ca="1" si="13"/>
        <v>N/A</v>
      </c>
      <c r="V90" s="2" t="str">
        <f t="shared" ca="1" si="14"/>
        <v>Normal</v>
      </c>
    </row>
    <row r="91" spans="1:22" ht="28">
      <c r="A91" s="2" t="s">
        <v>350</v>
      </c>
      <c r="B91" s="2" t="s">
        <v>78</v>
      </c>
      <c r="C91" s="2" t="s">
        <v>351</v>
      </c>
      <c r="D91" s="4">
        <v>4117.3900000000003</v>
      </c>
      <c r="E91" s="2" t="s">
        <v>135</v>
      </c>
      <c r="F91" s="2" t="s">
        <v>50</v>
      </c>
      <c r="G91" s="2" t="s">
        <v>352</v>
      </c>
      <c r="H91" s="3">
        <v>46147</v>
      </c>
      <c r="I91" s="3">
        <v>46192</v>
      </c>
      <c r="J91" s="2" t="s">
        <v>137</v>
      </c>
      <c r="K91" s="2" t="s">
        <v>64</v>
      </c>
      <c r="L91" s="2" t="s">
        <v>54</v>
      </c>
      <c r="M91" s="2" t="s">
        <v>109</v>
      </c>
      <c r="N91" s="2" t="s">
        <v>82</v>
      </c>
      <c r="O91" s="3"/>
      <c r="P91" s="3"/>
      <c r="Q91" s="2" t="s">
        <v>68</v>
      </c>
      <c r="R91" s="2">
        <f t="shared" ca="1" si="10"/>
        <v>42</v>
      </c>
      <c r="S91" s="2" t="str">
        <f t="shared" si="11"/>
        <v/>
      </c>
      <c r="T91" s="2">
        <f t="shared" ca="1" si="12"/>
        <v>3</v>
      </c>
      <c r="U91" s="2" t="str">
        <f t="shared" ca="1" si="13"/>
        <v>N/A</v>
      </c>
      <c r="V91" s="2" t="str">
        <f t="shared" ca="1" si="14"/>
        <v>At Risk</v>
      </c>
    </row>
    <row r="92" spans="1:22" ht="28">
      <c r="A92" s="2" t="s">
        <v>353</v>
      </c>
      <c r="B92" s="2" t="s">
        <v>208</v>
      </c>
      <c r="C92" s="2" t="s">
        <v>354</v>
      </c>
      <c r="D92" s="4">
        <v>14512.1</v>
      </c>
      <c r="E92" s="2" t="s">
        <v>61</v>
      </c>
      <c r="F92" s="2" t="s">
        <v>50</v>
      </c>
      <c r="G92" s="2" t="s">
        <v>355</v>
      </c>
      <c r="H92" s="3">
        <v>46152</v>
      </c>
      <c r="I92" s="3">
        <v>46167</v>
      </c>
      <c r="J92" s="2" t="s">
        <v>117</v>
      </c>
      <c r="K92" s="2" t="s">
        <v>53</v>
      </c>
      <c r="L92" s="2" t="s">
        <v>65</v>
      </c>
      <c r="M92" s="2" t="s">
        <v>89</v>
      </c>
      <c r="N92" s="2" t="s">
        <v>82</v>
      </c>
      <c r="O92" s="3"/>
      <c r="P92" s="3"/>
      <c r="Q92" s="2" t="s">
        <v>68</v>
      </c>
      <c r="R92" s="2">
        <f t="shared" ca="1" si="10"/>
        <v>37</v>
      </c>
      <c r="S92" s="2" t="str">
        <f t="shared" si="11"/>
        <v/>
      </c>
      <c r="T92" s="2">
        <f t="shared" ca="1" si="12"/>
        <v>-22</v>
      </c>
      <c r="U92" s="2" t="str">
        <f t="shared" ca="1" si="13"/>
        <v>N/A</v>
      </c>
      <c r="V92" s="2" t="str">
        <f t="shared" ca="1" si="14"/>
        <v>At Risk</v>
      </c>
    </row>
    <row r="93" spans="1:22" ht="28">
      <c r="A93" s="2" t="s">
        <v>356</v>
      </c>
      <c r="B93" s="2" t="s">
        <v>47</v>
      </c>
      <c r="C93" s="2" t="s">
        <v>357</v>
      </c>
      <c r="D93" s="4">
        <v>1983.76</v>
      </c>
      <c r="E93" s="2" t="s">
        <v>271</v>
      </c>
      <c r="F93" s="2" t="s">
        <v>50</v>
      </c>
      <c r="G93" s="2" t="s">
        <v>358</v>
      </c>
      <c r="H93" s="3">
        <v>46161</v>
      </c>
      <c r="I93" s="3">
        <v>46191</v>
      </c>
      <c r="J93" s="2" t="s">
        <v>273</v>
      </c>
      <c r="K93" s="2" t="s">
        <v>64</v>
      </c>
      <c r="L93" s="2" t="s">
        <v>75</v>
      </c>
      <c r="M93" s="2" t="s">
        <v>95</v>
      </c>
      <c r="N93" s="2" t="s">
        <v>82</v>
      </c>
      <c r="O93" s="3">
        <v>46182</v>
      </c>
      <c r="P93" s="3"/>
      <c r="Q93" s="2" t="s">
        <v>68</v>
      </c>
      <c r="R93" s="2">
        <f t="shared" ca="1" si="10"/>
        <v>28</v>
      </c>
      <c r="S93" s="2">
        <f t="shared" si="11"/>
        <v>21</v>
      </c>
      <c r="T93" s="2">
        <f t="shared" ca="1" si="12"/>
        <v>2</v>
      </c>
      <c r="U93" s="2" t="str">
        <f t="shared" ca="1" si="13"/>
        <v>N/A</v>
      </c>
      <c r="V93" s="2" t="str">
        <f t="shared" ca="1" si="14"/>
        <v>At Risk</v>
      </c>
    </row>
    <row r="94" spans="1:22" ht="28">
      <c r="A94" s="2" t="s">
        <v>359</v>
      </c>
      <c r="B94" s="2" t="s">
        <v>47</v>
      </c>
      <c r="C94" s="2" t="s">
        <v>360</v>
      </c>
      <c r="D94" s="4">
        <v>23125.95</v>
      </c>
      <c r="E94" s="2" t="s">
        <v>290</v>
      </c>
      <c r="F94" s="2" t="s">
        <v>50</v>
      </c>
      <c r="G94" s="2" t="s">
        <v>361</v>
      </c>
      <c r="H94" s="3">
        <v>46152</v>
      </c>
      <c r="I94" s="3">
        <v>46182</v>
      </c>
      <c r="J94" s="2" t="s">
        <v>52</v>
      </c>
      <c r="K94" s="2" t="s">
        <v>53</v>
      </c>
      <c r="L94" s="2" t="s">
        <v>54</v>
      </c>
      <c r="M94" s="2" t="s">
        <v>55</v>
      </c>
      <c r="N94" s="2" t="s">
        <v>56</v>
      </c>
      <c r="O94" s="3">
        <v>46174</v>
      </c>
      <c r="P94" s="3">
        <v>46186</v>
      </c>
      <c r="Q94" s="2" t="s">
        <v>57</v>
      </c>
      <c r="R94" s="2">
        <f t="shared" ca="1" si="10"/>
        <v>37</v>
      </c>
      <c r="S94" s="2">
        <f t="shared" si="11"/>
        <v>22</v>
      </c>
      <c r="T94" s="2">
        <f t="shared" ca="1" si="12"/>
        <v>-7</v>
      </c>
      <c r="U94" s="2" t="str">
        <f t="shared" ca="1" si="13"/>
        <v>N/A</v>
      </c>
      <c r="V94" s="2" t="str">
        <f t="shared" ca="1" si="14"/>
        <v>Normal</v>
      </c>
    </row>
    <row r="95" spans="1:22" ht="28">
      <c r="A95" s="2" t="s">
        <v>362</v>
      </c>
      <c r="B95" s="2" t="s">
        <v>204</v>
      </c>
      <c r="C95" s="2" t="s">
        <v>363</v>
      </c>
      <c r="D95" s="4">
        <v>1565.72</v>
      </c>
      <c r="E95" s="2" t="s">
        <v>86</v>
      </c>
      <c r="F95" s="2" t="s">
        <v>73</v>
      </c>
      <c r="G95" s="2"/>
      <c r="H95" s="3">
        <v>46186</v>
      </c>
      <c r="I95" s="3">
        <v>46231</v>
      </c>
      <c r="J95" s="2" t="s">
        <v>251</v>
      </c>
      <c r="K95" s="2" t="s">
        <v>64</v>
      </c>
      <c r="L95" s="2" t="s">
        <v>65</v>
      </c>
      <c r="M95" s="2" t="s">
        <v>81</v>
      </c>
      <c r="N95" s="2" t="s">
        <v>177</v>
      </c>
      <c r="O95" s="3">
        <v>46189</v>
      </c>
      <c r="P95" s="3"/>
      <c r="Q95" s="2" t="s">
        <v>57</v>
      </c>
      <c r="R95" s="2">
        <f t="shared" ca="1" si="10"/>
        <v>3</v>
      </c>
      <c r="S95" s="2">
        <f t="shared" si="11"/>
        <v>3</v>
      </c>
      <c r="T95" s="2">
        <f t="shared" ca="1" si="12"/>
        <v>42</v>
      </c>
      <c r="U95" s="2" t="str">
        <f t="shared" ca="1" si="13"/>
        <v>N/A</v>
      </c>
      <c r="V95" s="2" t="str">
        <f t="shared" ca="1" si="14"/>
        <v>Normal</v>
      </c>
    </row>
    <row r="96" spans="1:22" ht="28">
      <c r="A96" s="2" t="s">
        <v>364</v>
      </c>
      <c r="B96" s="2" t="s">
        <v>91</v>
      </c>
      <c r="C96" s="2" t="s">
        <v>365</v>
      </c>
      <c r="D96" s="4">
        <v>3914.76</v>
      </c>
      <c r="E96" s="2" t="s">
        <v>162</v>
      </c>
      <c r="F96" s="2" t="s">
        <v>73</v>
      </c>
      <c r="G96" s="2"/>
      <c r="H96" s="3">
        <v>46175</v>
      </c>
      <c r="I96" s="3">
        <v>46220</v>
      </c>
      <c r="J96" s="2" t="s">
        <v>168</v>
      </c>
      <c r="K96" s="2" t="s">
        <v>64</v>
      </c>
      <c r="L96" s="2" t="s">
        <v>75</v>
      </c>
      <c r="M96" s="2" t="s">
        <v>184</v>
      </c>
      <c r="N96" s="2" t="s">
        <v>82</v>
      </c>
      <c r="O96" s="3">
        <v>46182</v>
      </c>
      <c r="P96" s="3"/>
      <c r="Q96" s="2" t="s">
        <v>57</v>
      </c>
      <c r="R96" s="2">
        <f t="shared" ca="1" si="10"/>
        <v>14</v>
      </c>
      <c r="S96" s="2">
        <f t="shared" si="11"/>
        <v>7</v>
      </c>
      <c r="T96" s="2">
        <f t="shared" ca="1" si="12"/>
        <v>31</v>
      </c>
      <c r="U96" s="2" t="str">
        <f t="shared" ca="1" si="13"/>
        <v>N/A</v>
      </c>
      <c r="V96" s="2" t="str">
        <f t="shared" ca="1" si="14"/>
        <v>Normal</v>
      </c>
    </row>
    <row r="97" spans="1:22" ht="28">
      <c r="A97" s="2" t="s">
        <v>366</v>
      </c>
      <c r="B97" s="2" t="s">
        <v>204</v>
      </c>
      <c r="C97" s="2" t="s">
        <v>367</v>
      </c>
      <c r="D97" s="4">
        <v>13753.03</v>
      </c>
      <c r="E97" s="2" t="s">
        <v>271</v>
      </c>
      <c r="F97" s="2" t="s">
        <v>50</v>
      </c>
      <c r="G97" s="2" t="s">
        <v>368</v>
      </c>
      <c r="H97" s="3">
        <v>46169</v>
      </c>
      <c r="I97" s="3">
        <v>46199</v>
      </c>
      <c r="J97" s="2" t="s">
        <v>369</v>
      </c>
      <c r="K97" s="2" t="s">
        <v>53</v>
      </c>
      <c r="L97" s="2" t="s">
        <v>54</v>
      </c>
      <c r="M97" s="2" t="s">
        <v>95</v>
      </c>
      <c r="N97" s="2" t="s">
        <v>82</v>
      </c>
      <c r="O97" s="3">
        <v>46185</v>
      </c>
      <c r="P97" s="3"/>
      <c r="Q97" s="2" t="s">
        <v>57</v>
      </c>
      <c r="R97" s="2">
        <f t="shared" ca="1" si="10"/>
        <v>20</v>
      </c>
      <c r="S97" s="2">
        <f t="shared" si="11"/>
        <v>16</v>
      </c>
      <c r="T97" s="2">
        <f t="shared" ca="1" si="12"/>
        <v>10</v>
      </c>
      <c r="U97" s="2" t="str">
        <f t="shared" ca="1" si="13"/>
        <v>N/A</v>
      </c>
      <c r="V97" s="2" t="str">
        <f t="shared" ca="1" si="14"/>
        <v>Normal</v>
      </c>
    </row>
    <row r="98" spans="1:22" ht="28">
      <c r="A98" s="2" t="s">
        <v>370</v>
      </c>
      <c r="B98" s="2" t="s">
        <v>166</v>
      </c>
      <c r="C98" s="2" t="s">
        <v>371</v>
      </c>
      <c r="D98" s="4">
        <v>4654.16</v>
      </c>
      <c r="E98" s="2" t="s">
        <v>61</v>
      </c>
      <c r="F98" s="2" t="s">
        <v>50</v>
      </c>
      <c r="G98" s="2" t="s">
        <v>372</v>
      </c>
      <c r="H98" s="3">
        <v>46171</v>
      </c>
      <c r="I98" s="3">
        <v>46201</v>
      </c>
      <c r="J98" s="2" t="s">
        <v>63</v>
      </c>
      <c r="K98" s="2" t="s">
        <v>64</v>
      </c>
      <c r="L98" s="2" t="s">
        <v>65</v>
      </c>
      <c r="M98" s="2" t="s">
        <v>109</v>
      </c>
      <c r="N98" s="2" t="s">
        <v>82</v>
      </c>
      <c r="O98" s="3"/>
      <c r="P98" s="3"/>
      <c r="Q98" s="2" t="s">
        <v>57</v>
      </c>
      <c r="R98" s="2">
        <f t="shared" ca="1" si="10"/>
        <v>18</v>
      </c>
      <c r="S98" s="2" t="str">
        <f t="shared" si="11"/>
        <v/>
      </c>
      <c r="T98" s="2">
        <f t="shared" ca="1" si="12"/>
        <v>12</v>
      </c>
      <c r="U98" s="2" t="str">
        <f t="shared" ca="1" si="13"/>
        <v>N/A</v>
      </c>
      <c r="V98" s="2" t="str">
        <f t="shared" ca="1" si="14"/>
        <v>Normal</v>
      </c>
    </row>
    <row r="99" spans="1:22" ht="28">
      <c r="A99" s="2" t="s">
        <v>373</v>
      </c>
      <c r="B99" s="2" t="s">
        <v>106</v>
      </c>
      <c r="C99" s="2" t="s">
        <v>374</v>
      </c>
      <c r="D99" s="4">
        <v>21917</v>
      </c>
      <c r="E99" s="2" t="s">
        <v>99</v>
      </c>
      <c r="F99" s="2" t="s">
        <v>73</v>
      </c>
      <c r="G99" s="2"/>
      <c r="H99" s="3">
        <v>46150</v>
      </c>
      <c r="I99" s="3">
        <v>46180</v>
      </c>
      <c r="J99" s="2" t="s">
        <v>187</v>
      </c>
      <c r="K99" s="2" t="s">
        <v>53</v>
      </c>
      <c r="L99" s="2" t="s">
        <v>75</v>
      </c>
      <c r="M99" s="2" t="s">
        <v>66</v>
      </c>
      <c r="N99" s="2" t="s">
        <v>122</v>
      </c>
      <c r="O99" s="3"/>
      <c r="P99" s="3"/>
      <c r="Q99" s="2" t="s">
        <v>68</v>
      </c>
      <c r="R99" s="2">
        <f t="shared" ca="1" si="10"/>
        <v>39</v>
      </c>
      <c r="S99" s="2" t="str">
        <f t="shared" si="11"/>
        <v/>
      </c>
      <c r="T99" s="2">
        <f t="shared" ca="1" si="12"/>
        <v>-9</v>
      </c>
      <c r="U99" s="2" t="str">
        <f t="shared" ca="1" si="13"/>
        <v>N/A</v>
      </c>
      <c r="V99" s="2" t="str">
        <f t="shared" ca="1" si="14"/>
        <v>At Risk</v>
      </c>
    </row>
    <row r="100" spans="1:22" ht="28">
      <c r="A100" s="2" t="s">
        <v>375</v>
      </c>
      <c r="B100" s="2" t="s">
        <v>376</v>
      </c>
      <c r="C100" s="2" t="s">
        <v>377</v>
      </c>
      <c r="D100" s="4">
        <v>2093.5100000000002</v>
      </c>
      <c r="E100" s="2" t="s">
        <v>157</v>
      </c>
      <c r="F100" s="2" t="s">
        <v>50</v>
      </c>
      <c r="G100" s="2" t="s">
        <v>378</v>
      </c>
      <c r="H100" s="3">
        <v>46166</v>
      </c>
      <c r="I100" s="3">
        <v>46181</v>
      </c>
      <c r="J100" s="2" t="s">
        <v>159</v>
      </c>
      <c r="K100" s="2" t="s">
        <v>64</v>
      </c>
      <c r="L100" s="2" t="s">
        <v>54</v>
      </c>
      <c r="M100" s="2" t="s">
        <v>95</v>
      </c>
      <c r="N100" s="2" t="s">
        <v>82</v>
      </c>
      <c r="O100" s="3">
        <v>46175</v>
      </c>
      <c r="P100" s="3"/>
      <c r="Q100" s="2" t="s">
        <v>68</v>
      </c>
      <c r="R100" s="2">
        <f t="shared" ref="R100:R131" ca="1" si="15">TODAY()-H100</f>
        <v>23</v>
      </c>
      <c r="S100" s="2">
        <f t="shared" ref="S100:S131" si="16">IF(O100="","",O100-H100)</f>
        <v>9</v>
      </c>
      <c r="T100" s="2">
        <f t="shared" ref="T100:T131" ca="1" si="17">I100-TODAY()</f>
        <v>-8</v>
      </c>
      <c r="U100" s="2" t="str">
        <f t="shared" ref="U100:U131" ca="1" si="18">IF(AND(M100="Pending Approval",R100&gt;5),"Overdue",IF(M100="Pending Approval","On Track","N/A"))</f>
        <v>N/A</v>
      </c>
      <c r="V100" s="2" t="str">
        <f t="shared" ref="V100:V131" ca="1" si="19">IF(AND(M100&lt;&gt;"Paid",M100&lt;&gt;"Rejected",T100&lt;=7),"At Risk","Normal")</f>
        <v>At Risk</v>
      </c>
    </row>
    <row r="101" spans="1:22" ht="28">
      <c r="A101" s="2" t="s">
        <v>379</v>
      </c>
      <c r="B101" s="2" t="s">
        <v>119</v>
      </c>
      <c r="C101" s="2" t="s">
        <v>380</v>
      </c>
      <c r="D101" s="4">
        <v>19110.02</v>
      </c>
      <c r="E101" s="2" t="s">
        <v>86</v>
      </c>
      <c r="F101" s="2" t="s">
        <v>73</v>
      </c>
      <c r="G101" s="2"/>
      <c r="H101" s="3">
        <v>46171</v>
      </c>
      <c r="I101" s="3">
        <v>46216</v>
      </c>
      <c r="J101" s="2" t="s">
        <v>88</v>
      </c>
      <c r="K101" s="2" t="s">
        <v>53</v>
      </c>
      <c r="L101" s="2" t="s">
        <v>65</v>
      </c>
      <c r="M101" s="2" t="s">
        <v>66</v>
      </c>
      <c r="N101" s="2" t="s">
        <v>76</v>
      </c>
      <c r="O101" s="3"/>
      <c r="P101" s="3"/>
      <c r="Q101" s="2" t="s">
        <v>57</v>
      </c>
      <c r="R101" s="2">
        <f t="shared" ca="1" si="15"/>
        <v>18</v>
      </c>
      <c r="S101" s="2" t="str">
        <f t="shared" si="16"/>
        <v/>
      </c>
      <c r="T101" s="2">
        <f t="shared" ca="1" si="17"/>
        <v>27</v>
      </c>
      <c r="U101" s="2" t="str">
        <f t="shared" ca="1" si="18"/>
        <v>N/A</v>
      </c>
      <c r="V101" s="2" t="str">
        <f t="shared" ca="1" si="19"/>
        <v>Normal</v>
      </c>
    </row>
    <row r="102" spans="1:22" ht="28">
      <c r="A102" s="2" t="s">
        <v>381</v>
      </c>
      <c r="B102" s="2" t="s">
        <v>376</v>
      </c>
      <c r="C102" s="2" t="s">
        <v>382</v>
      </c>
      <c r="D102" s="4">
        <v>472.03</v>
      </c>
      <c r="E102" s="2" t="s">
        <v>103</v>
      </c>
      <c r="F102" s="2" t="s">
        <v>73</v>
      </c>
      <c r="G102" s="2"/>
      <c r="H102" s="3">
        <v>46169</v>
      </c>
      <c r="I102" s="3">
        <v>46214</v>
      </c>
      <c r="J102" s="2" t="s">
        <v>108</v>
      </c>
      <c r="K102" s="2" t="s">
        <v>64</v>
      </c>
      <c r="L102" s="2" t="s">
        <v>75</v>
      </c>
      <c r="M102" s="2" t="s">
        <v>95</v>
      </c>
      <c r="N102" s="2" t="s">
        <v>82</v>
      </c>
      <c r="O102" s="3">
        <v>46186</v>
      </c>
      <c r="P102" s="3"/>
      <c r="Q102" s="2" t="s">
        <v>57</v>
      </c>
      <c r="R102" s="2">
        <f t="shared" ca="1" si="15"/>
        <v>20</v>
      </c>
      <c r="S102" s="2">
        <f t="shared" si="16"/>
        <v>17</v>
      </c>
      <c r="T102" s="2">
        <f t="shared" ca="1" si="17"/>
        <v>25</v>
      </c>
      <c r="U102" s="2" t="str">
        <f t="shared" ca="1" si="18"/>
        <v>N/A</v>
      </c>
      <c r="V102" s="2" t="str">
        <f t="shared" ca="1" si="19"/>
        <v>Normal</v>
      </c>
    </row>
    <row r="103" spans="1:22" ht="28">
      <c r="A103" s="2" t="s">
        <v>383</v>
      </c>
      <c r="B103" s="2" t="s">
        <v>84</v>
      </c>
      <c r="C103" s="2" t="s">
        <v>384</v>
      </c>
      <c r="D103" s="4">
        <v>13330.94</v>
      </c>
      <c r="E103" s="2" t="s">
        <v>72</v>
      </c>
      <c r="F103" s="2" t="s">
        <v>73</v>
      </c>
      <c r="G103" s="2"/>
      <c r="H103" s="3">
        <v>46185</v>
      </c>
      <c r="I103" s="3">
        <v>46230</v>
      </c>
      <c r="J103" s="2" t="s">
        <v>52</v>
      </c>
      <c r="K103" s="2" t="s">
        <v>53</v>
      </c>
      <c r="L103" s="2" t="s">
        <v>54</v>
      </c>
      <c r="M103" s="2" t="s">
        <v>66</v>
      </c>
      <c r="N103" s="2" t="s">
        <v>56</v>
      </c>
      <c r="O103" s="3"/>
      <c r="P103" s="3"/>
      <c r="Q103" s="2" t="s">
        <v>57</v>
      </c>
      <c r="R103" s="2">
        <f t="shared" ca="1" si="15"/>
        <v>4</v>
      </c>
      <c r="S103" s="2" t="str">
        <f t="shared" si="16"/>
        <v/>
      </c>
      <c r="T103" s="2">
        <f t="shared" ca="1" si="17"/>
        <v>41</v>
      </c>
      <c r="U103" s="2" t="str">
        <f t="shared" ca="1" si="18"/>
        <v>N/A</v>
      </c>
      <c r="V103" s="2" t="str">
        <f t="shared" ca="1" si="19"/>
        <v>Normal</v>
      </c>
    </row>
    <row r="104" spans="1:22" ht="28">
      <c r="A104" s="2" t="s">
        <v>385</v>
      </c>
      <c r="B104" s="2" t="s">
        <v>84</v>
      </c>
      <c r="C104" s="2" t="s">
        <v>386</v>
      </c>
      <c r="D104" s="4">
        <v>2407.4</v>
      </c>
      <c r="E104" s="2" t="s">
        <v>103</v>
      </c>
      <c r="F104" s="2" t="s">
        <v>73</v>
      </c>
      <c r="G104" s="2"/>
      <c r="H104" s="3">
        <v>46159</v>
      </c>
      <c r="I104" s="3">
        <v>46204</v>
      </c>
      <c r="J104" s="2" t="s">
        <v>108</v>
      </c>
      <c r="K104" s="2" t="s">
        <v>64</v>
      </c>
      <c r="L104" s="2" t="s">
        <v>65</v>
      </c>
      <c r="M104" s="2" t="s">
        <v>66</v>
      </c>
      <c r="N104" s="2" t="s">
        <v>76</v>
      </c>
      <c r="O104" s="3"/>
      <c r="P104" s="3"/>
      <c r="Q104" s="2" t="s">
        <v>57</v>
      </c>
      <c r="R104" s="2">
        <f t="shared" ca="1" si="15"/>
        <v>30</v>
      </c>
      <c r="S104" s="2" t="str">
        <f t="shared" si="16"/>
        <v/>
      </c>
      <c r="T104" s="2">
        <f t="shared" ca="1" si="17"/>
        <v>15</v>
      </c>
      <c r="U104" s="2" t="str">
        <f t="shared" ca="1" si="18"/>
        <v>N/A</v>
      </c>
      <c r="V104" s="2" t="str">
        <f t="shared" ca="1" si="19"/>
        <v>Normal</v>
      </c>
    </row>
    <row r="105" spans="1:22" ht="28">
      <c r="A105" s="2" t="s">
        <v>387</v>
      </c>
      <c r="B105" s="2" t="s">
        <v>115</v>
      </c>
      <c r="C105" s="2" t="s">
        <v>388</v>
      </c>
      <c r="D105" s="4">
        <v>4032.82</v>
      </c>
      <c r="E105" s="2" t="s">
        <v>290</v>
      </c>
      <c r="F105" s="2" t="s">
        <v>50</v>
      </c>
      <c r="G105" s="2" t="s">
        <v>389</v>
      </c>
      <c r="H105" s="3">
        <v>46154</v>
      </c>
      <c r="I105" s="3">
        <v>46199</v>
      </c>
      <c r="J105" s="2" t="s">
        <v>291</v>
      </c>
      <c r="K105" s="2" t="s">
        <v>64</v>
      </c>
      <c r="L105" s="2" t="s">
        <v>75</v>
      </c>
      <c r="M105" s="2" t="s">
        <v>95</v>
      </c>
      <c r="N105" s="2" t="s">
        <v>82</v>
      </c>
      <c r="O105" s="3">
        <v>46176</v>
      </c>
      <c r="P105" s="3"/>
      <c r="Q105" s="2" t="s">
        <v>57</v>
      </c>
      <c r="R105" s="2">
        <f t="shared" ca="1" si="15"/>
        <v>35</v>
      </c>
      <c r="S105" s="2">
        <f t="shared" si="16"/>
        <v>22</v>
      </c>
      <c r="T105" s="2">
        <f t="shared" ca="1" si="17"/>
        <v>10</v>
      </c>
      <c r="U105" s="2" t="str">
        <f t="shared" ca="1" si="18"/>
        <v>N/A</v>
      </c>
      <c r="V105" s="2" t="str">
        <f t="shared" ca="1" si="19"/>
        <v>Normal</v>
      </c>
    </row>
    <row r="106" spans="1:22" ht="28">
      <c r="A106" s="2" t="s">
        <v>390</v>
      </c>
      <c r="B106" s="2" t="s">
        <v>376</v>
      </c>
      <c r="C106" s="2" t="s">
        <v>391</v>
      </c>
      <c r="D106" s="4">
        <v>11201.21</v>
      </c>
      <c r="E106" s="2" t="s">
        <v>49</v>
      </c>
      <c r="F106" s="2" t="s">
        <v>73</v>
      </c>
      <c r="G106" s="2"/>
      <c r="H106" s="3">
        <v>46168</v>
      </c>
      <c r="I106" s="3">
        <v>46213</v>
      </c>
      <c r="J106" s="2" t="s">
        <v>52</v>
      </c>
      <c r="K106" s="2" t="s">
        <v>53</v>
      </c>
      <c r="L106" s="2" t="s">
        <v>54</v>
      </c>
      <c r="M106" s="2" t="s">
        <v>66</v>
      </c>
      <c r="N106" s="2" t="s">
        <v>56</v>
      </c>
      <c r="O106" s="3"/>
      <c r="P106" s="3"/>
      <c r="Q106" s="2" t="s">
        <v>57</v>
      </c>
      <c r="R106" s="2">
        <f t="shared" ca="1" si="15"/>
        <v>21</v>
      </c>
      <c r="S106" s="2" t="str">
        <f t="shared" si="16"/>
        <v/>
      </c>
      <c r="T106" s="2">
        <f t="shared" ca="1" si="17"/>
        <v>24</v>
      </c>
      <c r="U106" s="2" t="str">
        <f t="shared" ca="1" si="18"/>
        <v>N/A</v>
      </c>
      <c r="V106" s="2" t="str">
        <f t="shared" ca="1" si="19"/>
        <v>Normal</v>
      </c>
    </row>
    <row r="107" spans="1:22" ht="28">
      <c r="A107" s="2" t="s">
        <v>392</v>
      </c>
      <c r="B107" s="2" t="s">
        <v>141</v>
      </c>
      <c r="C107" s="2" t="s">
        <v>393</v>
      </c>
      <c r="D107" s="4">
        <v>4697.63</v>
      </c>
      <c r="E107" s="2" t="s">
        <v>290</v>
      </c>
      <c r="F107" s="2" t="s">
        <v>50</v>
      </c>
      <c r="G107" s="2" t="s">
        <v>394</v>
      </c>
      <c r="H107" s="3">
        <v>46164</v>
      </c>
      <c r="I107" s="3">
        <v>46179</v>
      </c>
      <c r="J107" s="2" t="s">
        <v>291</v>
      </c>
      <c r="K107" s="2" t="s">
        <v>64</v>
      </c>
      <c r="L107" s="2" t="s">
        <v>65</v>
      </c>
      <c r="M107" s="2" t="s">
        <v>95</v>
      </c>
      <c r="N107" s="2" t="s">
        <v>82</v>
      </c>
      <c r="O107" s="3">
        <v>46182</v>
      </c>
      <c r="P107" s="3"/>
      <c r="Q107" s="2" t="s">
        <v>68</v>
      </c>
      <c r="R107" s="2">
        <f t="shared" ca="1" si="15"/>
        <v>25</v>
      </c>
      <c r="S107" s="2">
        <f t="shared" si="16"/>
        <v>18</v>
      </c>
      <c r="T107" s="2">
        <f t="shared" ca="1" si="17"/>
        <v>-10</v>
      </c>
      <c r="U107" s="2" t="str">
        <f t="shared" ca="1" si="18"/>
        <v>N/A</v>
      </c>
      <c r="V107" s="2" t="str">
        <f t="shared" ca="1" si="19"/>
        <v>At Risk</v>
      </c>
    </row>
    <row r="108" spans="1:22" ht="28">
      <c r="A108" s="2" t="s">
        <v>395</v>
      </c>
      <c r="B108" s="2" t="s">
        <v>145</v>
      </c>
      <c r="C108" s="2" t="s">
        <v>396</v>
      </c>
      <c r="D108" s="4">
        <v>622.32000000000005</v>
      </c>
      <c r="E108" s="2" t="s">
        <v>86</v>
      </c>
      <c r="F108" s="2" t="s">
        <v>50</v>
      </c>
      <c r="G108" s="2" t="s">
        <v>397</v>
      </c>
      <c r="H108" s="3">
        <v>46185</v>
      </c>
      <c r="I108" s="3">
        <v>46215</v>
      </c>
      <c r="J108" s="2" t="s">
        <v>251</v>
      </c>
      <c r="K108" s="2" t="s">
        <v>64</v>
      </c>
      <c r="L108" s="2" t="s">
        <v>75</v>
      </c>
      <c r="M108" s="2" t="s">
        <v>89</v>
      </c>
      <c r="N108" s="2" t="s">
        <v>82</v>
      </c>
      <c r="O108" s="3"/>
      <c r="P108" s="3"/>
      <c r="Q108" s="2" t="s">
        <v>57</v>
      </c>
      <c r="R108" s="2">
        <f t="shared" ca="1" si="15"/>
        <v>4</v>
      </c>
      <c r="S108" s="2" t="str">
        <f t="shared" si="16"/>
        <v/>
      </c>
      <c r="T108" s="2">
        <f t="shared" ca="1" si="17"/>
        <v>26</v>
      </c>
      <c r="U108" s="2" t="str">
        <f t="shared" ca="1" si="18"/>
        <v>N/A</v>
      </c>
      <c r="V108" s="2" t="str">
        <f t="shared" ca="1" si="19"/>
        <v>Normal</v>
      </c>
    </row>
    <row r="109" spans="1:22" ht="28">
      <c r="A109" s="2" t="s">
        <v>398</v>
      </c>
      <c r="B109" s="2" t="s">
        <v>133</v>
      </c>
      <c r="C109" s="2" t="s">
        <v>399</v>
      </c>
      <c r="D109" s="4">
        <v>4807.13</v>
      </c>
      <c r="E109" s="2" t="s">
        <v>162</v>
      </c>
      <c r="F109" s="2" t="s">
        <v>50</v>
      </c>
      <c r="G109" s="2" t="s">
        <v>400</v>
      </c>
      <c r="H109" s="3">
        <v>46146</v>
      </c>
      <c r="I109" s="3">
        <v>46161</v>
      </c>
      <c r="J109" s="2" t="s">
        <v>168</v>
      </c>
      <c r="K109" s="2" t="s">
        <v>64</v>
      </c>
      <c r="L109" s="2" t="s">
        <v>54</v>
      </c>
      <c r="M109" s="2" t="s">
        <v>55</v>
      </c>
      <c r="N109" s="2" t="s">
        <v>82</v>
      </c>
      <c r="O109" s="3">
        <v>46164</v>
      </c>
      <c r="P109" s="3">
        <v>46176</v>
      </c>
      <c r="Q109" s="2" t="s">
        <v>57</v>
      </c>
      <c r="R109" s="2">
        <f t="shared" ca="1" si="15"/>
        <v>43</v>
      </c>
      <c r="S109" s="2">
        <f t="shared" si="16"/>
        <v>18</v>
      </c>
      <c r="T109" s="2">
        <f t="shared" ca="1" si="17"/>
        <v>-28</v>
      </c>
      <c r="U109" s="2" t="str">
        <f t="shared" ca="1" si="18"/>
        <v>N/A</v>
      </c>
      <c r="V109" s="2" t="str">
        <f t="shared" ca="1" si="19"/>
        <v>Normal</v>
      </c>
    </row>
    <row r="110" spans="1:22" ht="28">
      <c r="A110" s="2" t="s">
        <v>401</v>
      </c>
      <c r="B110" s="2" t="s">
        <v>376</v>
      </c>
      <c r="C110" s="2" t="s">
        <v>402</v>
      </c>
      <c r="D110" s="4">
        <v>2030.27</v>
      </c>
      <c r="E110" s="2" t="s">
        <v>93</v>
      </c>
      <c r="F110" s="2" t="s">
        <v>73</v>
      </c>
      <c r="G110" s="2"/>
      <c r="H110" s="3">
        <v>46179</v>
      </c>
      <c r="I110" s="3">
        <v>46194</v>
      </c>
      <c r="J110" s="2" t="s">
        <v>94</v>
      </c>
      <c r="K110" s="2" t="s">
        <v>64</v>
      </c>
      <c r="L110" s="2" t="s">
        <v>65</v>
      </c>
      <c r="M110" s="2" t="s">
        <v>89</v>
      </c>
      <c r="N110" s="2" t="s">
        <v>82</v>
      </c>
      <c r="O110" s="3"/>
      <c r="P110" s="3"/>
      <c r="Q110" s="2" t="s">
        <v>68</v>
      </c>
      <c r="R110" s="2">
        <f t="shared" ca="1" si="15"/>
        <v>10</v>
      </c>
      <c r="S110" s="2" t="str">
        <f t="shared" si="16"/>
        <v/>
      </c>
      <c r="T110" s="2">
        <f t="shared" ca="1" si="17"/>
        <v>5</v>
      </c>
      <c r="U110" s="2" t="str">
        <f t="shared" ca="1" si="18"/>
        <v>N/A</v>
      </c>
      <c r="V110" s="2" t="str">
        <f t="shared" ca="1" si="19"/>
        <v>At Risk</v>
      </c>
    </row>
    <row r="111" spans="1:22" ht="28">
      <c r="A111" s="2" t="s">
        <v>403</v>
      </c>
      <c r="B111" s="2" t="s">
        <v>145</v>
      </c>
      <c r="C111" s="2" t="s">
        <v>404</v>
      </c>
      <c r="D111" s="4">
        <v>1115.1199999999999</v>
      </c>
      <c r="E111" s="2" t="s">
        <v>93</v>
      </c>
      <c r="F111" s="2" t="s">
        <v>50</v>
      </c>
      <c r="G111" s="2" t="s">
        <v>405</v>
      </c>
      <c r="H111" s="3">
        <v>46176</v>
      </c>
      <c r="I111" s="3">
        <v>46206</v>
      </c>
      <c r="J111" s="2" t="s">
        <v>94</v>
      </c>
      <c r="K111" s="2" t="s">
        <v>64</v>
      </c>
      <c r="L111" s="2" t="s">
        <v>75</v>
      </c>
      <c r="M111" s="2" t="s">
        <v>184</v>
      </c>
      <c r="N111" s="2" t="s">
        <v>82</v>
      </c>
      <c r="O111" s="3">
        <v>46182</v>
      </c>
      <c r="P111" s="3"/>
      <c r="Q111" s="2" t="s">
        <v>57</v>
      </c>
      <c r="R111" s="2">
        <f t="shared" ca="1" si="15"/>
        <v>13</v>
      </c>
      <c r="S111" s="2">
        <f t="shared" si="16"/>
        <v>6</v>
      </c>
      <c r="T111" s="2">
        <f t="shared" ca="1" si="17"/>
        <v>17</v>
      </c>
      <c r="U111" s="2" t="str">
        <f t="shared" ca="1" si="18"/>
        <v>N/A</v>
      </c>
      <c r="V111" s="2" t="str">
        <f t="shared" ca="1" si="19"/>
        <v>Normal</v>
      </c>
    </row>
    <row r="112" spans="1:22" ht="28">
      <c r="A112" s="2" t="s">
        <v>406</v>
      </c>
      <c r="B112" s="2" t="s">
        <v>204</v>
      </c>
      <c r="C112" s="2" t="s">
        <v>407</v>
      </c>
      <c r="D112" s="4">
        <v>4428.8599999999997</v>
      </c>
      <c r="E112" s="2" t="s">
        <v>135</v>
      </c>
      <c r="F112" s="2" t="s">
        <v>73</v>
      </c>
      <c r="G112" s="2"/>
      <c r="H112" s="3">
        <v>46171</v>
      </c>
      <c r="I112" s="3">
        <v>46186</v>
      </c>
      <c r="J112" s="2" t="s">
        <v>137</v>
      </c>
      <c r="K112" s="2" t="s">
        <v>64</v>
      </c>
      <c r="L112" s="2" t="s">
        <v>54</v>
      </c>
      <c r="M112" s="2" t="s">
        <v>109</v>
      </c>
      <c r="N112" s="2" t="s">
        <v>82</v>
      </c>
      <c r="O112" s="3"/>
      <c r="P112" s="3"/>
      <c r="Q112" s="2" t="s">
        <v>68</v>
      </c>
      <c r="R112" s="2">
        <f t="shared" ca="1" si="15"/>
        <v>18</v>
      </c>
      <c r="S112" s="2" t="str">
        <f t="shared" si="16"/>
        <v/>
      </c>
      <c r="T112" s="2">
        <f t="shared" ca="1" si="17"/>
        <v>-3</v>
      </c>
      <c r="U112" s="2" t="str">
        <f t="shared" ca="1" si="18"/>
        <v>N/A</v>
      </c>
      <c r="V112" s="2" t="str">
        <f t="shared" ca="1" si="19"/>
        <v>At Risk</v>
      </c>
    </row>
    <row r="113" spans="1:22" ht="28">
      <c r="A113" s="2" t="s">
        <v>408</v>
      </c>
      <c r="B113" s="2" t="s">
        <v>155</v>
      </c>
      <c r="C113" s="2" t="s">
        <v>409</v>
      </c>
      <c r="D113" s="4">
        <v>20873.13</v>
      </c>
      <c r="E113" s="2" t="s">
        <v>49</v>
      </c>
      <c r="F113" s="2" t="s">
        <v>50</v>
      </c>
      <c r="G113" s="2" t="s">
        <v>410</v>
      </c>
      <c r="H113" s="3">
        <v>46175</v>
      </c>
      <c r="I113" s="3">
        <v>46190</v>
      </c>
      <c r="J113" s="2" t="s">
        <v>52</v>
      </c>
      <c r="K113" s="2" t="s">
        <v>53</v>
      </c>
      <c r="L113" s="2" t="s">
        <v>65</v>
      </c>
      <c r="M113" s="2" t="s">
        <v>184</v>
      </c>
      <c r="N113" s="2" t="s">
        <v>82</v>
      </c>
      <c r="O113" s="3">
        <v>46179</v>
      </c>
      <c r="P113" s="3"/>
      <c r="Q113" s="2" t="s">
        <v>68</v>
      </c>
      <c r="R113" s="2">
        <f t="shared" ca="1" si="15"/>
        <v>14</v>
      </c>
      <c r="S113" s="2">
        <f t="shared" si="16"/>
        <v>4</v>
      </c>
      <c r="T113" s="2">
        <f t="shared" ca="1" si="17"/>
        <v>1</v>
      </c>
      <c r="U113" s="2" t="str">
        <f t="shared" ca="1" si="18"/>
        <v>N/A</v>
      </c>
      <c r="V113" s="2" t="str">
        <f t="shared" ca="1" si="19"/>
        <v>At Risk</v>
      </c>
    </row>
    <row r="114" spans="1:22" ht="28">
      <c r="A114" s="2" t="s">
        <v>411</v>
      </c>
      <c r="B114" s="2" t="s">
        <v>111</v>
      </c>
      <c r="C114" s="2" t="s">
        <v>412</v>
      </c>
      <c r="D114" s="4">
        <v>11185.51</v>
      </c>
      <c r="E114" s="2" t="s">
        <v>72</v>
      </c>
      <c r="F114" s="2" t="s">
        <v>50</v>
      </c>
      <c r="G114" s="2" t="s">
        <v>413</v>
      </c>
      <c r="H114" s="3">
        <v>46188</v>
      </c>
      <c r="I114" s="3">
        <v>46233</v>
      </c>
      <c r="J114" s="2" t="s">
        <v>52</v>
      </c>
      <c r="K114" s="2" t="s">
        <v>53</v>
      </c>
      <c r="L114" s="2" t="s">
        <v>75</v>
      </c>
      <c r="M114" s="2" t="s">
        <v>89</v>
      </c>
      <c r="N114" s="2" t="s">
        <v>82</v>
      </c>
      <c r="O114" s="3"/>
      <c r="P114" s="3"/>
      <c r="Q114" s="2" t="s">
        <v>57</v>
      </c>
      <c r="R114" s="2">
        <f t="shared" ca="1" si="15"/>
        <v>1</v>
      </c>
      <c r="S114" s="2" t="str">
        <f t="shared" si="16"/>
        <v/>
      </c>
      <c r="T114" s="2">
        <f t="shared" ca="1" si="17"/>
        <v>44</v>
      </c>
      <c r="U114" s="2" t="str">
        <f t="shared" ca="1" si="18"/>
        <v>N/A</v>
      </c>
      <c r="V114" s="2" t="str">
        <f t="shared" ca="1" si="19"/>
        <v>Normal</v>
      </c>
    </row>
    <row r="115" spans="1:22" ht="28">
      <c r="A115" s="2" t="s">
        <v>414</v>
      </c>
      <c r="B115" s="2" t="s">
        <v>376</v>
      </c>
      <c r="C115" s="2" t="s">
        <v>415</v>
      </c>
      <c r="D115" s="4">
        <v>24324.33</v>
      </c>
      <c r="E115" s="2" t="s">
        <v>162</v>
      </c>
      <c r="F115" s="2" t="s">
        <v>73</v>
      </c>
      <c r="G115" s="2"/>
      <c r="H115" s="3">
        <v>46170</v>
      </c>
      <c r="I115" s="3">
        <v>46215</v>
      </c>
      <c r="J115" s="2" t="s">
        <v>164</v>
      </c>
      <c r="K115" s="2" t="s">
        <v>53</v>
      </c>
      <c r="L115" s="2" t="s">
        <v>54</v>
      </c>
      <c r="M115" s="2" t="s">
        <v>95</v>
      </c>
      <c r="N115" s="2" t="s">
        <v>122</v>
      </c>
      <c r="O115" s="3">
        <v>46177</v>
      </c>
      <c r="P115" s="3"/>
      <c r="Q115" s="2" t="s">
        <v>57</v>
      </c>
      <c r="R115" s="2">
        <f t="shared" ca="1" si="15"/>
        <v>19</v>
      </c>
      <c r="S115" s="2">
        <f t="shared" si="16"/>
        <v>7</v>
      </c>
      <c r="T115" s="2">
        <f t="shared" ca="1" si="17"/>
        <v>26</v>
      </c>
      <c r="U115" s="2" t="str">
        <f t="shared" ca="1" si="18"/>
        <v>N/A</v>
      </c>
      <c r="V115" s="2" t="str">
        <f t="shared" ca="1" si="19"/>
        <v>Normal</v>
      </c>
    </row>
    <row r="116" spans="1:22" ht="28">
      <c r="A116" s="2" t="s">
        <v>416</v>
      </c>
      <c r="B116" s="2" t="s">
        <v>155</v>
      </c>
      <c r="C116" s="2" t="s">
        <v>417</v>
      </c>
      <c r="D116" s="4">
        <v>4697.04</v>
      </c>
      <c r="E116" s="2" t="s">
        <v>99</v>
      </c>
      <c r="F116" s="2" t="s">
        <v>50</v>
      </c>
      <c r="G116" s="2" t="s">
        <v>418</v>
      </c>
      <c r="H116" s="3">
        <v>46160</v>
      </c>
      <c r="I116" s="3">
        <v>46175</v>
      </c>
      <c r="J116" s="2" t="s">
        <v>100</v>
      </c>
      <c r="K116" s="2" t="s">
        <v>64</v>
      </c>
      <c r="L116" s="2" t="s">
        <v>65</v>
      </c>
      <c r="M116" s="2" t="s">
        <v>95</v>
      </c>
      <c r="N116" s="2" t="s">
        <v>82</v>
      </c>
      <c r="O116" s="3">
        <v>46164</v>
      </c>
      <c r="P116" s="3"/>
      <c r="Q116" s="2" t="s">
        <v>68</v>
      </c>
      <c r="R116" s="2">
        <f t="shared" ca="1" si="15"/>
        <v>29</v>
      </c>
      <c r="S116" s="2">
        <f t="shared" si="16"/>
        <v>4</v>
      </c>
      <c r="T116" s="2">
        <f t="shared" ca="1" si="17"/>
        <v>-14</v>
      </c>
      <c r="U116" s="2" t="str">
        <f t="shared" ca="1" si="18"/>
        <v>N/A</v>
      </c>
      <c r="V116" s="2" t="str">
        <f t="shared" ca="1" si="19"/>
        <v>At Risk</v>
      </c>
    </row>
    <row r="117" spans="1:22" ht="28">
      <c r="A117" s="2" t="s">
        <v>419</v>
      </c>
      <c r="B117" s="2" t="s">
        <v>106</v>
      </c>
      <c r="C117" s="2" t="s">
        <v>420</v>
      </c>
      <c r="D117" s="4">
        <v>4546.2700000000004</v>
      </c>
      <c r="E117" s="2" t="s">
        <v>93</v>
      </c>
      <c r="F117" s="2" t="s">
        <v>73</v>
      </c>
      <c r="G117" s="2"/>
      <c r="H117" s="3">
        <v>46145</v>
      </c>
      <c r="I117" s="3">
        <v>46160</v>
      </c>
      <c r="J117" s="2" t="s">
        <v>94</v>
      </c>
      <c r="K117" s="2" t="s">
        <v>64</v>
      </c>
      <c r="L117" s="2" t="s">
        <v>75</v>
      </c>
      <c r="M117" s="2" t="s">
        <v>66</v>
      </c>
      <c r="N117" s="2" t="s">
        <v>67</v>
      </c>
      <c r="O117" s="3"/>
      <c r="P117" s="3"/>
      <c r="Q117" s="2" t="s">
        <v>68</v>
      </c>
      <c r="R117" s="2">
        <f t="shared" ca="1" si="15"/>
        <v>44</v>
      </c>
      <c r="S117" s="2" t="str">
        <f t="shared" si="16"/>
        <v/>
      </c>
      <c r="T117" s="2">
        <f t="shared" ca="1" si="17"/>
        <v>-29</v>
      </c>
      <c r="U117" s="2" t="str">
        <f t="shared" ca="1" si="18"/>
        <v>N/A</v>
      </c>
      <c r="V117" s="2" t="str">
        <f t="shared" ca="1" si="19"/>
        <v>At Risk</v>
      </c>
    </row>
    <row r="118" spans="1:22" ht="28">
      <c r="A118" s="2" t="s">
        <v>421</v>
      </c>
      <c r="B118" s="2" t="s">
        <v>253</v>
      </c>
      <c r="C118" s="2" t="s">
        <v>422</v>
      </c>
      <c r="D118" s="4">
        <v>21092.959999999999</v>
      </c>
      <c r="E118" s="2" t="s">
        <v>157</v>
      </c>
      <c r="F118" s="2" t="s">
        <v>73</v>
      </c>
      <c r="G118" s="2"/>
      <c r="H118" s="3">
        <v>46186</v>
      </c>
      <c r="I118" s="3">
        <v>46216</v>
      </c>
      <c r="J118" s="2" t="s">
        <v>322</v>
      </c>
      <c r="K118" s="2" t="s">
        <v>53</v>
      </c>
      <c r="L118" s="2" t="s">
        <v>54</v>
      </c>
      <c r="M118" s="2" t="s">
        <v>89</v>
      </c>
      <c r="N118" s="2" t="s">
        <v>76</v>
      </c>
      <c r="O118" s="3"/>
      <c r="P118" s="3"/>
      <c r="Q118" s="2" t="s">
        <v>57</v>
      </c>
      <c r="R118" s="2">
        <f t="shared" ca="1" si="15"/>
        <v>3</v>
      </c>
      <c r="S118" s="2" t="str">
        <f t="shared" si="16"/>
        <v/>
      </c>
      <c r="T118" s="2">
        <f t="shared" ca="1" si="17"/>
        <v>27</v>
      </c>
      <c r="U118" s="2" t="str">
        <f t="shared" ca="1" si="18"/>
        <v>N/A</v>
      </c>
      <c r="V118" s="2" t="str">
        <f t="shared" ca="1" si="19"/>
        <v>Normal</v>
      </c>
    </row>
    <row r="119" spans="1:22" ht="28">
      <c r="A119" s="2" t="s">
        <v>423</v>
      </c>
      <c r="B119" s="2" t="s">
        <v>133</v>
      </c>
      <c r="C119" s="2" t="s">
        <v>424</v>
      </c>
      <c r="D119" s="4">
        <v>12410.43</v>
      </c>
      <c r="E119" s="2" t="s">
        <v>99</v>
      </c>
      <c r="F119" s="2" t="s">
        <v>50</v>
      </c>
      <c r="G119" s="2" t="s">
        <v>425</v>
      </c>
      <c r="H119" s="3">
        <v>46178</v>
      </c>
      <c r="I119" s="3">
        <v>46193</v>
      </c>
      <c r="J119" s="2" t="s">
        <v>187</v>
      </c>
      <c r="K119" s="2" t="s">
        <v>53</v>
      </c>
      <c r="L119" s="2" t="s">
        <v>65</v>
      </c>
      <c r="M119" s="2" t="s">
        <v>89</v>
      </c>
      <c r="N119" s="2" t="s">
        <v>82</v>
      </c>
      <c r="O119" s="3"/>
      <c r="P119" s="3"/>
      <c r="Q119" s="2" t="s">
        <v>68</v>
      </c>
      <c r="R119" s="2">
        <f t="shared" ca="1" si="15"/>
        <v>11</v>
      </c>
      <c r="S119" s="2" t="str">
        <f t="shared" si="16"/>
        <v/>
      </c>
      <c r="T119" s="2">
        <f t="shared" ca="1" si="17"/>
        <v>4</v>
      </c>
      <c r="U119" s="2" t="str">
        <f t="shared" ca="1" si="18"/>
        <v>N/A</v>
      </c>
      <c r="V119" s="2" t="str">
        <f t="shared" ca="1" si="19"/>
        <v>At Risk</v>
      </c>
    </row>
    <row r="120" spans="1:22" ht="28">
      <c r="A120" s="2" t="s">
        <v>426</v>
      </c>
      <c r="B120" s="2" t="s">
        <v>376</v>
      </c>
      <c r="C120" s="2" t="s">
        <v>427</v>
      </c>
      <c r="D120" s="4">
        <v>4267.8900000000003</v>
      </c>
      <c r="E120" s="2" t="s">
        <v>49</v>
      </c>
      <c r="F120" s="2" t="s">
        <v>50</v>
      </c>
      <c r="G120" s="2" t="s">
        <v>428</v>
      </c>
      <c r="H120" s="3">
        <v>46163</v>
      </c>
      <c r="I120" s="3">
        <v>46178</v>
      </c>
      <c r="J120" s="2" t="s">
        <v>80</v>
      </c>
      <c r="K120" s="2" t="s">
        <v>64</v>
      </c>
      <c r="L120" s="2" t="s">
        <v>75</v>
      </c>
      <c r="M120" s="2" t="s">
        <v>95</v>
      </c>
      <c r="N120" s="2" t="s">
        <v>82</v>
      </c>
      <c r="O120" s="3">
        <v>46181</v>
      </c>
      <c r="P120" s="3"/>
      <c r="Q120" s="2" t="s">
        <v>68</v>
      </c>
      <c r="R120" s="2">
        <f t="shared" ca="1" si="15"/>
        <v>26</v>
      </c>
      <c r="S120" s="2">
        <f t="shared" si="16"/>
        <v>18</v>
      </c>
      <c r="T120" s="2">
        <f t="shared" ca="1" si="17"/>
        <v>-11</v>
      </c>
      <c r="U120" s="2" t="str">
        <f t="shared" ca="1" si="18"/>
        <v>N/A</v>
      </c>
      <c r="V120" s="2" t="str">
        <f t="shared" ca="1" si="19"/>
        <v>At Risk</v>
      </c>
    </row>
    <row r="121" spans="1:22" ht="28">
      <c r="A121" s="2" t="s">
        <v>429</v>
      </c>
      <c r="B121" s="2" t="s">
        <v>78</v>
      </c>
      <c r="C121" s="2" t="s">
        <v>430</v>
      </c>
      <c r="D121" s="4">
        <v>10626.85</v>
      </c>
      <c r="E121" s="2" t="s">
        <v>61</v>
      </c>
      <c r="F121" s="2" t="s">
        <v>50</v>
      </c>
      <c r="G121" s="2" t="s">
        <v>431</v>
      </c>
      <c r="H121" s="3">
        <v>46181</v>
      </c>
      <c r="I121" s="3">
        <v>46226</v>
      </c>
      <c r="J121" s="2" t="s">
        <v>117</v>
      </c>
      <c r="K121" s="2" t="s">
        <v>53</v>
      </c>
      <c r="L121" s="2" t="s">
        <v>54</v>
      </c>
      <c r="M121" s="2" t="s">
        <v>211</v>
      </c>
      <c r="N121" s="2" t="s">
        <v>82</v>
      </c>
      <c r="O121" s="3"/>
      <c r="P121" s="3"/>
      <c r="Q121" s="2" t="s">
        <v>57</v>
      </c>
      <c r="R121" s="2">
        <f t="shared" ca="1" si="15"/>
        <v>8</v>
      </c>
      <c r="S121" s="2" t="str">
        <f t="shared" si="16"/>
        <v/>
      </c>
      <c r="T121" s="2">
        <f t="shared" ca="1" si="17"/>
        <v>37</v>
      </c>
      <c r="U121" s="2" t="str">
        <f t="shared" ca="1" si="18"/>
        <v>Overdue</v>
      </c>
      <c r="V121" s="2" t="str">
        <f t="shared" ca="1" si="19"/>
        <v>Normal</v>
      </c>
    </row>
    <row r="122" spans="1:22" ht="28">
      <c r="A122" s="2" t="s">
        <v>432</v>
      </c>
      <c r="B122" s="2" t="s">
        <v>376</v>
      </c>
      <c r="C122" s="2" t="s">
        <v>433</v>
      </c>
      <c r="D122" s="4">
        <v>10771.75</v>
      </c>
      <c r="E122" s="2" t="s">
        <v>135</v>
      </c>
      <c r="F122" s="2" t="s">
        <v>73</v>
      </c>
      <c r="G122" s="2"/>
      <c r="H122" s="3">
        <v>46167</v>
      </c>
      <c r="I122" s="3">
        <v>46212</v>
      </c>
      <c r="J122" s="2" t="s">
        <v>210</v>
      </c>
      <c r="K122" s="2" t="s">
        <v>53</v>
      </c>
      <c r="L122" s="2" t="s">
        <v>65</v>
      </c>
      <c r="M122" s="2" t="s">
        <v>109</v>
      </c>
      <c r="N122" s="2" t="s">
        <v>82</v>
      </c>
      <c r="O122" s="3"/>
      <c r="P122" s="3"/>
      <c r="Q122" s="2" t="s">
        <v>57</v>
      </c>
      <c r="R122" s="2">
        <f t="shared" ca="1" si="15"/>
        <v>22</v>
      </c>
      <c r="S122" s="2" t="str">
        <f t="shared" si="16"/>
        <v/>
      </c>
      <c r="T122" s="2">
        <f t="shared" ca="1" si="17"/>
        <v>23</v>
      </c>
      <c r="U122" s="2" t="str">
        <f t="shared" ca="1" si="18"/>
        <v>N/A</v>
      </c>
      <c r="V122" s="2" t="str">
        <f t="shared" ca="1" si="19"/>
        <v>Normal</v>
      </c>
    </row>
    <row r="123" spans="1:22" ht="28">
      <c r="A123" s="2" t="s">
        <v>434</v>
      </c>
      <c r="B123" s="2" t="s">
        <v>204</v>
      </c>
      <c r="C123" s="2" t="s">
        <v>435</v>
      </c>
      <c r="D123" s="4">
        <v>8980.9599999999991</v>
      </c>
      <c r="E123" s="2" t="s">
        <v>49</v>
      </c>
      <c r="F123" s="2" t="s">
        <v>50</v>
      </c>
      <c r="G123" s="2" t="s">
        <v>436</v>
      </c>
      <c r="H123" s="3">
        <v>46175</v>
      </c>
      <c r="I123" s="3">
        <v>46205</v>
      </c>
      <c r="J123" s="2" t="s">
        <v>52</v>
      </c>
      <c r="K123" s="2" t="s">
        <v>53</v>
      </c>
      <c r="L123" s="2" t="s">
        <v>75</v>
      </c>
      <c r="M123" s="2" t="s">
        <v>184</v>
      </c>
      <c r="N123" s="2" t="s">
        <v>82</v>
      </c>
      <c r="O123" s="3">
        <v>46179</v>
      </c>
      <c r="P123" s="3"/>
      <c r="Q123" s="2" t="s">
        <v>57</v>
      </c>
      <c r="R123" s="2">
        <f t="shared" ca="1" si="15"/>
        <v>14</v>
      </c>
      <c r="S123" s="2">
        <f t="shared" si="16"/>
        <v>4</v>
      </c>
      <c r="T123" s="2">
        <f t="shared" ca="1" si="17"/>
        <v>16</v>
      </c>
      <c r="U123" s="2" t="str">
        <f t="shared" ca="1" si="18"/>
        <v>N/A</v>
      </c>
      <c r="V123" s="2" t="str">
        <f t="shared" ca="1" si="19"/>
        <v>Normal</v>
      </c>
    </row>
    <row r="124" spans="1:22" ht="28">
      <c r="A124" s="2" t="s">
        <v>437</v>
      </c>
      <c r="B124" s="2" t="s">
        <v>111</v>
      </c>
      <c r="C124" s="2" t="s">
        <v>438</v>
      </c>
      <c r="D124" s="4">
        <v>2077.2399999999998</v>
      </c>
      <c r="E124" s="2" t="s">
        <v>103</v>
      </c>
      <c r="F124" s="2" t="s">
        <v>50</v>
      </c>
      <c r="G124" s="2" t="s">
        <v>439</v>
      </c>
      <c r="H124" s="3">
        <v>46182</v>
      </c>
      <c r="I124" s="3">
        <v>46227</v>
      </c>
      <c r="J124" s="2" t="s">
        <v>108</v>
      </c>
      <c r="K124" s="2" t="s">
        <v>64</v>
      </c>
      <c r="L124" s="2" t="s">
        <v>54</v>
      </c>
      <c r="M124" s="2" t="s">
        <v>109</v>
      </c>
      <c r="N124" s="2" t="s">
        <v>82</v>
      </c>
      <c r="O124" s="3"/>
      <c r="P124" s="3"/>
      <c r="Q124" s="2" t="s">
        <v>57</v>
      </c>
      <c r="R124" s="2">
        <f t="shared" ca="1" si="15"/>
        <v>7</v>
      </c>
      <c r="S124" s="2" t="str">
        <f t="shared" si="16"/>
        <v/>
      </c>
      <c r="T124" s="2">
        <f t="shared" ca="1" si="17"/>
        <v>38</v>
      </c>
      <c r="U124" s="2" t="str">
        <f t="shared" ca="1" si="18"/>
        <v>N/A</v>
      </c>
      <c r="V124" s="2" t="str">
        <f t="shared" ca="1" si="19"/>
        <v>Normal</v>
      </c>
    </row>
    <row r="125" spans="1:22" ht="28">
      <c r="A125" s="2" t="s">
        <v>440</v>
      </c>
      <c r="B125" s="2" t="s">
        <v>111</v>
      </c>
      <c r="C125" s="2" t="s">
        <v>441</v>
      </c>
      <c r="D125" s="4">
        <v>20934.3</v>
      </c>
      <c r="E125" s="2" t="s">
        <v>86</v>
      </c>
      <c r="F125" s="2" t="s">
        <v>50</v>
      </c>
      <c r="G125" s="2" t="s">
        <v>442</v>
      </c>
      <c r="H125" s="3">
        <v>46187</v>
      </c>
      <c r="I125" s="3">
        <v>46232</v>
      </c>
      <c r="J125" s="2" t="s">
        <v>88</v>
      </c>
      <c r="K125" s="2" t="s">
        <v>53</v>
      </c>
      <c r="L125" s="2" t="s">
        <v>65</v>
      </c>
      <c r="M125" s="2" t="s">
        <v>66</v>
      </c>
      <c r="N125" s="2" t="s">
        <v>67</v>
      </c>
      <c r="O125" s="3"/>
      <c r="P125" s="3"/>
      <c r="Q125" s="2" t="s">
        <v>57</v>
      </c>
      <c r="R125" s="2">
        <f t="shared" ca="1" si="15"/>
        <v>2</v>
      </c>
      <c r="S125" s="2" t="str">
        <f t="shared" si="16"/>
        <v/>
      </c>
      <c r="T125" s="2">
        <f t="shared" ca="1" si="17"/>
        <v>43</v>
      </c>
      <c r="U125" s="2" t="str">
        <f t="shared" ca="1" si="18"/>
        <v>N/A</v>
      </c>
      <c r="V125" s="2" t="str">
        <f t="shared" ca="1" si="19"/>
        <v>Normal</v>
      </c>
    </row>
    <row r="126" spans="1:22" ht="28">
      <c r="A126" s="2" t="s">
        <v>443</v>
      </c>
      <c r="B126" s="2" t="s">
        <v>253</v>
      </c>
      <c r="C126" s="2" t="s">
        <v>444</v>
      </c>
      <c r="D126" s="4">
        <v>53832.78</v>
      </c>
      <c r="E126" s="2" t="s">
        <v>93</v>
      </c>
      <c r="F126" s="2" t="s">
        <v>50</v>
      </c>
      <c r="G126" s="2" t="s">
        <v>445</v>
      </c>
      <c r="H126" s="3">
        <v>46152</v>
      </c>
      <c r="I126" s="3">
        <v>46197</v>
      </c>
      <c r="J126" s="2" t="s">
        <v>104</v>
      </c>
      <c r="K126" s="2" t="s">
        <v>104</v>
      </c>
      <c r="L126" s="2" t="s">
        <v>75</v>
      </c>
      <c r="M126" s="2" t="s">
        <v>95</v>
      </c>
      <c r="N126" s="2" t="s">
        <v>82</v>
      </c>
      <c r="O126" s="3">
        <v>46176</v>
      </c>
      <c r="P126" s="3"/>
      <c r="Q126" s="2" t="s">
        <v>303</v>
      </c>
      <c r="R126" s="2">
        <f t="shared" ca="1" si="15"/>
        <v>37</v>
      </c>
      <c r="S126" s="2">
        <f t="shared" si="16"/>
        <v>24</v>
      </c>
      <c r="T126" s="2">
        <f t="shared" ca="1" si="17"/>
        <v>8</v>
      </c>
      <c r="U126" s="2" t="str">
        <f t="shared" ca="1" si="18"/>
        <v>N/A</v>
      </c>
      <c r="V126" s="2" t="str">
        <f t="shared" ca="1" si="19"/>
        <v>Normal</v>
      </c>
    </row>
    <row r="127" spans="1:22" ht="28">
      <c r="A127" s="2" t="s">
        <v>446</v>
      </c>
      <c r="B127" s="2" t="s">
        <v>189</v>
      </c>
      <c r="C127" s="2" t="s">
        <v>447</v>
      </c>
      <c r="D127" s="4">
        <v>47570.76</v>
      </c>
      <c r="E127" s="2" t="s">
        <v>61</v>
      </c>
      <c r="F127" s="2" t="s">
        <v>50</v>
      </c>
      <c r="G127" s="2" t="s">
        <v>448</v>
      </c>
      <c r="H127" s="3">
        <v>46146</v>
      </c>
      <c r="I127" s="3">
        <v>46191</v>
      </c>
      <c r="J127" s="2" t="s">
        <v>104</v>
      </c>
      <c r="K127" s="2" t="s">
        <v>104</v>
      </c>
      <c r="L127" s="2" t="s">
        <v>54</v>
      </c>
      <c r="M127" s="2" t="s">
        <v>55</v>
      </c>
      <c r="N127" s="2" t="s">
        <v>82</v>
      </c>
      <c r="O127" s="3">
        <v>46158</v>
      </c>
      <c r="P127" s="3">
        <v>46170</v>
      </c>
      <c r="Q127" s="2" t="s">
        <v>57</v>
      </c>
      <c r="R127" s="2">
        <f t="shared" ca="1" si="15"/>
        <v>43</v>
      </c>
      <c r="S127" s="2">
        <f t="shared" si="16"/>
        <v>12</v>
      </c>
      <c r="T127" s="2">
        <f t="shared" ca="1" si="17"/>
        <v>2</v>
      </c>
      <c r="U127" s="2" t="str">
        <f t="shared" ca="1" si="18"/>
        <v>N/A</v>
      </c>
      <c r="V127" s="2" t="str">
        <f t="shared" ca="1" si="19"/>
        <v>Normal</v>
      </c>
    </row>
    <row r="128" spans="1:22" ht="28">
      <c r="A128" s="2" t="s">
        <v>449</v>
      </c>
      <c r="B128" s="2" t="s">
        <v>208</v>
      </c>
      <c r="C128" s="2" t="s">
        <v>450</v>
      </c>
      <c r="D128" s="4">
        <v>17865.54</v>
      </c>
      <c r="E128" s="2" t="s">
        <v>162</v>
      </c>
      <c r="F128" s="2" t="s">
        <v>73</v>
      </c>
      <c r="G128" s="2"/>
      <c r="H128" s="3">
        <v>46187</v>
      </c>
      <c r="I128" s="3">
        <v>46217</v>
      </c>
      <c r="J128" s="2" t="s">
        <v>164</v>
      </c>
      <c r="K128" s="2" t="s">
        <v>53</v>
      </c>
      <c r="L128" s="2" t="s">
        <v>65</v>
      </c>
      <c r="M128" s="2" t="s">
        <v>109</v>
      </c>
      <c r="N128" s="2" t="s">
        <v>82</v>
      </c>
      <c r="O128" s="3"/>
      <c r="P128" s="3"/>
      <c r="Q128" s="2" t="s">
        <v>57</v>
      </c>
      <c r="R128" s="2">
        <f t="shared" ca="1" si="15"/>
        <v>2</v>
      </c>
      <c r="S128" s="2" t="str">
        <f t="shared" si="16"/>
        <v/>
      </c>
      <c r="T128" s="2">
        <f t="shared" ca="1" si="17"/>
        <v>28</v>
      </c>
      <c r="U128" s="2" t="str">
        <f t="shared" ca="1" si="18"/>
        <v>N/A</v>
      </c>
      <c r="V128" s="2" t="str">
        <f t="shared" ca="1" si="19"/>
        <v>Normal</v>
      </c>
    </row>
    <row r="129" spans="1:22" ht="28">
      <c r="A129" s="2" t="s">
        <v>451</v>
      </c>
      <c r="B129" s="2" t="s">
        <v>59</v>
      </c>
      <c r="C129" s="2" t="s">
        <v>452</v>
      </c>
      <c r="D129" s="4">
        <v>4591.71</v>
      </c>
      <c r="E129" s="2" t="s">
        <v>135</v>
      </c>
      <c r="F129" s="2" t="s">
        <v>73</v>
      </c>
      <c r="G129" s="2"/>
      <c r="H129" s="3">
        <v>46160</v>
      </c>
      <c r="I129" s="3">
        <v>46190</v>
      </c>
      <c r="J129" s="2" t="s">
        <v>137</v>
      </c>
      <c r="K129" s="2" t="s">
        <v>64</v>
      </c>
      <c r="L129" s="2" t="s">
        <v>75</v>
      </c>
      <c r="M129" s="2" t="s">
        <v>89</v>
      </c>
      <c r="N129" s="2" t="s">
        <v>67</v>
      </c>
      <c r="O129" s="3"/>
      <c r="P129" s="3"/>
      <c r="Q129" s="2" t="s">
        <v>68</v>
      </c>
      <c r="R129" s="2">
        <f t="shared" ca="1" si="15"/>
        <v>29</v>
      </c>
      <c r="S129" s="2" t="str">
        <f t="shared" si="16"/>
        <v/>
      </c>
      <c r="T129" s="2">
        <f t="shared" ca="1" si="17"/>
        <v>1</v>
      </c>
      <c r="U129" s="2" t="str">
        <f t="shared" ca="1" si="18"/>
        <v>N/A</v>
      </c>
      <c r="V129" s="2" t="str">
        <f t="shared" ca="1" si="19"/>
        <v>At Risk</v>
      </c>
    </row>
    <row r="130" spans="1:22" ht="28">
      <c r="A130" s="2" t="s">
        <v>453</v>
      </c>
      <c r="B130" s="2" t="s">
        <v>376</v>
      </c>
      <c r="C130" s="2" t="s">
        <v>454</v>
      </c>
      <c r="D130" s="4">
        <v>2477.7199999999998</v>
      </c>
      <c r="E130" s="2" t="s">
        <v>135</v>
      </c>
      <c r="F130" s="2" t="s">
        <v>50</v>
      </c>
      <c r="G130" s="2" t="s">
        <v>455</v>
      </c>
      <c r="H130" s="3">
        <v>46155</v>
      </c>
      <c r="I130" s="3">
        <v>46200</v>
      </c>
      <c r="J130" s="2" t="s">
        <v>137</v>
      </c>
      <c r="K130" s="2" t="s">
        <v>64</v>
      </c>
      <c r="L130" s="2" t="s">
        <v>54</v>
      </c>
      <c r="M130" s="2" t="s">
        <v>95</v>
      </c>
      <c r="N130" s="2" t="s">
        <v>82</v>
      </c>
      <c r="O130" s="3">
        <v>46165</v>
      </c>
      <c r="P130" s="3"/>
      <c r="Q130" s="2" t="s">
        <v>57</v>
      </c>
      <c r="R130" s="2">
        <f t="shared" ca="1" si="15"/>
        <v>34</v>
      </c>
      <c r="S130" s="2">
        <f t="shared" si="16"/>
        <v>10</v>
      </c>
      <c r="T130" s="2">
        <f t="shared" ca="1" si="17"/>
        <v>11</v>
      </c>
      <c r="U130" s="2" t="str">
        <f t="shared" ca="1" si="18"/>
        <v>N/A</v>
      </c>
      <c r="V130" s="2" t="str">
        <f t="shared" ca="1" si="19"/>
        <v>Normal</v>
      </c>
    </row>
    <row r="131" spans="1:22" ht="28">
      <c r="A131" s="2" t="s">
        <v>456</v>
      </c>
      <c r="B131" s="2" t="s">
        <v>204</v>
      </c>
      <c r="C131" s="2" t="s">
        <v>457</v>
      </c>
      <c r="D131" s="4">
        <v>715.92</v>
      </c>
      <c r="E131" s="2" t="s">
        <v>86</v>
      </c>
      <c r="F131" s="2" t="s">
        <v>50</v>
      </c>
      <c r="G131" s="2" t="s">
        <v>458</v>
      </c>
      <c r="H131" s="3">
        <v>46164</v>
      </c>
      <c r="I131" s="3">
        <v>46209</v>
      </c>
      <c r="J131" s="2" t="s">
        <v>251</v>
      </c>
      <c r="K131" s="2" t="s">
        <v>64</v>
      </c>
      <c r="L131" s="2" t="s">
        <v>65</v>
      </c>
      <c r="M131" s="2" t="s">
        <v>95</v>
      </c>
      <c r="N131" s="2" t="s">
        <v>82</v>
      </c>
      <c r="O131" s="3">
        <v>46170</v>
      </c>
      <c r="P131" s="3"/>
      <c r="Q131" s="2" t="s">
        <v>57</v>
      </c>
      <c r="R131" s="2">
        <f t="shared" ca="1" si="15"/>
        <v>25</v>
      </c>
      <c r="S131" s="2">
        <f t="shared" si="16"/>
        <v>6</v>
      </c>
      <c r="T131" s="2">
        <f t="shared" ca="1" si="17"/>
        <v>20</v>
      </c>
      <c r="U131" s="2" t="str">
        <f t="shared" ca="1" si="18"/>
        <v>N/A</v>
      </c>
      <c r="V131" s="2" t="str">
        <f t="shared" ca="1" si="19"/>
        <v>Normal</v>
      </c>
    </row>
    <row r="132" spans="1:22" ht="28">
      <c r="A132" s="2" t="s">
        <v>459</v>
      </c>
      <c r="B132" s="2" t="s">
        <v>106</v>
      </c>
      <c r="C132" s="2" t="s">
        <v>460</v>
      </c>
      <c r="D132" s="4">
        <v>3253.43</v>
      </c>
      <c r="E132" s="2" t="s">
        <v>157</v>
      </c>
      <c r="F132" s="2" t="s">
        <v>73</v>
      </c>
      <c r="G132" s="2"/>
      <c r="H132" s="3">
        <v>46148</v>
      </c>
      <c r="I132" s="3">
        <v>46193</v>
      </c>
      <c r="J132" s="2" t="s">
        <v>159</v>
      </c>
      <c r="K132" s="2" t="s">
        <v>64</v>
      </c>
      <c r="L132" s="2" t="s">
        <v>75</v>
      </c>
      <c r="M132" s="2" t="s">
        <v>184</v>
      </c>
      <c r="N132" s="2" t="s">
        <v>82</v>
      </c>
      <c r="O132" s="3">
        <v>46151</v>
      </c>
      <c r="P132" s="3"/>
      <c r="Q132" s="2" t="s">
        <v>68</v>
      </c>
      <c r="R132" s="2">
        <f t="shared" ref="R132:R163" ca="1" si="20">TODAY()-H132</f>
        <v>41</v>
      </c>
      <c r="S132" s="2">
        <f t="shared" ref="S132:S163" si="21">IF(O132="","",O132-H132)</f>
        <v>3</v>
      </c>
      <c r="T132" s="2">
        <f t="shared" ref="T132:T163" ca="1" si="22">I132-TODAY()</f>
        <v>4</v>
      </c>
      <c r="U132" s="2" t="str">
        <f t="shared" ref="U132:U163" ca="1" si="23">IF(AND(M132="Pending Approval",R132&gt;5),"Overdue",IF(M132="Pending Approval","On Track","N/A"))</f>
        <v>N/A</v>
      </c>
      <c r="V132" s="2" t="str">
        <f t="shared" ref="V132:V163" ca="1" si="24">IF(AND(M132&lt;&gt;"Paid",M132&lt;&gt;"Rejected",T132&lt;=7),"At Risk","Normal")</f>
        <v>At Risk</v>
      </c>
    </row>
    <row r="133" spans="1:22" ht="28">
      <c r="A133" s="2" t="s">
        <v>461</v>
      </c>
      <c r="B133" s="2" t="s">
        <v>201</v>
      </c>
      <c r="C133" s="2" t="s">
        <v>462</v>
      </c>
      <c r="D133" s="4">
        <v>404.44</v>
      </c>
      <c r="E133" s="2" t="s">
        <v>271</v>
      </c>
      <c r="F133" s="2" t="s">
        <v>73</v>
      </c>
      <c r="G133" s="2"/>
      <c r="H133" s="3">
        <v>46161</v>
      </c>
      <c r="I133" s="3">
        <v>46176</v>
      </c>
      <c r="J133" s="2" t="s">
        <v>273</v>
      </c>
      <c r="K133" s="2" t="s">
        <v>64</v>
      </c>
      <c r="L133" s="2" t="s">
        <v>54</v>
      </c>
      <c r="M133" s="2" t="s">
        <v>89</v>
      </c>
      <c r="N133" s="2" t="s">
        <v>67</v>
      </c>
      <c r="O133" s="3"/>
      <c r="P133" s="3"/>
      <c r="Q133" s="2" t="s">
        <v>68</v>
      </c>
      <c r="R133" s="2">
        <f t="shared" ca="1" si="20"/>
        <v>28</v>
      </c>
      <c r="S133" s="2" t="str">
        <f t="shared" si="21"/>
        <v/>
      </c>
      <c r="T133" s="2">
        <f t="shared" ca="1" si="22"/>
        <v>-13</v>
      </c>
      <c r="U133" s="2" t="str">
        <f t="shared" ca="1" si="23"/>
        <v>N/A</v>
      </c>
      <c r="V133" s="2" t="str">
        <f t="shared" ca="1" si="24"/>
        <v>At Risk</v>
      </c>
    </row>
    <row r="134" spans="1:22" ht="28">
      <c r="A134" s="2" t="s">
        <v>463</v>
      </c>
      <c r="B134" s="2" t="s">
        <v>133</v>
      </c>
      <c r="C134" s="2" t="s">
        <v>464</v>
      </c>
      <c r="D134" s="4">
        <v>4010.98</v>
      </c>
      <c r="E134" s="2" t="s">
        <v>290</v>
      </c>
      <c r="F134" s="2" t="s">
        <v>50</v>
      </c>
      <c r="G134" s="2" t="s">
        <v>465</v>
      </c>
      <c r="H134" s="3">
        <v>46164</v>
      </c>
      <c r="I134" s="3">
        <v>46179</v>
      </c>
      <c r="J134" s="2" t="s">
        <v>291</v>
      </c>
      <c r="K134" s="2" t="s">
        <v>64</v>
      </c>
      <c r="L134" s="2" t="s">
        <v>65</v>
      </c>
      <c r="M134" s="2" t="s">
        <v>95</v>
      </c>
      <c r="N134" s="2" t="s">
        <v>82</v>
      </c>
      <c r="O134" s="3">
        <v>46188</v>
      </c>
      <c r="P134" s="3"/>
      <c r="Q134" s="2" t="s">
        <v>68</v>
      </c>
      <c r="R134" s="2">
        <f t="shared" ca="1" si="20"/>
        <v>25</v>
      </c>
      <c r="S134" s="2">
        <f t="shared" si="21"/>
        <v>24</v>
      </c>
      <c r="T134" s="2">
        <f t="shared" ca="1" si="22"/>
        <v>-10</v>
      </c>
      <c r="U134" s="2" t="str">
        <f t="shared" ca="1" si="23"/>
        <v>N/A</v>
      </c>
      <c r="V134" s="2" t="str">
        <f t="shared" ca="1" si="24"/>
        <v>At Risk</v>
      </c>
    </row>
    <row r="135" spans="1:22" ht="28">
      <c r="A135" s="2" t="s">
        <v>466</v>
      </c>
      <c r="B135" s="2" t="s">
        <v>166</v>
      </c>
      <c r="C135" s="2" t="s">
        <v>467</v>
      </c>
      <c r="D135" s="4">
        <v>34652.22</v>
      </c>
      <c r="E135" s="2" t="s">
        <v>162</v>
      </c>
      <c r="F135" s="2" t="s">
        <v>73</v>
      </c>
      <c r="G135" s="2"/>
      <c r="H135" s="3">
        <v>46175</v>
      </c>
      <c r="I135" s="3">
        <v>46205</v>
      </c>
      <c r="J135" s="2" t="s">
        <v>104</v>
      </c>
      <c r="K135" s="2" t="s">
        <v>104</v>
      </c>
      <c r="L135" s="2" t="s">
        <v>75</v>
      </c>
      <c r="M135" s="2" t="s">
        <v>66</v>
      </c>
      <c r="N135" s="2" t="s">
        <v>76</v>
      </c>
      <c r="O135" s="3"/>
      <c r="P135" s="3"/>
      <c r="Q135" s="2" t="s">
        <v>303</v>
      </c>
      <c r="R135" s="2">
        <f t="shared" ca="1" si="20"/>
        <v>14</v>
      </c>
      <c r="S135" s="2" t="str">
        <f t="shared" si="21"/>
        <v/>
      </c>
      <c r="T135" s="2">
        <f t="shared" ca="1" si="22"/>
        <v>16</v>
      </c>
      <c r="U135" s="2" t="str">
        <f t="shared" ca="1" si="23"/>
        <v>N/A</v>
      </c>
      <c r="V135" s="2" t="str">
        <f t="shared" ca="1" si="24"/>
        <v>Normal</v>
      </c>
    </row>
    <row r="136" spans="1:22" ht="28">
      <c r="A136" s="2" t="s">
        <v>468</v>
      </c>
      <c r="B136" s="2" t="s">
        <v>111</v>
      </c>
      <c r="C136" s="2" t="s">
        <v>469</v>
      </c>
      <c r="D136" s="4">
        <v>19456.93</v>
      </c>
      <c r="E136" s="2" t="s">
        <v>162</v>
      </c>
      <c r="F136" s="2" t="s">
        <v>73</v>
      </c>
      <c r="G136" s="2"/>
      <c r="H136" s="3">
        <v>46143</v>
      </c>
      <c r="I136" s="3">
        <v>46173</v>
      </c>
      <c r="J136" s="2" t="s">
        <v>164</v>
      </c>
      <c r="K136" s="2" t="s">
        <v>53</v>
      </c>
      <c r="L136" s="2" t="s">
        <v>54</v>
      </c>
      <c r="M136" s="2" t="s">
        <v>55</v>
      </c>
      <c r="N136" s="2" t="s">
        <v>82</v>
      </c>
      <c r="O136" s="3">
        <v>46148</v>
      </c>
      <c r="P136" s="3">
        <v>46157</v>
      </c>
      <c r="Q136" s="2" t="s">
        <v>57</v>
      </c>
      <c r="R136" s="2">
        <f t="shared" ca="1" si="20"/>
        <v>46</v>
      </c>
      <c r="S136" s="2">
        <f t="shared" si="21"/>
        <v>5</v>
      </c>
      <c r="T136" s="2">
        <f t="shared" ca="1" si="22"/>
        <v>-16</v>
      </c>
      <c r="U136" s="2" t="str">
        <f t="shared" ca="1" si="23"/>
        <v>N/A</v>
      </c>
      <c r="V136" s="2" t="str">
        <f t="shared" ca="1" si="24"/>
        <v>Normal</v>
      </c>
    </row>
    <row r="137" spans="1:22" ht="28">
      <c r="A137" s="2" t="s">
        <v>470</v>
      </c>
      <c r="B137" s="2" t="s">
        <v>106</v>
      </c>
      <c r="C137" s="2" t="s">
        <v>471</v>
      </c>
      <c r="D137" s="4">
        <v>4510.01</v>
      </c>
      <c r="E137" s="2" t="s">
        <v>157</v>
      </c>
      <c r="F137" s="2" t="s">
        <v>73</v>
      </c>
      <c r="G137" s="2"/>
      <c r="H137" s="3">
        <v>46161</v>
      </c>
      <c r="I137" s="3">
        <v>46191</v>
      </c>
      <c r="J137" s="2" t="s">
        <v>159</v>
      </c>
      <c r="K137" s="2" t="s">
        <v>64</v>
      </c>
      <c r="L137" s="2" t="s">
        <v>65</v>
      </c>
      <c r="M137" s="2" t="s">
        <v>95</v>
      </c>
      <c r="N137" s="2" t="s">
        <v>82</v>
      </c>
      <c r="O137" s="3">
        <v>46167</v>
      </c>
      <c r="P137" s="3"/>
      <c r="Q137" s="2" t="s">
        <v>68</v>
      </c>
      <c r="R137" s="2">
        <f t="shared" ca="1" si="20"/>
        <v>28</v>
      </c>
      <c r="S137" s="2">
        <f t="shared" si="21"/>
        <v>6</v>
      </c>
      <c r="T137" s="2">
        <f t="shared" ca="1" si="22"/>
        <v>2</v>
      </c>
      <c r="U137" s="2" t="str">
        <f t="shared" ca="1" si="23"/>
        <v>N/A</v>
      </c>
      <c r="V137" s="2" t="str">
        <f t="shared" ca="1" si="24"/>
        <v>At Risk</v>
      </c>
    </row>
    <row r="138" spans="1:22" ht="28">
      <c r="A138" s="2" t="s">
        <v>472</v>
      </c>
      <c r="B138" s="2" t="s">
        <v>166</v>
      </c>
      <c r="C138" s="2" t="s">
        <v>473</v>
      </c>
      <c r="D138" s="4">
        <v>18606.16</v>
      </c>
      <c r="E138" s="2" t="s">
        <v>93</v>
      </c>
      <c r="F138" s="2" t="s">
        <v>50</v>
      </c>
      <c r="G138" s="2" t="s">
        <v>474</v>
      </c>
      <c r="H138" s="3">
        <v>46181</v>
      </c>
      <c r="I138" s="3">
        <v>46196</v>
      </c>
      <c r="J138" s="2" t="s">
        <v>193</v>
      </c>
      <c r="K138" s="2" t="s">
        <v>53</v>
      </c>
      <c r="L138" s="2" t="s">
        <v>75</v>
      </c>
      <c r="M138" s="2" t="s">
        <v>89</v>
      </c>
      <c r="N138" s="2" t="s">
        <v>82</v>
      </c>
      <c r="O138" s="3"/>
      <c r="P138" s="3"/>
      <c r="Q138" s="2" t="s">
        <v>68</v>
      </c>
      <c r="R138" s="2">
        <f t="shared" ca="1" si="20"/>
        <v>8</v>
      </c>
      <c r="S138" s="2" t="str">
        <f t="shared" si="21"/>
        <v/>
      </c>
      <c r="T138" s="2">
        <f t="shared" ca="1" si="22"/>
        <v>7</v>
      </c>
      <c r="U138" s="2" t="str">
        <f t="shared" ca="1" si="23"/>
        <v>N/A</v>
      </c>
      <c r="V138" s="2" t="str">
        <f t="shared" ca="1" si="24"/>
        <v>At Risk</v>
      </c>
    </row>
    <row r="139" spans="1:22" ht="28">
      <c r="A139" s="2" t="s">
        <v>475</v>
      </c>
      <c r="B139" s="2" t="s">
        <v>119</v>
      </c>
      <c r="C139" s="2" t="s">
        <v>476</v>
      </c>
      <c r="D139" s="4">
        <v>2669.59</v>
      </c>
      <c r="E139" s="2" t="s">
        <v>72</v>
      </c>
      <c r="F139" s="2" t="s">
        <v>73</v>
      </c>
      <c r="G139" s="2"/>
      <c r="H139" s="3">
        <v>46150</v>
      </c>
      <c r="I139" s="3">
        <v>46195</v>
      </c>
      <c r="J139" s="2" t="s">
        <v>74</v>
      </c>
      <c r="K139" s="2" t="s">
        <v>64</v>
      </c>
      <c r="L139" s="2" t="s">
        <v>54</v>
      </c>
      <c r="M139" s="2" t="s">
        <v>89</v>
      </c>
      <c r="N139" s="2" t="s">
        <v>67</v>
      </c>
      <c r="O139" s="3"/>
      <c r="P139" s="3"/>
      <c r="Q139" s="2" t="s">
        <v>68</v>
      </c>
      <c r="R139" s="2">
        <f t="shared" ca="1" si="20"/>
        <v>39</v>
      </c>
      <c r="S139" s="2" t="str">
        <f t="shared" si="21"/>
        <v/>
      </c>
      <c r="T139" s="2">
        <f t="shared" ca="1" si="22"/>
        <v>6</v>
      </c>
      <c r="U139" s="2" t="str">
        <f t="shared" ca="1" si="23"/>
        <v>N/A</v>
      </c>
      <c r="V139" s="2" t="str">
        <f t="shared" ca="1" si="24"/>
        <v>At Risk</v>
      </c>
    </row>
    <row r="140" spans="1:22" ht="28">
      <c r="A140" s="2" t="s">
        <v>477</v>
      </c>
      <c r="B140" s="2" t="s">
        <v>141</v>
      </c>
      <c r="C140" s="2" t="s">
        <v>478</v>
      </c>
      <c r="D140" s="4">
        <v>12918.58</v>
      </c>
      <c r="E140" s="2" t="s">
        <v>61</v>
      </c>
      <c r="F140" s="2" t="s">
        <v>50</v>
      </c>
      <c r="G140" s="2" t="s">
        <v>479</v>
      </c>
      <c r="H140" s="3">
        <v>46143</v>
      </c>
      <c r="I140" s="3">
        <v>46188</v>
      </c>
      <c r="J140" s="2" t="s">
        <v>117</v>
      </c>
      <c r="K140" s="2" t="s">
        <v>53</v>
      </c>
      <c r="L140" s="2" t="s">
        <v>65</v>
      </c>
      <c r="M140" s="2" t="s">
        <v>55</v>
      </c>
      <c r="N140" s="2" t="s">
        <v>82</v>
      </c>
      <c r="O140" s="3">
        <v>46158</v>
      </c>
      <c r="P140" s="3">
        <v>46165</v>
      </c>
      <c r="Q140" s="2" t="s">
        <v>57</v>
      </c>
      <c r="R140" s="2">
        <f t="shared" ca="1" si="20"/>
        <v>46</v>
      </c>
      <c r="S140" s="2">
        <f t="shared" si="21"/>
        <v>15</v>
      </c>
      <c r="T140" s="2">
        <f t="shared" ca="1" si="22"/>
        <v>-1</v>
      </c>
      <c r="U140" s="2" t="str">
        <f t="shared" ca="1" si="23"/>
        <v>N/A</v>
      </c>
      <c r="V140" s="2" t="str">
        <f t="shared" ca="1" si="24"/>
        <v>Normal</v>
      </c>
    </row>
    <row r="141" spans="1:22" ht="28">
      <c r="A141" s="2" t="s">
        <v>480</v>
      </c>
      <c r="B141" s="2" t="s">
        <v>141</v>
      </c>
      <c r="C141" s="2" t="s">
        <v>481</v>
      </c>
      <c r="D141" s="4">
        <v>2256.3000000000002</v>
      </c>
      <c r="E141" s="2" t="s">
        <v>49</v>
      </c>
      <c r="F141" s="2" t="s">
        <v>73</v>
      </c>
      <c r="G141" s="2"/>
      <c r="H141" s="3">
        <v>46184</v>
      </c>
      <c r="I141" s="3">
        <v>46214</v>
      </c>
      <c r="J141" s="2" t="s">
        <v>80</v>
      </c>
      <c r="K141" s="2" t="s">
        <v>64</v>
      </c>
      <c r="L141" s="2" t="s">
        <v>75</v>
      </c>
      <c r="M141" s="2" t="s">
        <v>89</v>
      </c>
      <c r="N141" s="2" t="s">
        <v>82</v>
      </c>
      <c r="O141" s="3"/>
      <c r="P141" s="3"/>
      <c r="Q141" s="2" t="s">
        <v>57</v>
      </c>
      <c r="R141" s="2">
        <f t="shared" ca="1" si="20"/>
        <v>5</v>
      </c>
      <c r="S141" s="2" t="str">
        <f t="shared" si="21"/>
        <v/>
      </c>
      <c r="T141" s="2">
        <f t="shared" ca="1" si="22"/>
        <v>25</v>
      </c>
      <c r="U141" s="2" t="str">
        <f t="shared" ca="1" si="23"/>
        <v>N/A</v>
      </c>
      <c r="V141" s="2" t="str">
        <f t="shared" ca="1" si="24"/>
        <v>Normal</v>
      </c>
    </row>
    <row r="142" spans="1:22" ht="28">
      <c r="A142" s="2" t="s">
        <v>482</v>
      </c>
      <c r="B142" s="2" t="s">
        <v>145</v>
      </c>
      <c r="C142" s="2" t="s">
        <v>483</v>
      </c>
      <c r="D142" s="4">
        <v>2748.25</v>
      </c>
      <c r="E142" s="2" t="s">
        <v>290</v>
      </c>
      <c r="F142" s="2" t="s">
        <v>73</v>
      </c>
      <c r="G142" s="2"/>
      <c r="H142" s="3">
        <v>46176</v>
      </c>
      <c r="I142" s="3">
        <v>46191</v>
      </c>
      <c r="J142" s="2" t="s">
        <v>291</v>
      </c>
      <c r="K142" s="2" t="s">
        <v>64</v>
      </c>
      <c r="L142" s="2" t="s">
        <v>54</v>
      </c>
      <c r="M142" s="2" t="s">
        <v>184</v>
      </c>
      <c r="N142" s="2" t="s">
        <v>82</v>
      </c>
      <c r="O142" s="3">
        <v>46178</v>
      </c>
      <c r="P142" s="3"/>
      <c r="Q142" s="2" t="s">
        <v>68</v>
      </c>
      <c r="R142" s="2">
        <f t="shared" ca="1" si="20"/>
        <v>13</v>
      </c>
      <c r="S142" s="2">
        <f t="shared" si="21"/>
        <v>2</v>
      </c>
      <c r="T142" s="2">
        <f t="shared" ca="1" si="22"/>
        <v>2</v>
      </c>
      <c r="U142" s="2" t="str">
        <f t="shared" ca="1" si="23"/>
        <v>N/A</v>
      </c>
      <c r="V142" s="2" t="str">
        <f t="shared" ca="1" si="24"/>
        <v>At Risk</v>
      </c>
    </row>
    <row r="143" spans="1:22" ht="28">
      <c r="A143" s="2" t="s">
        <v>484</v>
      </c>
      <c r="B143" s="2" t="s">
        <v>133</v>
      </c>
      <c r="C143" s="2" t="s">
        <v>485</v>
      </c>
      <c r="D143" s="4">
        <v>1531.77</v>
      </c>
      <c r="E143" s="2" t="s">
        <v>290</v>
      </c>
      <c r="F143" s="2" t="s">
        <v>73</v>
      </c>
      <c r="G143" s="2"/>
      <c r="H143" s="3">
        <v>46150</v>
      </c>
      <c r="I143" s="3">
        <v>46165</v>
      </c>
      <c r="J143" s="2" t="s">
        <v>291</v>
      </c>
      <c r="K143" s="2" t="s">
        <v>64</v>
      </c>
      <c r="L143" s="2" t="s">
        <v>65</v>
      </c>
      <c r="M143" s="2" t="s">
        <v>211</v>
      </c>
      <c r="N143" s="2" t="s">
        <v>82</v>
      </c>
      <c r="O143" s="3"/>
      <c r="P143" s="3"/>
      <c r="Q143" s="2" t="s">
        <v>68</v>
      </c>
      <c r="R143" s="2">
        <f t="shared" ca="1" si="20"/>
        <v>39</v>
      </c>
      <c r="S143" s="2" t="str">
        <f t="shared" si="21"/>
        <v/>
      </c>
      <c r="T143" s="2">
        <f t="shared" ca="1" si="22"/>
        <v>-24</v>
      </c>
      <c r="U143" s="2" t="str">
        <f t="shared" ca="1" si="23"/>
        <v>Overdue</v>
      </c>
      <c r="V143" s="2" t="str">
        <f t="shared" ca="1" si="24"/>
        <v>At Risk</v>
      </c>
    </row>
    <row r="144" spans="1:22" ht="28">
      <c r="A144" s="2" t="s">
        <v>486</v>
      </c>
      <c r="B144" s="2" t="s">
        <v>91</v>
      </c>
      <c r="C144" s="2" t="s">
        <v>487</v>
      </c>
      <c r="D144" s="4">
        <v>455.7</v>
      </c>
      <c r="E144" s="2" t="s">
        <v>49</v>
      </c>
      <c r="F144" s="2" t="s">
        <v>50</v>
      </c>
      <c r="G144" s="2" t="s">
        <v>488</v>
      </c>
      <c r="H144" s="3">
        <v>46171</v>
      </c>
      <c r="I144" s="3">
        <v>46186</v>
      </c>
      <c r="J144" s="2" t="s">
        <v>80</v>
      </c>
      <c r="K144" s="2" t="s">
        <v>64</v>
      </c>
      <c r="L144" s="2" t="s">
        <v>75</v>
      </c>
      <c r="M144" s="2" t="s">
        <v>211</v>
      </c>
      <c r="N144" s="2" t="s">
        <v>82</v>
      </c>
      <c r="O144" s="3"/>
      <c r="P144" s="3"/>
      <c r="Q144" s="2" t="s">
        <v>68</v>
      </c>
      <c r="R144" s="2">
        <f t="shared" ca="1" si="20"/>
        <v>18</v>
      </c>
      <c r="S144" s="2" t="str">
        <f t="shared" si="21"/>
        <v/>
      </c>
      <c r="T144" s="2">
        <f t="shared" ca="1" si="22"/>
        <v>-3</v>
      </c>
      <c r="U144" s="2" t="str">
        <f t="shared" ca="1" si="23"/>
        <v>Overdue</v>
      </c>
      <c r="V144" s="2" t="str">
        <f t="shared" ca="1" si="24"/>
        <v>At Risk</v>
      </c>
    </row>
    <row r="145" spans="1:22" ht="28">
      <c r="A145" s="2" t="s">
        <v>489</v>
      </c>
      <c r="B145" s="2" t="s">
        <v>78</v>
      </c>
      <c r="C145" s="2" t="s">
        <v>490</v>
      </c>
      <c r="D145" s="4">
        <v>22524.29</v>
      </c>
      <c r="E145" s="2" t="s">
        <v>99</v>
      </c>
      <c r="F145" s="2" t="s">
        <v>73</v>
      </c>
      <c r="G145" s="2"/>
      <c r="H145" s="3">
        <v>46185</v>
      </c>
      <c r="I145" s="3">
        <v>46230</v>
      </c>
      <c r="J145" s="2" t="s">
        <v>187</v>
      </c>
      <c r="K145" s="2" t="s">
        <v>53</v>
      </c>
      <c r="L145" s="2" t="s">
        <v>54</v>
      </c>
      <c r="M145" s="2" t="s">
        <v>66</v>
      </c>
      <c r="N145" s="2" t="s">
        <v>56</v>
      </c>
      <c r="O145" s="3"/>
      <c r="P145" s="3"/>
      <c r="Q145" s="2" t="s">
        <v>57</v>
      </c>
      <c r="R145" s="2">
        <f t="shared" ca="1" si="20"/>
        <v>4</v>
      </c>
      <c r="S145" s="2" t="str">
        <f t="shared" si="21"/>
        <v/>
      </c>
      <c r="T145" s="2">
        <f t="shared" ca="1" si="22"/>
        <v>41</v>
      </c>
      <c r="U145" s="2" t="str">
        <f t="shared" ca="1" si="23"/>
        <v>N/A</v>
      </c>
      <c r="V145" s="2" t="str">
        <f t="shared" ca="1" si="24"/>
        <v>Normal</v>
      </c>
    </row>
    <row r="146" spans="1:22" ht="28">
      <c r="A146" s="2" t="s">
        <v>491</v>
      </c>
      <c r="B146" s="2" t="s">
        <v>253</v>
      </c>
      <c r="C146" s="2" t="s">
        <v>492</v>
      </c>
      <c r="D146" s="4">
        <v>20715.310000000001</v>
      </c>
      <c r="E146" s="2" t="s">
        <v>86</v>
      </c>
      <c r="F146" s="2" t="s">
        <v>73</v>
      </c>
      <c r="G146" s="2"/>
      <c r="H146" s="3">
        <v>46163</v>
      </c>
      <c r="I146" s="3">
        <v>46208</v>
      </c>
      <c r="J146" s="2" t="s">
        <v>88</v>
      </c>
      <c r="K146" s="2" t="s">
        <v>53</v>
      </c>
      <c r="L146" s="2" t="s">
        <v>65</v>
      </c>
      <c r="M146" s="2" t="s">
        <v>95</v>
      </c>
      <c r="N146" s="2" t="s">
        <v>82</v>
      </c>
      <c r="O146" s="3">
        <v>46182</v>
      </c>
      <c r="P146" s="3"/>
      <c r="Q146" s="2" t="s">
        <v>57</v>
      </c>
      <c r="R146" s="2">
        <f t="shared" ca="1" si="20"/>
        <v>26</v>
      </c>
      <c r="S146" s="2">
        <f t="shared" si="21"/>
        <v>19</v>
      </c>
      <c r="T146" s="2">
        <f t="shared" ca="1" si="22"/>
        <v>19</v>
      </c>
      <c r="U146" s="2" t="str">
        <f t="shared" ca="1" si="23"/>
        <v>N/A</v>
      </c>
      <c r="V146" s="2" t="str">
        <f t="shared" ca="1" si="24"/>
        <v>Normal</v>
      </c>
    </row>
    <row r="147" spans="1:22" ht="28">
      <c r="A147" s="2" t="s">
        <v>493</v>
      </c>
      <c r="B147" s="2" t="s">
        <v>59</v>
      </c>
      <c r="C147" s="2" t="s">
        <v>494</v>
      </c>
      <c r="D147" s="4">
        <v>2186.7600000000002</v>
      </c>
      <c r="E147" s="2" t="s">
        <v>99</v>
      </c>
      <c r="F147" s="2" t="s">
        <v>50</v>
      </c>
      <c r="G147" s="2" t="s">
        <v>495</v>
      </c>
      <c r="H147" s="3">
        <v>46176</v>
      </c>
      <c r="I147" s="3">
        <v>46191</v>
      </c>
      <c r="J147" s="2" t="s">
        <v>100</v>
      </c>
      <c r="K147" s="2" t="s">
        <v>64</v>
      </c>
      <c r="L147" s="2" t="s">
        <v>75</v>
      </c>
      <c r="M147" s="2" t="s">
        <v>184</v>
      </c>
      <c r="N147" s="2" t="s">
        <v>82</v>
      </c>
      <c r="O147" s="3">
        <v>46183</v>
      </c>
      <c r="P147" s="3"/>
      <c r="Q147" s="2" t="s">
        <v>68</v>
      </c>
      <c r="R147" s="2">
        <f t="shared" ca="1" si="20"/>
        <v>13</v>
      </c>
      <c r="S147" s="2">
        <f t="shared" si="21"/>
        <v>7</v>
      </c>
      <c r="T147" s="2">
        <f t="shared" ca="1" si="22"/>
        <v>2</v>
      </c>
      <c r="U147" s="2" t="str">
        <f t="shared" ca="1" si="23"/>
        <v>N/A</v>
      </c>
      <c r="V147" s="2" t="str">
        <f t="shared" ca="1" si="24"/>
        <v>At Risk</v>
      </c>
    </row>
    <row r="148" spans="1:22" ht="28">
      <c r="A148" s="2" t="s">
        <v>496</v>
      </c>
      <c r="B148" s="2" t="s">
        <v>133</v>
      </c>
      <c r="C148" s="2" t="s">
        <v>497</v>
      </c>
      <c r="D148" s="4">
        <v>6455.61</v>
      </c>
      <c r="E148" s="2" t="s">
        <v>162</v>
      </c>
      <c r="F148" s="2" t="s">
        <v>50</v>
      </c>
      <c r="G148" s="2" t="s">
        <v>498</v>
      </c>
      <c r="H148" s="3">
        <v>46180</v>
      </c>
      <c r="I148" s="3">
        <v>46225</v>
      </c>
      <c r="J148" s="2" t="s">
        <v>164</v>
      </c>
      <c r="K148" s="2" t="s">
        <v>53</v>
      </c>
      <c r="L148" s="2" t="s">
        <v>54</v>
      </c>
      <c r="M148" s="2" t="s">
        <v>211</v>
      </c>
      <c r="N148" s="2" t="s">
        <v>82</v>
      </c>
      <c r="O148" s="3"/>
      <c r="P148" s="3"/>
      <c r="Q148" s="2" t="s">
        <v>57</v>
      </c>
      <c r="R148" s="2">
        <f t="shared" ca="1" si="20"/>
        <v>9</v>
      </c>
      <c r="S148" s="2" t="str">
        <f t="shared" si="21"/>
        <v/>
      </c>
      <c r="T148" s="2">
        <f t="shared" ca="1" si="22"/>
        <v>36</v>
      </c>
      <c r="U148" s="2" t="str">
        <f t="shared" ca="1" si="23"/>
        <v>Overdue</v>
      </c>
      <c r="V148" s="2" t="str">
        <f t="shared" ca="1" si="24"/>
        <v>Normal</v>
      </c>
    </row>
    <row r="149" spans="1:22" ht="28">
      <c r="A149" s="2" t="s">
        <v>499</v>
      </c>
      <c r="B149" s="2" t="s">
        <v>189</v>
      </c>
      <c r="C149" s="2" t="s">
        <v>500</v>
      </c>
      <c r="D149" s="4">
        <v>19074.669999999998</v>
      </c>
      <c r="E149" s="2" t="s">
        <v>99</v>
      </c>
      <c r="F149" s="2" t="s">
        <v>73</v>
      </c>
      <c r="G149" s="2"/>
      <c r="H149" s="3">
        <v>46168</v>
      </c>
      <c r="I149" s="3">
        <v>46183</v>
      </c>
      <c r="J149" s="2" t="s">
        <v>187</v>
      </c>
      <c r="K149" s="2" t="s">
        <v>53</v>
      </c>
      <c r="L149" s="2" t="s">
        <v>65</v>
      </c>
      <c r="M149" s="2" t="s">
        <v>95</v>
      </c>
      <c r="N149" s="2" t="s">
        <v>82</v>
      </c>
      <c r="O149" s="3">
        <v>46187</v>
      </c>
      <c r="P149" s="3"/>
      <c r="Q149" s="2" t="s">
        <v>68</v>
      </c>
      <c r="R149" s="2">
        <f t="shared" ca="1" si="20"/>
        <v>21</v>
      </c>
      <c r="S149" s="2">
        <f t="shared" si="21"/>
        <v>19</v>
      </c>
      <c r="T149" s="2">
        <f t="shared" ca="1" si="22"/>
        <v>-6</v>
      </c>
      <c r="U149" s="2" t="str">
        <f t="shared" ca="1" si="23"/>
        <v>N/A</v>
      </c>
      <c r="V149" s="2" t="str">
        <f t="shared" ca="1" si="24"/>
        <v>At Risk</v>
      </c>
    </row>
    <row r="150" spans="1:22" ht="28">
      <c r="A150" s="2" t="s">
        <v>501</v>
      </c>
      <c r="B150" s="2" t="s">
        <v>97</v>
      </c>
      <c r="C150" s="2" t="s">
        <v>502</v>
      </c>
      <c r="D150" s="4">
        <v>4154.75</v>
      </c>
      <c r="E150" s="2" t="s">
        <v>135</v>
      </c>
      <c r="F150" s="2" t="s">
        <v>50</v>
      </c>
      <c r="G150" s="2" t="s">
        <v>503</v>
      </c>
      <c r="H150" s="3">
        <v>46156</v>
      </c>
      <c r="I150" s="3">
        <v>46186</v>
      </c>
      <c r="J150" s="2" t="s">
        <v>137</v>
      </c>
      <c r="K150" s="2" t="s">
        <v>64</v>
      </c>
      <c r="L150" s="2" t="s">
        <v>75</v>
      </c>
      <c r="M150" s="2" t="s">
        <v>55</v>
      </c>
      <c r="N150" s="2" t="s">
        <v>82</v>
      </c>
      <c r="O150" s="3">
        <v>46165</v>
      </c>
      <c r="P150" s="3">
        <v>46169</v>
      </c>
      <c r="Q150" s="2" t="s">
        <v>57</v>
      </c>
      <c r="R150" s="2">
        <f t="shared" ca="1" si="20"/>
        <v>33</v>
      </c>
      <c r="S150" s="2">
        <f t="shared" si="21"/>
        <v>9</v>
      </c>
      <c r="T150" s="2">
        <f t="shared" ca="1" si="22"/>
        <v>-3</v>
      </c>
      <c r="U150" s="2" t="str">
        <f t="shared" ca="1" si="23"/>
        <v>N/A</v>
      </c>
      <c r="V150" s="2" t="str">
        <f t="shared" ca="1" si="24"/>
        <v>Normal</v>
      </c>
    </row>
    <row r="151" spans="1:22" ht="28">
      <c r="A151" s="2" t="s">
        <v>504</v>
      </c>
      <c r="B151" s="2" t="s">
        <v>84</v>
      </c>
      <c r="C151" s="2" t="s">
        <v>505</v>
      </c>
      <c r="D151" s="4">
        <v>16012.3</v>
      </c>
      <c r="E151" s="2" t="s">
        <v>93</v>
      </c>
      <c r="F151" s="2" t="s">
        <v>50</v>
      </c>
      <c r="G151" s="2" t="s">
        <v>506</v>
      </c>
      <c r="H151" s="3">
        <v>46186</v>
      </c>
      <c r="I151" s="3">
        <v>46216</v>
      </c>
      <c r="J151" s="2" t="s">
        <v>193</v>
      </c>
      <c r="K151" s="2" t="s">
        <v>53</v>
      </c>
      <c r="L151" s="2" t="s">
        <v>54</v>
      </c>
      <c r="M151" s="2" t="s">
        <v>109</v>
      </c>
      <c r="N151" s="2" t="s">
        <v>82</v>
      </c>
      <c r="O151" s="3"/>
      <c r="P151" s="3"/>
      <c r="Q151" s="2" t="s">
        <v>57</v>
      </c>
      <c r="R151" s="2">
        <f t="shared" ca="1" si="20"/>
        <v>3</v>
      </c>
      <c r="S151" s="2" t="str">
        <f t="shared" si="21"/>
        <v/>
      </c>
      <c r="T151" s="2">
        <f t="shared" ca="1" si="22"/>
        <v>27</v>
      </c>
      <c r="U151" s="2" t="str">
        <f t="shared" ca="1" si="23"/>
        <v>N/A</v>
      </c>
      <c r="V151" s="2" t="str">
        <f t="shared" ca="1" si="24"/>
        <v>Normal</v>
      </c>
    </row>
    <row r="152" spans="1:22" ht="28">
      <c r="A152" s="2" t="s">
        <v>507</v>
      </c>
      <c r="B152" s="2" t="s">
        <v>111</v>
      </c>
      <c r="C152" s="2" t="s">
        <v>508</v>
      </c>
      <c r="D152" s="4">
        <v>4385.55</v>
      </c>
      <c r="E152" s="2" t="s">
        <v>61</v>
      </c>
      <c r="F152" s="2" t="s">
        <v>50</v>
      </c>
      <c r="G152" s="2" t="s">
        <v>509</v>
      </c>
      <c r="H152" s="3">
        <v>46184</v>
      </c>
      <c r="I152" s="3">
        <v>46199</v>
      </c>
      <c r="J152" s="2" t="s">
        <v>63</v>
      </c>
      <c r="K152" s="2" t="s">
        <v>64</v>
      </c>
      <c r="L152" s="2" t="s">
        <v>65</v>
      </c>
      <c r="M152" s="2" t="s">
        <v>211</v>
      </c>
      <c r="N152" s="2" t="s">
        <v>82</v>
      </c>
      <c r="O152" s="3"/>
      <c r="P152" s="3"/>
      <c r="Q152" s="2" t="s">
        <v>57</v>
      </c>
      <c r="R152" s="2">
        <f t="shared" ca="1" si="20"/>
        <v>5</v>
      </c>
      <c r="S152" s="2" t="str">
        <f t="shared" si="21"/>
        <v/>
      </c>
      <c r="T152" s="2">
        <f t="shared" ca="1" si="22"/>
        <v>10</v>
      </c>
      <c r="U152" s="2" t="str">
        <f t="shared" ca="1" si="23"/>
        <v>On Track</v>
      </c>
      <c r="V152" s="2" t="str">
        <f t="shared" ca="1" si="24"/>
        <v>Normal</v>
      </c>
    </row>
    <row r="153" spans="1:22" ht="28">
      <c r="A153" s="2" t="s">
        <v>510</v>
      </c>
      <c r="B153" s="2" t="s">
        <v>189</v>
      </c>
      <c r="C153" s="2" t="s">
        <v>511</v>
      </c>
      <c r="D153" s="4">
        <v>1985.38</v>
      </c>
      <c r="E153" s="2" t="s">
        <v>157</v>
      </c>
      <c r="F153" s="2" t="s">
        <v>50</v>
      </c>
      <c r="G153" s="2" t="s">
        <v>512</v>
      </c>
      <c r="H153" s="3">
        <v>46182</v>
      </c>
      <c r="I153" s="3">
        <v>46227</v>
      </c>
      <c r="J153" s="2" t="s">
        <v>159</v>
      </c>
      <c r="K153" s="2" t="s">
        <v>64</v>
      </c>
      <c r="L153" s="2" t="s">
        <v>75</v>
      </c>
      <c r="M153" s="2" t="s">
        <v>89</v>
      </c>
      <c r="N153" s="2" t="s">
        <v>82</v>
      </c>
      <c r="O153" s="3"/>
      <c r="P153" s="3"/>
      <c r="Q153" s="2" t="s">
        <v>57</v>
      </c>
      <c r="R153" s="2">
        <f t="shared" ca="1" si="20"/>
        <v>7</v>
      </c>
      <c r="S153" s="2" t="str">
        <f t="shared" si="21"/>
        <v/>
      </c>
      <c r="T153" s="2">
        <f t="shared" ca="1" si="22"/>
        <v>38</v>
      </c>
      <c r="U153" s="2" t="str">
        <f t="shared" ca="1" si="23"/>
        <v>N/A</v>
      </c>
      <c r="V153" s="2" t="str">
        <f t="shared" ca="1" si="24"/>
        <v>Normal</v>
      </c>
    </row>
    <row r="154" spans="1:22" ht="28">
      <c r="A154" s="2" t="s">
        <v>513</v>
      </c>
      <c r="B154" s="2" t="s">
        <v>189</v>
      </c>
      <c r="C154" s="2" t="s">
        <v>514</v>
      </c>
      <c r="D154" s="4">
        <v>21262.33</v>
      </c>
      <c r="E154" s="2" t="s">
        <v>72</v>
      </c>
      <c r="F154" s="2" t="s">
        <v>50</v>
      </c>
      <c r="G154" s="2" t="s">
        <v>515</v>
      </c>
      <c r="H154" s="3">
        <v>46186</v>
      </c>
      <c r="I154" s="3">
        <v>46216</v>
      </c>
      <c r="J154" s="2" t="s">
        <v>52</v>
      </c>
      <c r="K154" s="2" t="s">
        <v>53</v>
      </c>
      <c r="L154" s="2" t="s">
        <v>54</v>
      </c>
      <c r="M154" s="2" t="s">
        <v>211</v>
      </c>
      <c r="N154" s="2" t="s">
        <v>82</v>
      </c>
      <c r="O154" s="3"/>
      <c r="P154" s="3"/>
      <c r="Q154" s="2" t="s">
        <v>57</v>
      </c>
      <c r="R154" s="2">
        <f t="shared" ca="1" si="20"/>
        <v>3</v>
      </c>
      <c r="S154" s="2" t="str">
        <f t="shared" si="21"/>
        <v/>
      </c>
      <c r="T154" s="2">
        <f t="shared" ca="1" si="22"/>
        <v>27</v>
      </c>
      <c r="U154" s="2" t="str">
        <f t="shared" ca="1" si="23"/>
        <v>On Track</v>
      </c>
      <c r="V154" s="2" t="str">
        <f t="shared" ca="1" si="24"/>
        <v>Normal</v>
      </c>
    </row>
    <row r="155" spans="1:22" ht="28">
      <c r="A155" s="2" t="s">
        <v>516</v>
      </c>
      <c r="B155" s="2" t="s">
        <v>376</v>
      </c>
      <c r="C155" s="2" t="s">
        <v>517</v>
      </c>
      <c r="D155" s="4">
        <v>4710.7299999999996</v>
      </c>
      <c r="E155" s="2" t="s">
        <v>99</v>
      </c>
      <c r="F155" s="2" t="s">
        <v>50</v>
      </c>
      <c r="G155" s="2" t="s">
        <v>518</v>
      </c>
      <c r="H155" s="3">
        <v>46172</v>
      </c>
      <c r="I155" s="3">
        <v>46217</v>
      </c>
      <c r="J155" s="2" t="s">
        <v>100</v>
      </c>
      <c r="K155" s="2" t="s">
        <v>64</v>
      </c>
      <c r="L155" s="2" t="s">
        <v>65</v>
      </c>
      <c r="M155" s="2" t="s">
        <v>184</v>
      </c>
      <c r="N155" s="2" t="s">
        <v>82</v>
      </c>
      <c r="O155" s="3">
        <v>46183</v>
      </c>
      <c r="P155" s="3"/>
      <c r="Q155" s="2" t="s">
        <v>57</v>
      </c>
      <c r="R155" s="2">
        <f t="shared" ca="1" si="20"/>
        <v>17</v>
      </c>
      <c r="S155" s="2">
        <f t="shared" si="21"/>
        <v>11</v>
      </c>
      <c r="T155" s="2">
        <f t="shared" ca="1" si="22"/>
        <v>28</v>
      </c>
      <c r="U155" s="2" t="str">
        <f t="shared" ca="1" si="23"/>
        <v>N/A</v>
      </c>
      <c r="V155" s="2" t="str">
        <f t="shared" ca="1" si="24"/>
        <v>Normal</v>
      </c>
    </row>
    <row r="156" spans="1:22" ht="28">
      <c r="A156" s="2" t="s">
        <v>519</v>
      </c>
      <c r="B156" s="2" t="s">
        <v>145</v>
      </c>
      <c r="C156" s="2" t="s">
        <v>520</v>
      </c>
      <c r="D156" s="4">
        <v>5188.99</v>
      </c>
      <c r="E156" s="2" t="s">
        <v>290</v>
      </c>
      <c r="F156" s="2" t="s">
        <v>73</v>
      </c>
      <c r="G156" s="2"/>
      <c r="H156" s="3">
        <v>46153</v>
      </c>
      <c r="I156" s="3">
        <v>46168</v>
      </c>
      <c r="J156" s="2" t="s">
        <v>52</v>
      </c>
      <c r="K156" s="2" t="s">
        <v>53</v>
      </c>
      <c r="L156" s="2" t="s">
        <v>75</v>
      </c>
      <c r="M156" s="2" t="s">
        <v>109</v>
      </c>
      <c r="N156" s="2" t="s">
        <v>82</v>
      </c>
      <c r="O156" s="3"/>
      <c r="P156" s="3"/>
      <c r="Q156" s="2" t="s">
        <v>68</v>
      </c>
      <c r="R156" s="2">
        <f t="shared" ca="1" si="20"/>
        <v>36</v>
      </c>
      <c r="S156" s="2" t="str">
        <f t="shared" si="21"/>
        <v/>
      </c>
      <c r="T156" s="2">
        <f t="shared" ca="1" si="22"/>
        <v>-21</v>
      </c>
      <c r="U156" s="2" t="str">
        <f t="shared" ca="1" si="23"/>
        <v>N/A</v>
      </c>
      <c r="V156" s="2" t="str">
        <f t="shared" ca="1" si="24"/>
        <v>At Risk</v>
      </c>
    </row>
    <row r="157" spans="1:22" ht="28">
      <c r="A157" s="2" t="s">
        <v>521</v>
      </c>
      <c r="B157" s="2" t="s">
        <v>119</v>
      </c>
      <c r="C157" s="2" t="s">
        <v>522</v>
      </c>
      <c r="D157" s="4">
        <v>466.51</v>
      </c>
      <c r="E157" s="2" t="s">
        <v>103</v>
      </c>
      <c r="F157" s="2" t="s">
        <v>73</v>
      </c>
      <c r="G157" s="2"/>
      <c r="H157" s="3">
        <v>46147</v>
      </c>
      <c r="I157" s="3">
        <v>46192</v>
      </c>
      <c r="J157" s="2" t="s">
        <v>108</v>
      </c>
      <c r="K157" s="2" t="s">
        <v>64</v>
      </c>
      <c r="L157" s="2" t="s">
        <v>54</v>
      </c>
      <c r="M157" s="2" t="s">
        <v>95</v>
      </c>
      <c r="N157" s="2" t="s">
        <v>82</v>
      </c>
      <c r="O157" s="3">
        <v>46150</v>
      </c>
      <c r="P157" s="3"/>
      <c r="Q157" s="2" t="s">
        <v>68</v>
      </c>
      <c r="R157" s="2">
        <f t="shared" ca="1" si="20"/>
        <v>42</v>
      </c>
      <c r="S157" s="2">
        <f t="shared" si="21"/>
        <v>3</v>
      </c>
      <c r="T157" s="2">
        <f t="shared" ca="1" si="22"/>
        <v>3</v>
      </c>
      <c r="U157" s="2" t="str">
        <f t="shared" ca="1" si="23"/>
        <v>N/A</v>
      </c>
      <c r="V157" s="2" t="str">
        <f t="shared" ca="1" si="24"/>
        <v>At Risk</v>
      </c>
    </row>
    <row r="158" spans="1:22" ht="28">
      <c r="A158" s="2" t="s">
        <v>523</v>
      </c>
      <c r="B158" s="2" t="s">
        <v>152</v>
      </c>
      <c r="C158" s="2" t="s">
        <v>524</v>
      </c>
      <c r="D158" s="4">
        <v>16278.6</v>
      </c>
      <c r="E158" s="2" t="s">
        <v>72</v>
      </c>
      <c r="F158" s="2" t="s">
        <v>73</v>
      </c>
      <c r="G158" s="2"/>
      <c r="H158" s="3">
        <v>46179</v>
      </c>
      <c r="I158" s="3">
        <v>46209</v>
      </c>
      <c r="J158" s="2" t="s">
        <v>52</v>
      </c>
      <c r="K158" s="2" t="s">
        <v>53</v>
      </c>
      <c r="L158" s="2" t="s">
        <v>65</v>
      </c>
      <c r="M158" s="2" t="s">
        <v>109</v>
      </c>
      <c r="N158" s="2" t="s">
        <v>82</v>
      </c>
      <c r="O158" s="3"/>
      <c r="P158" s="3"/>
      <c r="Q158" s="2" t="s">
        <v>57</v>
      </c>
      <c r="R158" s="2">
        <f t="shared" ca="1" si="20"/>
        <v>10</v>
      </c>
      <c r="S158" s="2" t="str">
        <f t="shared" si="21"/>
        <v/>
      </c>
      <c r="T158" s="2">
        <f t="shared" ca="1" si="22"/>
        <v>20</v>
      </c>
      <c r="U158" s="2" t="str">
        <f t="shared" ca="1" si="23"/>
        <v>N/A</v>
      </c>
      <c r="V158" s="2" t="str">
        <f t="shared" ca="1" si="24"/>
        <v>Normal</v>
      </c>
    </row>
    <row r="159" spans="1:22" ht="28">
      <c r="A159" s="2" t="s">
        <v>525</v>
      </c>
      <c r="B159" s="2" t="s">
        <v>155</v>
      </c>
      <c r="C159" s="2" t="s">
        <v>526</v>
      </c>
      <c r="D159" s="4">
        <v>20379.34</v>
      </c>
      <c r="E159" s="2" t="s">
        <v>86</v>
      </c>
      <c r="F159" s="2" t="s">
        <v>50</v>
      </c>
      <c r="G159" s="2" t="s">
        <v>527</v>
      </c>
      <c r="H159" s="3">
        <v>46181</v>
      </c>
      <c r="I159" s="3">
        <v>46211</v>
      </c>
      <c r="J159" s="2" t="s">
        <v>88</v>
      </c>
      <c r="K159" s="2" t="s">
        <v>53</v>
      </c>
      <c r="L159" s="2" t="s">
        <v>75</v>
      </c>
      <c r="M159" s="2" t="s">
        <v>109</v>
      </c>
      <c r="N159" s="2" t="s">
        <v>82</v>
      </c>
      <c r="O159" s="3"/>
      <c r="P159" s="3"/>
      <c r="Q159" s="2" t="s">
        <v>57</v>
      </c>
      <c r="R159" s="2">
        <f t="shared" ca="1" si="20"/>
        <v>8</v>
      </c>
      <c r="S159" s="2" t="str">
        <f t="shared" si="21"/>
        <v/>
      </c>
      <c r="T159" s="2">
        <f t="shared" ca="1" si="22"/>
        <v>22</v>
      </c>
      <c r="U159" s="2" t="str">
        <f t="shared" ca="1" si="23"/>
        <v>N/A</v>
      </c>
      <c r="V159" s="2" t="str">
        <f t="shared" ca="1" si="24"/>
        <v>Normal</v>
      </c>
    </row>
    <row r="160" spans="1:22" ht="28">
      <c r="A160" s="2" t="s">
        <v>528</v>
      </c>
      <c r="B160" s="2" t="s">
        <v>133</v>
      </c>
      <c r="C160" s="2" t="s">
        <v>529</v>
      </c>
      <c r="D160" s="4">
        <v>17371.7</v>
      </c>
      <c r="E160" s="2" t="s">
        <v>61</v>
      </c>
      <c r="F160" s="2" t="s">
        <v>50</v>
      </c>
      <c r="G160" s="2" t="s">
        <v>530</v>
      </c>
      <c r="H160" s="3">
        <v>46158</v>
      </c>
      <c r="I160" s="3">
        <v>46203</v>
      </c>
      <c r="J160" s="2" t="s">
        <v>117</v>
      </c>
      <c r="K160" s="2" t="s">
        <v>53</v>
      </c>
      <c r="L160" s="2" t="s">
        <v>54</v>
      </c>
      <c r="M160" s="2" t="s">
        <v>66</v>
      </c>
      <c r="N160" s="2" t="s">
        <v>177</v>
      </c>
      <c r="O160" s="3"/>
      <c r="P160" s="3"/>
      <c r="Q160" s="2" t="s">
        <v>57</v>
      </c>
      <c r="R160" s="2">
        <f t="shared" ca="1" si="20"/>
        <v>31</v>
      </c>
      <c r="S160" s="2" t="str">
        <f t="shared" si="21"/>
        <v/>
      </c>
      <c r="T160" s="2">
        <f t="shared" ca="1" si="22"/>
        <v>14</v>
      </c>
      <c r="U160" s="2" t="str">
        <f t="shared" ca="1" si="23"/>
        <v>N/A</v>
      </c>
      <c r="V160" s="2" t="str">
        <f t="shared" ca="1" si="24"/>
        <v>Normal</v>
      </c>
    </row>
    <row r="161" spans="1:22" ht="28">
      <c r="A161" s="2" t="s">
        <v>531</v>
      </c>
      <c r="B161" s="2" t="s">
        <v>166</v>
      </c>
      <c r="C161" s="2" t="s">
        <v>532</v>
      </c>
      <c r="D161" s="4">
        <v>6745.86</v>
      </c>
      <c r="E161" s="2" t="s">
        <v>157</v>
      </c>
      <c r="F161" s="2" t="s">
        <v>50</v>
      </c>
      <c r="G161" s="2" t="s">
        <v>533</v>
      </c>
      <c r="H161" s="3">
        <v>46170</v>
      </c>
      <c r="I161" s="3">
        <v>46200</v>
      </c>
      <c r="J161" s="2" t="s">
        <v>322</v>
      </c>
      <c r="K161" s="2" t="s">
        <v>53</v>
      </c>
      <c r="L161" s="2" t="s">
        <v>65</v>
      </c>
      <c r="M161" s="2" t="s">
        <v>95</v>
      </c>
      <c r="N161" s="2" t="s">
        <v>82</v>
      </c>
      <c r="O161" s="3">
        <v>46175</v>
      </c>
      <c r="P161" s="3"/>
      <c r="Q161" s="2" t="s">
        <v>57</v>
      </c>
      <c r="R161" s="2">
        <f t="shared" ca="1" si="20"/>
        <v>19</v>
      </c>
      <c r="S161" s="2">
        <f t="shared" si="21"/>
        <v>5</v>
      </c>
      <c r="T161" s="2">
        <f t="shared" ca="1" si="22"/>
        <v>11</v>
      </c>
      <c r="U161" s="2" t="str">
        <f t="shared" ca="1" si="23"/>
        <v>N/A</v>
      </c>
      <c r="V161" s="2" t="str">
        <f t="shared" ca="1" si="24"/>
        <v>Normal</v>
      </c>
    </row>
    <row r="162" spans="1:22" ht="28">
      <c r="A162" s="2" t="s">
        <v>534</v>
      </c>
      <c r="B162" s="2" t="s">
        <v>97</v>
      </c>
      <c r="C162" s="2" t="s">
        <v>535</v>
      </c>
      <c r="D162" s="4">
        <v>3873.14</v>
      </c>
      <c r="E162" s="2" t="s">
        <v>103</v>
      </c>
      <c r="F162" s="2" t="s">
        <v>50</v>
      </c>
      <c r="G162" s="2" t="s">
        <v>536</v>
      </c>
      <c r="H162" s="3">
        <v>46178</v>
      </c>
      <c r="I162" s="3">
        <v>46193</v>
      </c>
      <c r="J162" s="2" t="s">
        <v>108</v>
      </c>
      <c r="K162" s="2" t="s">
        <v>64</v>
      </c>
      <c r="L162" s="2" t="s">
        <v>75</v>
      </c>
      <c r="M162" s="2" t="s">
        <v>89</v>
      </c>
      <c r="N162" s="2" t="s">
        <v>82</v>
      </c>
      <c r="O162" s="3"/>
      <c r="P162" s="3"/>
      <c r="Q162" s="2" t="s">
        <v>68</v>
      </c>
      <c r="R162" s="2">
        <f t="shared" ca="1" si="20"/>
        <v>11</v>
      </c>
      <c r="S162" s="2" t="str">
        <f t="shared" si="21"/>
        <v/>
      </c>
      <c r="T162" s="2">
        <f t="shared" ca="1" si="22"/>
        <v>4</v>
      </c>
      <c r="U162" s="2" t="str">
        <f t="shared" ca="1" si="23"/>
        <v>N/A</v>
      </c>
      <c r="V162" s="2" t="str">
        <f t="shared" ca="1" si="24"/>
        <v>At Risk</v>
      </c>
    </row>
    <row r="163" spans="1:22" ht="28">
      <c r="A163" s="2" t="s">
        <v>537</v>
      </c>
      <c r="B163" s="2" t="s">
        <v>70</v>
      </c>
      <c r="C163" s="2" t="s">
        <v>538</v>
      </c>
      <c r="D163" s="4">
        <v>607.67999999999995</v>
      </c>
      <c r="E163" s="2" t="s">
        <v>135</v>
      </c>
      <c r="F163" s="2" t="s">
        <v>50</v>
      </c>
      <c r="G163" s="2" t="s">
        <v>539</v>
      </c>
      <c r="H163" s="3">
        <v>46159</v>
      </c>
      <c r="I163" s="3">
        <v>46174</v>
      </c>
      <c r="J163" s="2" t="s">
        <v>137</v>
      </c>
      <c r="K163" s="2" t="s">
        <v>64</v>
      </c>
      <c r="L163" s="2" t="s">
        <v>54</v>
      </c>
      <c r="M163" s="2" t="s">
        <v>95</v>
      </c>
      <c r="N163" s="2" t="s">
        <v>82</v>
      </c>
      <c r="O163" s="3">
        <v>46180</v>
      </c>
      <c r="P163" s="3"/>
      <c r="Q163" s="2" t="s">
        <v>68</v>
      </c>
      <c r="R163" s="2">
        <f t="shared" ca="1" si="20"/>
        <v>30</v>
      </c>
      <c r="S163" s="2">
        <f t="shared" si="21"/>
        <v>21</v>
      </c>
      <c r="T163" s="2">
        <f t="shared" ca="1" si="22"/>
        <v>-15</v>
      </c>
      <c r="U163" s="2" t="str">
        <f t="shared" ca="1" si="23"/>
        <v>N/A</v>
      </c>
      <c r="V163" s="2" t="str">
        <f t="shared" ca="1" si="24"/>
        <v>At Risk</v>
      </c>
    </row>
    <row r="164" spans="1:22" ht="28">
      <c r="A164" s="2" t="s">
        <v>540</v>
      </c>
      <c r="B164" s="2" t="s">
        <v>119</v>
      </c>
      <c r="C164" s="2" t="s">
        <v>541</v>
      </c>
      <c r="D164" s="4">
        <v>2252.37</v>
      </c>
      <c r="E164" s="2" t="s">
        <v>271</v>
      </c>
      <c r="F164" s="2" t="s">
        <v>50</v>
      </c>
      <c r="G164" s="2" t="s">
        <v>542</v>
      </c>
      <c r="H164" s="3">
        <v>46184</v>
      </c>
      <c r="I164" s="3">
        <v>46229</v>
      </c>
      <c r="J164" s="2" t="s">
        <v>273</v>
      </c>
      <c r="K164" s="2" t="s">
        <v>64</v>
      </c>
      <c r="L164" s="2" t="s">
        <v>65</v>
      </c>
      <c r="M164" s="2" t="s">
        <v>109</v>
      </c>
      <c r="N164" s="2" t="s">
        <v>82</v>
      </c>
      <c r="O164" s="3"/>
      <c r="P164" s="3"/>
      <c r="Q164" s="2" t="s">
        <v>57</v>
      </c>
      <c r="R164" s="2">
        <f t="shared" ref="R164:R183" ca="1" si="25">TODAY()-H164</f>
        <v>5</v>
      </c>
      <c r="S164" s="2" t="str">
        <f t="shared" ref="S164:S183" si="26">IF(O164="","",O164-H164)</f>
        <v/>
      </c>
      <c r="T164" s="2">
        <f t="shared" ref="T164:T183" ca="1" si="27">I164-TODAY()</f>
        <v>40</v>
      </c>
      <c r="U164" s="2" t="str">
        <f t="shared" ref="U164:U183" ca="1" si="28">IF(AND(M164="Pending Approval",R164&gt;5),"Overdue",IF(M164="Pending Approval","On Track","N/A"))</f>
        <v>N/A</v>
      </c>
      <c r="V164" s="2" t="str">
        <f t="shared" ref="V164:V183" ca="1" si="29">IF(AND(M164&lt;&gt;"Paid",M164&lt;&gt;"Rejected",T164&lt;=7),"At Risk","Normal")</f>
        <v>Normal</v>
      </c>
    </row>
    <row r="165" spans="1:22" ht="28">
      <c r="A165" s="2" t="s">
        <v>543</v>
      </c>
      <c r="B165" s="2" t="s">
        <v>152</v>
      </c>
      <c r="C165" s="2" t="s">
        <v>544</v>
      </c>
      <c r="D165" s="4">
        <v>11517.4</v>
      </c>
      <c r="E165" s="2" t="s">
        <v>271</v>
      </c>
      <c r="F165" s="2" t="s">
        <v>73</v>
      </c>
      <c r="G165" s="2"/>
      <c r="H165" s="3">
        <v>46160</v>
      </c>
      <c r="I165" s="3">
        <v>46190</v>
      </c>
      <c r="J165" s="2" t="s">
        <v>369</v>
      </c>
      <c r="K165" s="2" t="s">
        <v>53</v>
      </c>
      <c r="L165" s="2" t="s">
        <v>75</v>
      </c>
      <c r="M165" s="2" t="s">
        <v>95</v>
      </c>
      <c r="N165" s="2" t="s">
        <v>82</v>
      </c>
      <c r="O165" s="3">
        <v>46179</v>
      </c>
      <c r="P165" s="3"/>
      <c r="Q165" s="2" t="s">
        <v>68</v>
      </c>
      <c r="R165" s="2">
        <f t="shared" ca="1" si="25"/>
        <v>29</v>
      </c>
      <c r="S165" s="2">
        <f t="shared" si="26"/>
        <v>19</v>
      </c>
      <c r="T165" s="2">
        <f t="shared" ca="1" si="27"/>
        <v>1</v>
      </c>
      <c r="U165" s="2" t="str">
        <f t="shared" ca="1" si="28"/>
        <v>N/A</v>
      </c>
      <c r="V165" s="2" t="str">
        <f t="shared" ca="1" si="29"/>
        <v>At Risk</v>
      </c>
    </row>
    <row r="166" spans="1:22" ht="28">
      <c r="A166" s="2" t="s">
        <v>545</v>
      </c>
      <c r="B166" s="2" t="s">
        <v>115</v>
      </c>
      <c r="C166" s="2" t="s">
        <v>546</v>
      </c>
      <c r="D166" s="4">
        <v>21954.91</v>
      </c>
      <c r="E166" s="2" t="s">
        <v>103</v>
      </c>
      <c r="F166" s="2" t="s">
        <v>50</v>
      </c>
      <c r="G166" s="2" t="s">
        <v>547</v>
      </c>
      <c r="H166" s="3">
        <v>46169</v>
      </c>
      <c r="I166" s="3">
        <v>46214</v>
      </c>
      <c r="J166" s="2" t="s">
        <v>104</v>
      </c>
      <c r="K166" s="2" t="s">
        <v>53</v>
      </c>
      <c r="L166" s="2" t="s">
        <v>54</v>
      </c>
      <c r="M166" s="2" t="s">
        <v>95</v>
      </c>
      <c r="N166" s="2" t="s">
        <v>82</v>
      </c>
      <c r="O166" s="3">
        <v>46178</v>
      </c>
      <c r="P166" s="3"/>
      <c r="Q166" s="2" t="s">
        <v>57</v>
      </c>
      <c r="R166" s="2">
        <f t="shared" ca="1" si="25"/>
        <v>20</v>
      </c>
      <c r="S166" s="2">
        <f t="shared" si="26"/>
        <v>9</v>
      </c>
      <c r="T166" s="2">
        <f t="shared" ca="1" si="27"/>
        <v>25</v>
      </c>
      <c r="U166" s="2" t="str">
        <f t="shared" ca="1" si="28"/>
        <v>N/A</v>
      </c>
      <c r="V166" s="2" t="str">
        <f t="shared" ca="1" si="29"/>
        <v>Normal</v>
      </c>
    </row>
    <row r="167" spans="1:22" ht="28">
      <c r="A167" s="2" t="s">
        <v>548</v>
      </c>
      <c r="B167" s="2" t="s">
        <v>376</v>
      </c>
      <c r="C167" s="2" t="s">
        <v>549</v>
      </c>
      <c r="D167" s="4">
        <v>2605.75</v>
      </c>
      <c r="E167" s="2" t="s">
        <v>86</v>
      </c>
      <c r="F167" s="2" t="s">
        <v>50</v>
      </c>
      <c r="G167" s="2" t="s">
        <v>550</v>
      </c>
      <c r="H167" s="3">
        <v>46187</v>
      </c>
      <c r="I167" s="3">
        <v>46217</v>
      </c>
      <c r="J167" s="2" t="s">
        <v>251</v>
      </c>
      <c r="K167" s="2" t="s">
        <v>64</v>
      </c>
      <c r="L167" s="2" t="s">
        <v>65</v>
      </c>
      <c r="M167" s="2" t="s">
        <v>89</v>
      </c>
      <c r="N167" s="2" t="s">
        <v>82</v>
      </c>
      <c r="O167" s="3"/>
      <c r="P167" s="3"/>
      <c r="Q167" s="2" t="s">
        <v>57</v>
      </c>
      <c r="R167" s="2">
        <f t="shared" ca="1" si="25"/>
        <v>2</v>
      </c>
      <c r="S167" s="2" t="str">
        <f t="shared" si="26"/>
        <v/>
      </c>
      <c r="T167" s="2">
        <f t="shared" ca="1" si="27"/>
        <v>28</v>
      </c>
      <c r="U167" s="2" t="str">
        <f t="shared" ca="1" si="28"/>
        <v>N/A</v>
      </c>
      <c r="V167" s="2" t="str">
        <f t="shared" ca="1" si="29"/>
        <v>Normal</v>
      </c>
    </row>
    <row r="168" spans="1:22" ht="28">
      <c r="A168" s="2" t="s">
        <v>551</v>
      </c>
      <c r="B168" s="2" t="s">
        <v>47</v>
      </c>
      <c r="C168" s="2" t="s">
        <v>552</v>
      </c>
      <c r="D168" s="4">
        <v>4823.78</v>
      </c>
      <c r="E168" s="2" t="s">
        <v>49</v>
      </c>
      <c r="F168" s="2" t="s">
        <v>50</v>
      </c>
      <c r="G168" s="2" t="s">
        <v>553</v>
      </c>
      <c r="H168" s="3">
        <v>46186</v>
      </c>
      <c r="I168" s="3">
        <v>46231</v>
      </c>
      <c r="J168" s="2" t="s">
        <v>80</v>
      </c>
      <c r="K168" s="2" t="s">
        <v>64</v>
      </c>
      <c r="L168" s="2" t="s">
        <v>75</v>
      </c>
      <c r="M168" s="2" t="s">
        <v>89</v>
      </c>
      <c r="N168" s="2" t="s">
        <v>82</v>
      </c>
      <c r="O168" s="3"/>
      <c r="P168" s="3"/>
      <c r="Q168" s="2" t="s">
        <v>57</v>
      </c>
      <c r="R168" s="2">
        <f t="shared" ca="1" si="25"/>
        <v>3</v>
      </c>
      <c r="S168" s="2" t="str">
        <f t="shared" si="26"/>
        <v/>
      </c>
      <c r="T168" s="2">
        <f t="shared" ca="1" si="27"/>
        <v>42</v>
      </c>
      <c r="U168" s="2" t="str">
        <f t="shared" ca="1" si="28"/>
        <v>N/A</v>
      </c>
      <c r="V168" s="2" t="str">
        <f t="shared" ca="1" si="29"/>
        <v>Normal</v>
      </c>
    </row>
    <row r="169" spans="1:22" ht="28">
      <c r="A169" s="2" t="s">
        <v>554</v>
      </c>
      <c r="B169" s="2" t="s">
        <v>119</v>
      </c>
      <c r="C169" s="2" t="s">
        <v>555</v>
      </c>
      <c r="D169" s="4">
        <v>2068.77</v>
      </c>
      <c r="E169" s="2" t="s">
        <v>135</v>
      </c>
      <c r="F169" s="2" t="s">
        <v>50</v>
      </c>
      <c r="G169" s="2" t="s">
        <v>556</v>
      </c>
      <c r="H169" s="3">
        <v>46186</v>
      </c>
      <c r="I169" s="3">
        <v>46231</v>
      </c>
      <c r="J169" s="2" t="s">
        <v>137</v>
      </c>
      <c r="K169" s="2" t="s">
        <v>64</v>
      </c>
      <c r="L169" s="2" t="s">
        <v>54</v>
      </c>
      <c r="M169" s="2" t="s">
        <v>211</v>
      </c>
      <c r="N169" s="2" t="s">
        <v>82</v>
      </c>
      <c r="O169" s="3"/>
      <c r="P169" s="3"/>
      <c r="Q169" s="2" t="s">
        <v>57</v>
      </c>
      <c r="R169" s="2">
        <f t="shared" ca="1" si="25"/>
        <v>3</v>
      </c>
      <c r="S169" s="2" t="str">
        <f t="shared" si="26"/>
        <v/>
      </c>
      <c r="T169" s="2">
        <f t="shared" ca="1" si="27"/>
        <v>42</v>
      </c>
      <c r="U169" s="2" t="str">
        <f t="shared" ca="1" si="28"/>
        <v>On Track</v>
      </c>
      <c r="V169" s="2" t="str">
        <f t="shared" ca="1" si="29"/>
        <v>Normal</v>
      </c>
    </row>
    <row r="170" spans="1:22" ht="28">
      <c r="A170" s="2" t="s">
        <v>557</v>
      </c>
      <c r="B170" s="2" t="s">
        <v>78</v>
      </c>
      <c r="C170" s="2" t="s">
        <v>558</v>
      </c>
      <c r="D170" s="4">
        <v>2367.3000000000002</v>
      </c>
      <c r="E170" s="2" t="s">
        <v>157</v>
      </c>
      <c r="F170" s="2" t="s">
        <v>73</v>
      </c>
      <c r="G170" s="2"/>
      <c r="H170" s="3">
        <v>46156</v>
      </c>
      <c r="I170" s="3">
        <v>46201</v>
      </c>
      <c r="J170" s="2" t="s">
        <v>159</v>
      </c>
      <c r="K170" s="2" t="s">
        <v>64</v>
      </c>
      <c r="L170" s="2" t="s">
        <v>65</v>
      </c>
      <c r="M170" s="2" t="s">
        <v>55</v>
      </c>
      <c r="N170" s="2" t="s">
        <v>82</v>
      </c>
      <c r="O170" s="3">
        <v>46180</v>
      </c>
      <c r="P170" s="3">
        <v>46189</v>
      </c>
      <c r="Q170" s="2" t="s">
        <v>57</v>
      </c>
      <c r="R170" s="2">
        <f t="shared" ca="1" si="25"/>
        <v>33</v>
      </c>
      <c r="S170" s="2">
        <f t="shared" si="26"/>
        <v>24</v>
      </c>
      <c r="T170" s="2">
        <f t="shared" ca="1" si="27"/>
        <v>12</v>
      </c>
      <c r="U170" s="2" t="str">
        <f t="shared" ca="1" si="28"/>
        <v>N/A</v>
      </c>
      <c r="V170" s="2" t="str">
        <f t="shared" ca="1" si="29"/>
        <v>Normal</v>
      </c>
    </row>
    <row r="171" spans="1:22" ht="28">
      <c r="A171" s="2" t="s">
        <v>559</v>
      </c>
      <c r="B171" s="2" t="s">
        <v>145</v>
      </c>
      <c r="C171" s="2" t="s">
        <v>560</v>
      </c>
      <c r="D171" s="4">
        <v>24677.03</v>
      </c>
      <c r="E171" s="2" t="s">
        <v>135</v>
      </c>
      <c r="F171" s="2" t="s">
        <v>50</v>
      </c>
      <c r="G171" s="2" t="s">
        <v>561</v>
      </c>
      <c r="H171" s="3">
        <v>46158</v>
      </c>
      <c r="I171" s="3">
        <v>46203</v>
      </c>
      <c r="J171" s="2" t="s">
        <v>210</v>
      </c>
      <c r="K171" s="2" t="s">
        <v>53</v>
      </c>
      <c r="L171" s="2" t="s">
        <v>75</v>
      </c>
      <c r="M171" s="2" t="s">
        <v>55</v>
      </c>
      <c r="N171" s="2" t="s">
        <v>82</v>
      </c>
      <c r="O171" s="3">
        <v>46177</v>
      </c>
      <c r="P171" s="3">
        <v>46185</v>
      </c>
      <c r="Q171" s="2" t="s">
        <v>57</v>
      </c>
      <c r="R171" s="2">
        <f t="shared" ca="1" si="25"/>
        <v>31</v>
      </c>
      <c r="S171" s="2">
        <f t="shared" si="26"/>
        <v>19</v>
      </c>
      <c r="T171" s="2">
        <f t="shared" ca="1" si="27"/>
        <v>14</v>
      </c>
      <c r="U171" s="2" t="str">
        <f t="shared" ca="1" si="28"/>
        <v>N/A</v>
      </c>
      <c r="V171" s="2" t="str">
        <f t="shared" ca="1" si="29"/>
        <v>Normal</v>
      </c>
    </row>
    <row r="172" spans="1:22" ht="28">
      <c r="A172" s="2" t="s">
        <v>562</v>
      </c>
      <c r="B172" s="2" t="s">
        <v>208</v>
      </c>
      <c r="C172" s="2" t="s">
        <v>563</v>
      </c>
      <c r="D172" s="4">
        <v>13590.63</v>
      </c>
      <c r="E172" s="2" t="s">
        <v>290</v>
      </c>
      <c r="F172" s="2" t="s">
        <v>50</v>
      </c>
      <c r="G172" s="2" t="s">
        <v>564</v>
      </c>
      <c r="H172" s="3">
        <v>46143</v>
      </c>
      <c r="I172" s="3">
        <v>46188</v>
      </c>
      <c r="J172" s="2" t="s">
        <v>52</v>
      </c>
      <c r="K172" s="2" t="s">
        <v>53</v>
      </c>
      <c r="L172" s="2" t="s">
        <v>54</v>
      </c>
      <c r="M172" s="2" t="s">
        <v>55</v>
      </c>
      <c r="N172" s="2" t="s">
        <v>82</v>
      </c>
      <c r="O172" s="3">
        <v>46167</v>
      </c>
      <c r="P172" s="3">
        <v>46170</v>
      </c>
      <c r="Q172" s="2" t="s">
        <v>57</v>
      </c>
      <c r="R172" s="2">
        <f t="shared" ca="1" si="25"/>
        <v>46</v>
      </c>
      <c r="S172" s="2">
        <f t="shared" si="26"/>
        <v>24</v>
      </c>
      <c r="T172" s="2">
        <f t="shared" ca="1" si="27"/>
        <v>-1</v>
      </c>
      <c r="U172" s="2" t="str">
        <f t="shared" ca="1" si="28"/>
        <v>N/A</v>
      </c>
      <c r="V172" s="2" t="str">
        <f t="shared" ca="1" si="29"/>
        <v>Normal</v>
      </c>
    </row>
    <row r="173" spans="1:22" ht="28">
      <c r="A173" s="2" t="s">
        <v>565</v>
      </c>
      <c r="B173" s="2" t="s">
        <v>84</v>
      </c>
      <c r="C173" s="2" t="s">
        <v>566</v>
      </c>
      <c r="D173" s="4">
        <v>3221.85</v>
      </c>
      <c r="E173" s="2" t="s">
        <v>271</v>
      </c>
      <c r="F173" s="2" t="s">
        <v>50</v>
      </c>
      <c r="G173" s="2" t="s">
        <v>567</v>
      </c>
      <c r="H173" s="3">
        <v>46181</v>
      </c>
      <c r="I173" s="3">
        <v>46211</v>
      </c>
      <c r="J173" s="2" t="s">
        <v>273</v>
      </c>
      <c r="K173" s="2" t="s">
        <v>64</v>
      </c>
      <c r="L173" s="2" t="s">
        <v>65</v>
      </c>
      <c r="M173" s="2" t="s">
        <v>89</v>
      </c>
      <c r="N173" s="2" t="s">
        <v>82</v>
      </c>
      <c r="O173" s="3"/>
      <c r="P173" s="3"/>
      <c r="Q173" s="2" t="s">
        <v>57</v>
      </c>
      <c r="R173" s="2">
        <f t="shared" ca="1" si="25"/>
        <v>8</v>
      </c>
      <c r="S173" s="2" t="str">
        <f t="shared" si="26"/>
        <v/>
      </c>
      <c r="T173" s="2">
        <f t="shared" ca="1" si="27"/>
        <v>22</v>
      </c>
      <c r="U173" s="2" t="str">
        <f t="shared" ca="1" si="28"/>
        <v>N/A</v>
      </c>
      <c r="V173" s="2" t="str">
        <f t="shared" ca="1" si="29"/>
        <v>Normal</v>
      </c>
    </row>
    <row r="174" spans="1:22" ht="28">
      <c r="A174" s="2" t="s">
        <v>568</v>
      </c>
      <c r="B174" s="2" t="s">
        <v>133</v>
      </c>
      <c r="C174" s="2" t="s">
        <v>569</v>
      </c>
      <c r="D174" s="4">
        <v>872.86</v>
      </c>
      <c r="E174" s="2" t="s">
        <v>93</v>
      </c>
      <c r="F174" s="2" t="s">
        <v>50</v>
      </c>
      <c r="G174" s="2" t="s">
        <v>570</v>
      </c>
      <c r="H174" s="3">
        <v>46150</v>
      </c>
      <c r="I174" s="3">
        <v>46165</v>
      </c>
      <c r="J174" s="2" t="s">
        <v>94</v>
      </c>
      <c r="K174" s="2" t="s">
        <v>64</v>
      </c>
      <c r="L174" s="2" t="s">
        <v>75</v>
      </c>
      <c r="M174" s="2" t="s">
        <v>55</v>
      </c>
      <c r="N174" s="2" t="s">
        <v>82</v>
      </c>
      <c r="O174" s="3">
        <v>46174</v>
      </c>
      <c r="P174" s="3">
        <v>46178</v>
      </c>
      <c r="Q174" s="2" t="s">
        <v>57</v>
      </c>
      <c r="R174" s="2">
        <f t="shared" ca="1" si="25"/>
        <v>39</v>
      </c>
      <c r="S174" s="2">
        <f t="shared" si="26"/>
        <v>24</v>
      </c>
      <c r="T174" s="2">
        <f t="shared" ca="1" si="27"/>
        <v>-24</v>
      </c>
      <c r="U174" s="2" t="str">
        <f t="shared" ca="1" si="28"/>
        <v>N/A</v>
      </c>
      <c r="V174" s="2" t="str">
        <f t="shared" ca="1" si="29"/>
        <v>Normal</v>
      </c>
    </row>
    <row r="175" spans="1:22" ht="28">
      <c r="A175" s="2" t="s">
        <v>571</v>
      </c>
      <c r="B175" s="2" t="s">
        <v>201</v>
      </c>
      <c r="C175" s="2" t="s">
        <v>572</v>
      </c>
      <c r="D175" s="4">
        <v>59952.59</v>
      </c>
      <c r="E175" s="2" t="s">
        <v>93</v>
      </c>
      <c r="F175" s="2" t="s">
        <v>50</v>
      </c>
      <c r="G175" s="2" t="s">
        <v>573</v>
      </c>
      <c r="H175" s="3">
        <v>46154</v>
      </c>
      <c r="I175" s="3">
        <v>46199</v>
      </c>
      <c r="J175" s="2" t="s">
        <v>104</v>
      </c>
      <c r="K175" s="2" t="s">
        <v>104</v>
      </c>
      <c r="L175" s="2" t="s">
        <v>54</v>
      </c>
      <c r="M175" s="2" t="s">
        <v>55</v>
      </c>
      <c r="N175" s="2" t="s">
        <v>82</v>
      </c>
      <c r="O175" s="3">
        <v>46161</v>
      </c>
      <c r="P175" s="3">
        <v>46168</v>
      </c>
      <c r="Q175" s="2" t="s">
        <v>57</v>
      </c>
      <c r="R175" s="2">
        <f t="shared" ca="1" si="25"/>
        <v>35</v>
      </c>
      <c r="S175" s="2">
        <f t="shared" si="26"/>
        <v>7</v>
      </c>
      <c r="T175" s="2">
        <f t="shared" ca="1" si="27"/>
        <v>10</v>
      </c>
      <c r="U175" s="2" t="str">
        <f t="shared" ca="1" si="28"/>
        <v>N/A</v>
      </c>
      <c r="V175" s="2" t="str">
        <f t="shared" ca="1" si="29"/>
        <v>Normal</v>
      </c>
    </row>
    <row r="176" spans="1:22" ht="28">
      <c r="A176" s="2" t="s">
        <v>574</v>
      </c>
      <c r="B176" s="2" t="s">
        <v>141</v>
      </c>
      <c r="C176" s="2" t="s">
        <v>575</v>
      </c>
      <c r="D176" s="4">
        <v>2551.61</v>
      </c>
      <c r="E176" s="2" t="s">
        <v>162</v>
      </c>
      <c r="F176" s="2" t="s">
        <v>73</v>
      </c>
      <c r="G176" s="2"/>
      <c r="H176" s="3">
        <v>46186</v>
      </c>
      <c r="I176" s="3">
        <v>46216</v>
      </c>
      <c r="J176" s="2" t="s">
        <v>168</v>
      </c>
      <c r="K176" s="2" t="s">
        <v>64</v>
      </c>
      <c r="L176" s="2" t="s">
        <v>65</v>
      </c>
      <c r="M176" s="2" t="s">
        <v>211</v>
      </c>
      <c r="N176" s="2" t="s">
        <v>82</v>
      </c>
      <c r="O176" s="3"/>
      <c r="P176" s="3"/>
      <c r="Q176" s="2" t="s">
        <v>57</v>
      </c>
      <c r="R176" s="2">
        <f t="shared" ca="1" si="25"/>
        <v>3</v>
      </c>
      <c r="S176" s="2" t="str">
        <f t="shared" si="26"/>
        <v/>
      </c>
      <c r="T176" s="2">
        <f t="shared" ca="1" si="27"/>
        <v>27</v>
      </c>
      <c r="U176" s="2" t="str">
        <f t="shared" ca="1" si="28"/>
        <v>On Track</v>
      </c>
      <c r="V176" s="2" t="str">
        <f t="shared" ca="1" si="29"/>
        <v>Normal</v>
      </c>
    </row>
    <row r="177" spans="1:22" ht="28">
      <c r="A177" s="2" t="s">
        <v>576</v>
      </c>
      <c r="B177" s="2" t="s">
        <v>189</v>
      </c>
      <c r="C177" s="2" t="s">
        <v>577</v>
      </c>
      <c r="D177" s="4">
        <v>14905.77</v>
      </c>
      <c r="E177" s="2" t="s">
        <v>99</v>
      </c>
      <c r="F177" s="2" t="s">
        <v>50</v>
      </c>
      <c r="G177" s="2" t="s">
        <v>578</v>
      </c>
      <c r="H177" s="3">
        <v>46175</v>
      </c>
      <c r="I177" s="3">
        <v>46190</v>
      </c>
      <c r="J177" s="2" t="s">
        <v>187</v>
      </c>
      <c r="K177" s="2" t="s">
        <v>53</v>
      </c>
      <c r="L177" s="2" t="s">
        <v>75</v>
      </c>
      <c r="M177" s="2" t="s">
        <v>184</v>
      </c>
      <c r="N177" s="2" t="s">
        <v>82</v>
      </c>
      <c r="O177" s="3">
        <v>46185</v>
      </c>
      <c r="P177" s="3"/>
      <c r="Q177" s="2" t="s">
        <v>68</v>
      </c>
      <c r="R177" s="2">
        <f t="shared" ca="1" si="25"/>
        <v>14</v>
      </c>
      <c r="S177" s="2">
        <f t="shared" si="26"/>
        <v>10</v>
      </c>
      <c r="T177" s="2">
        <f t="shared" ca="1" si="27"/>
        <v>1</v>
      </c>
      <c r="U177" s="2" t="str">
        <f t="shared" ca="1" si="28"/>
        <v>N/A</v>
      </c>
      <c r="V177" s="2" t="str">
        <f t="shared" ca="1" si="29"/>
        <v>At Risk</v>
      </c>
    </row>
    <row r="178" spans="1:22" ht="28">
      <c r="A178" s="2" t="s">
        <v>579</v>
      </c>
      <c r="B178" s="2" t="s">
        <v>141</v>
      </c>
      <c r="C178" s="2" t="s">
        <v>580</v>
      </c>
      <c r="D178" s="4">
        <v>24985.25</v>
      </c>
      <c r="E178" s="2" t="s">
        <v>86</v>
      </c>
      <c r="F178" s="2" t="s">
        <v>50</v>
      </c>
      <c r="G178" s="2" t="s">
        <v>581</v>
      </c>
      <c r="H178" s="3">
        <v>46171</v>
      </c>
      <c r="I178" s="3">
        <v>46201</v>
      </c>
      <c r="J178" s="2" t="s">
        <v>88</v>
      </c>
      <c r="K178" s="2" t="s">
        <v>53</v>
      </c>
      <c r="L178" s="2" t="s">
        <v>54</v>
      </c>
      <c r="M178" s="2" t="s">
        <v>89</v>
      </c>
      <c r="N178" s="2" t="s">
        <v>82</v>
      </c>
      <c r="O178" s="3"/>
      <c r="P178" s="3"/>
      <c r="Q178" s="2" t="s">
        <v>57</v>
      </c>
      <c r="R178" s="2">
        <f t="shared" ca="1" si="25"/>
        <v>18</v>
      </c>
      <c r="S178" s="2" t="str">
        <f t="shared" si="26"/>
        <v/>
      </c>
      <c r="T178" s="2">
        <f t="shared" ca="1" si="27"/>
        <v>12</v>
      </c>
      <c r="U178" s="2" t="str">
        <f t="shared" ca="1" si="28"/>
        <v>N/A</v>
      </c>
      <c r="V178" s="2" t="str">
        <f t="shared" ca="1" si="29"/>
        <v>Normal</v>
      </c>
    </row>
    <row r="179" spans="1:22" ht="28">
      <c r="A179" s="2" t="s">
        <v>582</v>
      </c>
      <c r="B179" s="2" t="s">
        <v>59</v>
      </c>
      <c r="C179" s="2" t="s">
        <v>583</v>
      </c>
      <c r="D179" s="4">
        <v>3115.1</v>
      </c>
      <c r="E179" s="2" t="s">
        <v>99</v>
      </c>
      <c r="F179" s="2" t="s">
        <v>73</v>
      </c>
      <c r="G179" s="2"/>
      <c r="H179" s="3">
        <v>46156</v>
      </c>
      <c r="I179" s="3">
        <v>46171</v>
      </c>
      <c r="J179" s="2" t="s">
        <v>100</v>
      </c>
      <c r="K179" s="2" t="s">
        <v>64</v>
      </c>
      <c r="L179" s="2" t="s">
        <v>65</v>
      </c>
      <c r="M179" s="2" t="s">
        <v>55</v>
      </c>
      <c r="N179" s="2" t="s">
        <v>82</v>
      </c>
      <c r="O179" s="3">
        <v>46177</v>
      </c>
      <c r="P179" s="3">
        <v>46187</v>
      </c>
      <c r="Q179" s="2" t="s">
        <v>57</v>
      </c>
      <c r="R179" s="2">
        <f t="shared" ca="1" si="25"/>
        <v>33</v>
      </c>
      <c r="S179" s="2">
        <f t="shared" si="26"/>
        <v>21</v>
      </c>
      <c r="T179" s="2">
        <f t="shared" ca="1" si="27"/>
        <v>-18</v>
      </c>
      <c r="U179" s="2" t="str">
        <f t="shared" ca="1" si="28"/>
        <v>N/A</v>
      </c>
      <c r="V179" s="2" t="str">
        <f t="shared" ca="1" si="29"/>
        <v>Normal</v>
      </c>
    </row>
    <row r="180" spans="1:22" ht="28">
      <c r="A180" s="2" t="s">
        <v>584</v>
      </c>
      <c r="B180" s="2" t="s">
        <v>152</v>
      </c>
      <c r="C180" s="2" t="s">
        <v>585</v>
      </c>
      <c r="D180" s="4">
        <v>20001.13</v>
      </c>
      <c r="E180" s="2" t="s">
        <v>86</v>
      </c>
      <c r="F180" s="2" t="s">
        <v>50</v>
      </c>
      <c r="G180" s="2" t="s">
        <v>586</v>
      </c>
      <c r="H180" s="3">
        <v>46169</v>
      </c>
      <c r="I180" s="3">
        <v>46184</v>
      </c>
      <c r="J180" s="2" t="s">
        <v>88</v>
      </c>
      <c r="K180" s="2" t="s">
        <v>53</v>
      </c>
      <c r="L180" s="2" t="s">
        <v>75</v>
      </c>
      <c r="M180" s="2" t="s">
        <v>211</v>
      </c>
      <c r="N180" s="2" t="s">
        <v>82</v>
      </c>
      <c r="O180" s="3"/>
      <c r="P180" s="3"/>
      <c r="Q180" s="2" t="s">
        <v>68</v>
      </c>
      <c r="R180" s="2">
        <f t="shared" ca="1" si="25"/>
        <v>20</v>
      </c>
      <c r="S180" s="2" t="str">
        <f t="shared" si="26"/>
        <v/>
      </c>
      <c r="T180" s="2">
        <f t="shared" ca="1" si="27"/>
        <v>-5</v>
      </c>
      <c r="U180" s="2" t="str">
        <f t="shared" ca="1" si="28"/>
        <v>Overdue</v>
      </c>
      <c r="V180" s="2" t="str">
        <f t="shared" ca="1" si="29"/>
        <v>At Risk</v>
      </c>
    </row>
    <row r="181" spans="1:22" ht="28">
      <c r="A181" s="2" t="s">
        <v>587</v>
      </c>
      <c r="B181" s="2" t="s">
        <v>376</v>
      </c>
      <c r="C181" s="2" t="s">
        <v>588</v>
      </c>
      <c r="D181" s="4">
        <v>13284.09</v>
      </c>
      <c r="E181" s="2" t="s">
        <v>86</v>
      </c>
      <c r="F181" s="2" t="s">
        <v>50</v>
      </c>
      <c r="G181" s="2" t="s">
        <v>589</v>
      </c>
      <c r="H181" s="3">
        <v>46171</v>
      </c>
      <c r="I181" s="3">
        <v>46186</v>
      </c>
      <c r="J181" s="2" t="s">
        <v>88</v>
      </c>
      <c r="K181" s="2" t="s">
        <v>53</v>
      </c>
      <c r="L181" s="2" t="s">
        <v>54</v>
      </c>
      <c r="M181" s="2" t="s">
        <v>211</v>
      </c>
      <c r="N181" s="2" t="s">
        <v>82</v>
      </c>
      <c r="O181" s="3"/>
      <c r="P181" s="3"/>
      <c r="Q181" s="2" t="s">
        <v>68</v>
      </c>
      <c r="R181" s="2">
        <f t="shared" ca="1" si="25"/>
        <v>18</v>
      </c>
      <c r="S181" s="2" t="str">
        <f t="shared" si="26"/>
        <v/>
      </c>
      <c r="T181" s="2">
        <f t="shared" ca="1" si="27"/>
        <v>-3</v>
      </c>
      <c r="U181" s="2" t="str">
        <f t="shared" ca="1" si="28"/>
        <v>Overdue</v>
      </c>
      <c r="V181" s="2" t="str">
        <f t="shared" ca="1" si="29"/>
        <v>At Risk</v>
      </c>
    </row>
    <row r="182" spans="1:22" ht="28">
      <c r="A182" s="2" t="s">
        <v>590</v>
      </c>
      <c r="B182" s="2" t="s">
        <v>166</v>
      </c>
      <c r="C182" s="2" t="s">
        <v>591</v>
      </c>
      <c r="D182" s="4">
        <v>3849.73</v>
      </c>
      <c r="E182" s="2" t="s">
        <v>135</v>
      </c>
      <c r="F182" s="2" t="s">
        <v>73</v>
      </c>
      <c r="G182" s="2"/>
      <c r="H182" s="3">
        <v>46148</v>
      </c>
      <c r="I182" s="3">
        <v>46193</v>
      </c>
      <c r="J182" s="2" t="s">
        <v>137</v>
      </c>
      <c r="K182" s="2" t="s">
        <v>64</v>
      </c>
      <c r="L182" s="2" t="s">
        <v>65</v>
      </c>
      <c r="M182" s="2" t="s">
        <v>95</v>
      </c>
      <c r="N182" s="2" t="s">
        <v>82</v>
      </c>
      <c r="O182" s="3">
        <v>46152</v>
      </c>
      <c r="P182" s="3"/>
      <c r="Q182" s="2" t="s">
        <v>68</v>
      </c>
      <c r="R182" s="2">
        <f t="shared" ca="1" si="25"/>
        <v>41</v>
      </c>
      <c r="S182" s="2">
        <f t="shared" si="26"/>
        <v>4</v>
      </c>
      <c r="T182" s="2">
        <f t="shared" ca="1" si="27"/>
        <v>4</v>
      </c>
      <c r="U182" s="2" t="str">
        <f t="shared" ca="1" si="28"/>
        <v>N/A</v>
      </c>
      <c r="V182" s="2" t="str">
        <f t="shared" ca="1" si="29"/>
        <v>At Risk</v>
      </c>
    </row>
    <row r="183" spans="1:22" ht="28">
      <c r="A183" s="2" t="s">
        <v>592</v>
      </c>
      <c r="B183" s="2" t="s">
        <v>84</v>
      </c>
      <c r="C183" s="2" t="s">
        <v>593</v>
      </c>
      <c r="D183" s="4">
        <v>2937.39</v>
      </c>
      <c r="E183" s="2" t="s">
        <v>157</v>
      </c>
      <c r="F183" s="2" t="s">
        <v>50</v>
      </c>
      <c r="G183" s="2" t="s">
        <v>594</v>
      </c>
      <c r="H183" s="3">
        <v>46179</v>
      </c>
      <c r="I183" s="3">
        <v>46209</v>
      </c>
      <c r="J183" s="2" t="s">
        <v>159</v>
      </c>
      <c r="K183" s="2" t="s">
        <v>64</v>
      </c>
      <c r="L183" s="2" t="s">
        <v>75</v>
      </c>
      <c r="M183" s="2" t="s">
        <v>211</v>
      </c>
      <c r="N183" s="2" t="s">
        <v>82</v>
      </c>
      <c r="O183" s="3"/>
      <c r="P183" s="3"/>
      <c r="Q183" s="2" t="s">
        <v>57</v>
      </c>
      <c r="R183" s="2">
        <f t="shared" ca="1" si="25"/>
        <v>10</v>
      </c>
      <c r="S183" s="2" t="str">
        <f t="shared" si="26"/>
        <v/>
      </c>
      <c r="T183" s="2">
        <f t="shared" ca="1" si="27"/>
        <v>20</v>
      </c>
      <c r="U183" s="2" t="str">
        <f t="shared" ca="1" si="28"/>
        <v>Overdue</v>
      </c>
      <c r="V183" s="2" t="str">
        <f t="shared" ca="1" si="29"/>
        <v>Normal</v>
      </c>
    </row>
  </sheetData>
  <mergeCells count="1">
    <mergeCell ref="A1:V1"/>
  </mergeCells>
  <conditionalFormatting sqref="N4:N183">
    <cfRule type="expression" dxfId="3" priority="3">
      <formula>$N4&lt;&gt;"None"</formula>
    </cfRule>
  </conditionalFormatting>
  <conditionalFormatting sqref="U4:U183">
    <cfRule type="expression" dxfId="2" priority="1">
      <formula>$U4="Overdue"</formula>
    </cfRule>
  </conditionalFormatting>
  <conditionalFormatting sqref="V4:V183">
    <cfRule type="expression" dxfId="1" priority="2">
      <formula>$V4="At Risk"</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xr:uid="{00000000-0002-0000-0100-000000000000}">
          <x14:formula1>
            <xm:f>Lists!$A$2:$A$9</xm:f>
          </x14:formula1>
          <xm:sqref>M4:M183</xm:sqref>
        </x14:dataValidation>
        <x14:dataValidation type="list" xr:uid="{00000000-0002-0000-0100-000001000000}">
          <x14:formula1>
            <xm:f>Lists!$B$2:$B$3</xm:f>
          </x14:formula1>
          <xm:sqref>F4:F183</xm:sqref>
        </x14:dataValidation>
        <x14:dataValidation type="list" xr:uid="{00000000-0002-0000-0100-000002000000}">
          <x14:formula1>
            <xm:f>Lists!$C$2:$C$7</xm:f>
          </x14:formula1>
          <xm:sqref>N4:N183</xm:sqref>
        </x14:dataValidation>
        <x14:dataValidation type="list" xr:uid="{00000000-0002-0000-0100-000003000000}">
          <x14:formula1>
            <xm:f>Lists!$F$2:$F$4</xm:f>
          </x14:formula1>
          <xm:sqref>Q4:Q183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7"/>
  <sheetViews>
    <sheetView topLeftCell="A26" workbookViewId="0">
      <selection sqref="A1:N1"/>
    </sheetView>
  </sheetViews>
  <sheetFormatPr defaultRowHeight="14"/>
  <cols>
    <col min="1" max="3" width="32" customWidth="1"/>
    <col min="4" max="14" width="16" customWidth="1"/>
  </cols>
  <sheetData>
    <row r="1" spans="1:26" ht="18">
      <c r="A1" s="10" t="s">
        <v>595</v>
      </c>
      <c r="B1" s="11"/>
      <c r="C1" s="11"/>
      <c r="D1" s="11"/>
      <c r="E1" s="11"/>
      <c r="F1" s="11"/>
      <c r="G1" s="11"/>
      <c r="H1" s="11"/>
      <c r="I1" s="11"/>
      <c r="J1" s="11"/>
      <c r="K1" s="11"/>
      <c r="L1" s="11"/>
      <c r="M1" s="11"/>
      <c r="N1" s="11"/>
      <c r="O1" s="8"/>
      <c r="P1" s="8"/>
      <c r="Q1" s="8"/>
      <c r="R1" s="8"/>
      <c r="S1" s="8"/>
      <c r="T1" s="8"/>
      <c r="U1" s="8"/>
      <c r="V1" s="8"/>
      <c r="W1" s="8"/>
      <c r="X1" s="8"/>
      <c r="Y1" s="8"/>
      <c r="Z1" s="8"/>
    </row>
    <row r="2" spans="1:26">
      <c r="A2" s="15" t="s">
        <v>596</v>
      </c>
      <c r="B2" s="13"/>
      <c r="C2" s="13"/>
      <c r="D2" s="13"/>
      <c r="E2" s="13"/>
      <c r="F2" s="13"/>
      <c r="G2" s="13"/>
      <c r="H2" s="13"/>
      <c r="I2" s="13"/>
      <c r="J2" s="13"/>
      <c r="K2" s="13"/>
      <c r="L2" s="13"/>
      <c r="M2" s="13"/>
      <c r="N2" s="13"/>
    </row>
    <row r="4" spans="1:26">
      <c r="A4" s="16" t="s">
        <v>597</v>
      </c>
      <c r="B4" s="16"/>
      <c r="D4" s="16" t="s">
        <v>598</v>
      </c>
      <c r="E4" s="16"/>
      <c r="G4" s="16" t="s">
        <v>211</v>
      </c>
      <c r="H4" s="16"/>
      <c r="J4" s="16" t="s">
        <v>599</v>
      </c>
      <c r="K4" s="16"/>
    </row>
    <row r="5" spans="1:26">
      <c r="A5" s="17">
        <f>COUNTA('Invoice Tracker'!A4:A183)</f>
        <v>180</v>
      </c>
      <c r="B5" s="18" t="s">
        <v>600</v>
      </c>
      <c r="C5" s="5"/>
      <c r="D5" s="17">
        <f>COUNTIFS('Invoice Tracker'!M4:M183,"&lt;&gt;Paid",'Invoice Tracker'!M4:M183,"&lt;&gt;Rejected")</f>
        <v>151</v>
      </c>
      <c r="E5" s="18" t="s">
        <v>601</v>
      </c>
      <c r="F5" s="5"/>
      <c r="G5" s="17">
        <f>COUNTIF('Invoice Tracker'!M4:M183,"Pending Approval")</f>
        <v>21</v>
      </c>
      <c r="H5" s="18" t="s">
        <v>602</v>
      </c>
      <c r="I5" s="5"/>
      <c r="J5" s="17">
        <f ca="1">COUNTIF('Invoice Tracker'!U4:U183,"Overdue")</f>
        <v>15</v>
      </c>
      <c r="K5" s="19" t="s">
        <v>603</v>
      </c>
    </row>
    <row r="6" spans="1:26">
      <c r="A6" s="5"/>
      <c r="B6" s="5"/>
      <c r="C6" s="5"/>
      <c r="D6" s="5"/>
      <c r="E6" s="5"/>
      <c r="F6" s="5"/>
      <c r="G6" s="5"/>
      <c r="H6" s="5"/>
      <c r="I6" s="5"/>
      <c r="J6" s="5"/>
    </row>
    <row r="7" spans="1:26">
      <c r="A7" s="16" t="s">
        <v>45</v>
      </c>
      <c r="B7" s="16"/>
      <c r="C7" s="5"/>
      <c r="D7" s="16" t="s">
        <v>604</v>
      </c>
      <c r="E7" s="16"/>
      <c r="F7" s="5"/>
      <c r="G7" s="16" t="s">
        <v>605</v>
      </c>
      <c r="H7" s="16"/>
      <c r="I7" s="5"/>
      <c r="J7" s="16" t="s">
        <v>606</v>
      </c>
      <c r="K7" s="16"/>
    </row>
    <row r="8" spans="1:26">
      <c r="A8" s="20">
        <f ca="1">COUNTIF('Invoice Tracker'!V4:V183,"At Risk")</f>
        <v>64</v>
      </c>
      <c r="B8" s="18" t="s">
        <v>607</v>
      </c>
      <c r="C8" s="5"/>
      <c r="D8" s="21">
        <f>COUNTIF('Invoice Tracker'!N4:N183,"&lt;&gt;None")/COUNTA('Invoice Tracker'!A4:A183)</f>
        <v>0.26666666666666666</v>
      </c>
      <c r="E8" s="18" t="s">
        <v>608</v>
      </c>
      <c r="F8" s="5"/>
      <c r="G8" s="20">
        <f>SUM('Invoice Tracker'!S4:S183)/COUNT('Invoice Tracker'!S4:S183)</f>
        <v>11.651162790697674</v>
      </c>
      <c r="H8" s="18" t="s">
        <v>609</v>
      </c>
      <c r="I8" s="5"/>
      <c r="J8" s="21">
        <f>COUNTIF('Invoice Tracker'!F4:F183,"Non-PO")/COUNTA('Invoice Tracker'!A4:A183)</f>
        <v>0.40555555555555556</v>
      </c>
      <c r="K8" s="19" t="s">
        <v>610</v>
      </c>
    </row>
    <row r="11" spans="1:26">
      <c r="A11" s="12" t="s">
        <v>611</v>
      </c>
      <c r="B11" s="13"/>
      <c r="C11" s="13"/>
      <c r="E11" s="12" t="s">
        <v>612</v>
      </c>
      <c r="F11" s="13"/>
      <c r="G11" s="13"/>
      <c r="H11" s="13"/>
      <c r="J11" s="12" t="s">
        <v>613</v>
      </c>
      <c r="K11" s="13"/>
      <c r="L11" s="13"/>
      <c r="M11" s="13"/>
      <c r="N11" s="13"/>
    </row>
    <row r="12" spans="1:26">
      <c r="A12" s="1" t="s">
        <v>36</v>
      </c>
      <c r="B12" s="1" t="s">
        <v>614</v>
      </c>
      <c r="C12" s="1" t="s">
        <v>615</v>
      </c>
      <c r="E12" s="1" t="s">
        <v>37</v>
      </c>
      <c r="F12" s="1" t="s">
        <v>614</v>
      </c>
      <c r="G12" s="1" t="s">
        <v>615</v>
      </c>
      <c r="H12" s="1" t="s">
        <v>616</v>
      </c>
      <c r="J12" s="1" t="s">
        <v>34</v>
      </c>
      <c r="K12" s="1" t="s">
        <v>617</v>
      </c>
      <c r="L12" s="1" t="s">
        <v>618</v>
      </c>
      <c r="M12" s="1" t="s">
        <v>619</v>
      </c>
      <c r="N12" s="1" t="s">
        <v>620</v>
      </c>
    </row>
    <row r="13" spans="1:26">
      <c r="A13" t="s">
        <v>109</v>
      </c>
      <c r="B13">
        <f>COUNTIF('Invoice Tracker'!$M$4:$M$183,A13)</f>
        <v>21</v>
      </c>
      <c r="C13" s="6">
        <f t="shared" ref="C13:C20" si="0">B13/$A$5</f>
        <v>0.11666666666666667</v>
      </c>
      <c r="E13" t="s">
        <v>82</v>
      </c>
      <c r="F13">
        <f>COUNTIF('Invoice Tracker'!$N$4:$N$183,E13)</f>
        <v>132</v>
      </c>
      <c r="G13" s="6">
        <f>F13/COUNTA('Invoice Tracker'!$A$4:$A$183)</f>
        <v>0.73333333333333328</v>
      </c>
      <c r="H13" t="s">
        <v>621</v>
      </c>
      <c r="J13" t="s">
        <v>64</v>
      </c>
      <c r="K13">
        <f>COUNTIFS('Invoice Tracker'!$K$4:$K$183,J13,'Invoice Tracker'!$M$4:$M$183,"Pending Approval")</f>
        <v>10</v>
      </c>
      <c r="L13">
        <f ca="1">COUNTIFS('Invoice Tracker'!$K$4:$K$183,J13,'Invoice Tracker'!$U$4:$U$183,"Overdue")</f>
        <v>6</v>
      </c>
      <c r="M13" s="7">
        <f ca="1">IFERROR(SUMIFS('Invoice Tracker'!$R$4:$R$183,'Invoice Tracker'!$K$4:$K$183,J13,'Invoice Tracker'!$M$4:$M$183,"Pending Approval")/K13,0)</f>
        <v>14.1</v>
      </c>
      <c r="N13">
        <f ca="1">COUNTIFS('Invoice Tracker'!$K$4:$K$183,J13,'Invoice Tracker'!$V$4:$V$183,"At Risk")</f>
        <v>38</v>
      </c>
    </row>
    <row r="14" spans="1:26">
      <c r="A14" t="s">
        <v>89</v>
      </c>
      <c r="B14">
        <f>COUNTIF('Invoice Tracker'!$M$4:$M$183,A14)</f>
        <v>28</v>
      </c>
      <c r="C14" s="6">
        <f t="shared" si="0"/>
        <v>0.15555555555555556</v>
      </c>
      <c r="E14" t="s">
        <v>76</v>
      </c>
      <c r="F14">
        <f>COUNTIF('Invoice Tracker'!$N$4:$N$183,E14)</f>
        <v>8</v>
      </c>
      <c r="G14" s="6">
        <f>F14/COUNTA('Invoice Tracker'!$A$4:$A$183)</f>
        <v>4.4444444444444446E-2</v>
      </c>
      <c r="H14" t="s">
        <v>622</v>
      </c>
      <c r="J14" t="s">
        <v>53</v>
      </c>
      <c r="K14">
        <f>COUNTIFS('Invoice Tracker'!$K$4:$K$183,J14,'Invoice Tracker'!$M$4:$M$183,"Pending Approval")</f>
        <v>11</v>
      </c>
      <c r="L14">
        <f ca="1">COUNTIFS('Invoice Tracker'!$K$4:$K$183,J14,'Invoice Tracker'!$U$4:$U$183,"Overdue")</f>
        <v>9</v>
      </c>
      <c r="M14" s="7">
        <f ca="1">IFERROR(SUMIFS('Invoice Tracker'!$R$4:$R$183,'Invoice Tracker'!$K$4:$K$183,J14,'Invoice Tracker'!$M$4:$M$183,"Pending Approval")/K14,0)</f>
        <v>12.272727272727273</v>
      </c>
      <c r="N14">
        <f ca="1">COUNTIFS('Invoice Tracker'!$K$4:$K$183,J14,'Invoice Tracker'!$V$4:$V$183,"At Risk")</f>
        <v>26</v>
      </c>
    </row>
    <row r="15" spans="1:26">
      <c r="A15" t="s">
        <v>211</v>
      </c>
      <c r="B15">
        <f>COUNTIF('Invoice Tracker'!$M$4:$M$183,A15)</f>
        <v>21</v>
      </c>
      <c r="C15" s="6">
        <f t="shared" si="0"/>
        <v>0.11666666666666667</v>
      </c>
      <c r="E15" t="s">
        <v>122</v>
      </c>
      <c r="F15">
        <f>COUNTIF('Invoice Tracker'!$N$4:$N$183,E15)</f>
        <v>10</v>
      </c>
      <c r="G15" s="6">
        <f>F15/COUNTA('Invoice Tracker'!$A$4:$A$183)</f>
        <v>5.5555555555555552E-2</v>
      </c>
      <c r="H15" t="s">
        <v>623</v>
      </c>
      <c r="J15" t="s">
        <v>104</v>
      </c>
      <c r="K15">
        <f>COUNTIFS('Invoice Tracker'!$K$4:$K$183,J15,'Invoice Tracker'!$M$4:$M$183,"Pending Approval")</f>
        <v>0</v>
      </c>
      <c r="L15">
        <f ca="1">COUNTIFS('Invoice Tracker'!$K$4:$K$183,J15,'Invoice Tracker'!$U$4:$U$183,"Overdue")</f>
        <v>0</v>
      </c>
      <c r="M15" s="7">
        <f>IFERROR(SUMIFS('Invoice Tracker'!$R$4:$R$183,'Invoice Tracker'!$K$4:$K$183,J15,'Invoice Tracker'!$M$4:$M$183,"Pending Approval")/K15,0)</f>
        <v>0</v>
      </c>
      <c r="N15">
        <f ca="1">COUNTIFS('Invoice Tracker'!$K$4:$K$183,J15,'Invoice Tracker'!$V$4:$V$183,"At Risk")</f>
        <v>0</v>
      </c>
    </row>
    <row r="16" spans="1:26">
      <c r="A16" t="s">
        <v>184</v>
      </c>
      <c r="B16">
        <f>COUNTIF('Invoice Tracker'!$M$4:$M$183,A16)</f>
        <v>14</v>
      </c>
      <c r="C16" s="6">
        <f t="shared" si="0"/>
        <v>7.7777777777777779E-2</v>
      </c>
      <c r="E16" t="s">
        <v>56</v>
      </c>
      <c r="F16">
        <f>COUNTIF('Invoice Tracker'!$N$4:$N$183,E16)</f>
        <v>9</v>
      </c>
      <c r="G16" s="6">
        <f>F16/COUNTA('Invoice Tracker'!$A$4:$A$183)</f>
        <v>0.05</v>
      </c>
      <c r="H16" t="s">
        <v>624</v>
      </c>
    </row>
    <row r="17" spans="1:14">
      <c r="A17" t="s">
        <v>81</v>
      </c>
      <c r="B17">
        <f>COUNTIF('Invoice Tracker'!$M$4:$M$183,A17)</f>
        <v>4</v>
      </c>
      <c r="C17" s="6">
        <f t="shared" si="0"/>
        <v>2.2222222222222223E-2</v>
      </c>
      <c r="E17" t="s">
        <v>177</v>
      </c>
      <c r="F17">
        <f>COUNTIF('Invoice Tracker'!$N$4:$N$183,E17)</f>
        <v>9</v>
      </c>
      <c r="G17" s="6">
        <f>F17/COUNTA('Invoice Tracker'!$A$4:$A$183)</f>
        <v>0.05</v>
      </c>
      <c r="H17" t="s">
        <v>625</v>
      </c>
    </row>
    <row r="18" spans="1:14">
      <c r="A18" t="s">
        <v>66</v>
      </c>
      <c r="B18">
        <f>COUNTIF('Invoice Tracker'!$M$4:$M$183,A18)</f>
        <v>24</v>
      </c>
      <c r="C18" s="6">
        <f t="shared" si="0"/>
        <v>0.13333333333333333</v>
      </c>
      <c r="E18" t="s">
        <v>67</v>
      </c>
      <c r="F18">
        <f>COUNTIF('Invoice Tracker'!$N$4:$N$183,E18)</f>
        <v>12</v>
      </c>
      <c r="G18" s="6">
        <f>F18/COUNTA('Invoice Tracker'!$A$4:$A$183)</f>
        <v>6.6666666666666666E-2</v>
      </c>
      <c r="H18" t="s">
        <v>626</v>
      </c>
    </row>
    <row r="19" spans="1:14">
      <c r="A19" t="s">
        <v>95</v>
      </c>
      <c r="B19">
        <f>COUNTIF('Invoice Tracker'!$M$4:$M$183,A19)</f>
        <v>43</v>
      </c>
      <c r="C19" s="6">
        <f t="shared" si="0"/>
        <v>0.2388888888888889</v>
      </c>
    </row>
    <row r="20" spans="1:14">
      <c r="A20" t="s">
        <v>55</v>
      </c>
      <c r="B20">
        <f>COUNTIF('Invoice Tracker'!$M$4:$M$183,A20)</f>
        <v>25</v>
      </c>
      <c r="C20" s="6">
        <f t="shared" si="0"/>
        <v>0.1388888888888889</v>
      </c>
    </row>
    <row r="22" spans="1:14">
      <c r="A22" s="12" t="s">
        <v>627</v>
      </c>
      <c r="B22" s="13"/>
      <c r="C22" s="13"/>
      <c r="D22" s="13"/>
      <c r="E22" s="13"/>
      <c r="F22" s="13"/>
      <c r="G22" s="13"/>
      <c r="H22" s="13"/>
      <c r="I22" s="13"/>
      <c r="J22" s="13"/>
      <c r="K22" s="13"/>
      <c r="L22" s="13"/>
      <c r="M22" s="13"/>
      <c r="N22" s="13"/>
    </row>
    <row r="23" spans="1:14">
      <c r="A23" s="1" t="s">
        <v>628</v>
      </c>
      <c r="B23" s="1" t="s">
        <v>629</v>
      </c>
      <c r="C23" s="1" t="s">
        <v>630</v>
      </c>
    </row>
    <row r="24" spans="1:14" ht="28">
      <c r="A24" s="2" t="s">
        <v>631</v>
      </c>
      <c r="B24" s="2" t="s">
        <v>632</v>
      </c>
      <c r="C24" s="2" t="s">
        <v>633</v>
      </c>
    </row>
    <row r="25" spans="1:14" ht="28">
      <c r="A25" s="2" t="s">
        <v>634</v>
      </c>
      <c r="B25" s="2" t="s">
        <v>635</v>
      </c>
      <c r="C25" s="2" t="s">
        <v>636</v>
      </c>
    </row>
    <row r="26" spans="1:14" ht="42">
      <c r="A26" s="2" t="s">
        <v>637</v>
      </c>
      <c r="B26" s="2" t="s">
        <v>638</v>
      </c>
      <c r="C26" s="2" t="s">
        <v>639</v>
      </c>
    </row>
    <row r="27" spans="1:14" ht="28">
      <c r="A27" s="2" t="s">
        <v>640</v>
      </c>
      <c r="B27" s="2" t="s">
        <v>641</v>
      </c>
      <c r="C27" s="2" t="s">
        <v>642</v>
      </c>
    </row>
  </sheetData>
  <mergeCells count="14">
    <mergeCell ref="A22:N22"/>
    <mergeCell ref="A7:B8"/>
    <mergeCell ref="D7:E8"/>
    <mergeCell ref="G7:H8"/>
    <mergeCell ref="J7:K8"/>
    <mergeCell ref="A11:C11"/>
    <mergeCell ref="E11:H11"/>
    <mergeCell ref="J11:N11"/>
    <mergeCell ref="A1:N1"/>
    <mergeCell ref="A2:N2"/>
    <mergeCell ref="A4:B5"/>
    <mergeCell ref="D4:E5"/>
    <mergeCell ref="G4:H5"/>
    <mergeCell ref="J4:K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5"/>
  <sheetViews>
    <sheetView workbookViewId="0">
      <selection activeCell="D8" sqref="D8"/>
    </sheetView>
  </sheetViews>
  <sheetFormatPr defaultRowHeight="14"/>
  <cols>
    <col min="1" max="1" width="11" bestFit="1" customWidth="1"/>
    <col min="2" max="2" width="17.1640625" bestFit="1" customWidth="1"/>
    <col min="3" max="3" width="18.6640625" customWidth="1"/>
    <col min="4" max="4" width="22.1640625" bestFit="1" customWidth="1"/>
    <col min="5" max="5" width="10.08203125" bestFit="1" customWidth="1"/>
    <col min="6" max="6" width="9" bestFit="1" customWidth="1"/>
    <col min="7" max="7" width="9.75" bestFit="1" customWidth="1"/>
    <col min="8" max="8" width="13.4140625" bestFit="1" customWidth="1"/>
    <col min="9" max="9" width="12.83203125" bestFit="1" customWidth="1"/>
  </cols>
  <sheetData>
    <row r="1" spans="1:26" ht="18">
      <c r="A1" s="10" t="s">
        <v>643</v>
      </c>
      <c r="B1" s="11"/>
      <c r="C1" s="11"/>
      <c r="D1" s="11"/>
      <c r="E1" s="11"/>
      <c r="F1" s="11"/>
      <c r="G1" s="11"/>
      <c r="H1" s="11"/>
      <c r="I1" s="11"/>
      <c r="J1" s="8"/>
      <c r="K1" s="8"/>
      <c r="L1" s="8"/>
      <c r="M1" s="8"/>
      <c r="N1" s="8"/>
      <c r="O1" s="8"/>
      <c r="P1" s="8"/>
      <c r="Q1" s="8"/>
      <c r="R1" s="8"/>
      <c r="S1" s="8"/>
      <c r="T1" s="8"/>
      <c r="U1" s="8"/>
      <c r="V1" s="8"/>
      <c r="W1" s="8"/>
      <c r="X1" s="8"/>
      <c r="Y1" s="8"/>
      <c r="Z1" s="8"/>
    </row>
    <row r="3" spans="1:26">
      <c r="A3" s="1" t="s">
        <v>28</v>
      </c>
      <c r="B3" s="1" t="s">
        <v>644</v>
      </c>
      <c r="C3" s="1" t="s">
        <v>645</v>
      </c>
      <c r="D3" s="1" t="s">
        <v>646</v>
      </c>
      <c r="E3" s="1" t="s">
        <v>647</v>
      </c>
      <c r="F3" s="1" t="s">
        <v>648</v>
      </c>
      <c r="G3" s="1" t="s">
        <v>649</v>
      </c>
      <c r="H3" s="22" t="s">
        <v>650</v>
      </c>
      <c r="I3" s="22" t="s">
        <v>651</v>
      </c>
    </row>
    <row r="4" spans="1:26" ht="28">
      <c r="A4" s="2" t="s">
        <v>72</v>
      </c>
      <c r="B4" s="2" t="s">
        <v>74</v>
      </c>
      <c r="C4" s="2" t="s">
        <v>52</v>
      </c>
      <c r="D4" s="2" t="s">
        <v>652</v>
      </c>
      <c r="E4" s="2" t="s">
        <v>64</v>
      </c>
      <c r="F4" s="2" t="s">
        <v>53</v>
      </c>
      <c r="G4" s="2" t="s">
        <v>104</v>
      </c>
      <c r="H4" s="2" t="s">
        <v>653</v>
      </c>
      <c r="I4" s="23">
        <v>46174</v>
      </c>
    </row>
    <row r="5" spans="1:26" ht="28">
      <c r="A5" s="2" t="s">
        <v>49</v>
      </c>
      <c r="B5" s="2" t="s">
        <v>80</v>
      </c>
      <c r="C5" s="2" t="s">
        <v>52</v>
      </c>
      <c r="D5" s="2" t="s">
        <v>654</v>
      </c>
      <c r="E5" s="2" t="s">
        <v>64</v>
      </c>
      <c r="F5" s="2" t="s">
        <v>53</v>
      </c>
      <c r="G5" s="2" t="s">
        <v>104</v>
      </c>
      <c r="H5" s="2" t="s">
        <v>653</v>
      </c>
      <c r="I5" s="23">
        <v>46174</v>
      </c>
    </row>
    <row r="6" spans="1:26" ht="28">
      <c r="A6" s="2" t="s">
        <v>271</v>
      </c>
      <c r="B6" s="2" t="s">
        <v>273</v>
      </c>
      <c r="C6" s="2" t="s">
        <v>369</v>
      </c>
      <c r="D6" s="2" t="s">
        <v>655</v>
      </c>
      <c r="E6" s="2" t="s">
        <v>64</v>
      </c>
      <c r="F6" s="2" t="s">
        <v>53</v>
      </c>
      <c r="G6" s="2" t="s">
        <v>104</v>
      </c>
      <c r="H6" s="2" t="s">
        <v>653</v>
      </c>
      <c r="I6" s="23">
        <v>46174</v>
      </c>
    </row>
    <row r="7" spans="1:26" ht="28">
      <c r="A7" s="2" t="s">
        <v>99</v>
      </c>
      <c r="B7" s="2" t="s">
        <v>100</v>
      </c>
      <c r="C7" s="2" t="s">
        <v>187</v>
      </c>
      <c r="D7" s="2" t="s">
        <v>656</v>
      </c>
      <c r="E7" s="2" t="s">
        <v>64</v>
      </c>
      <c r="F7" s="2" t="s">
        <v>53</v>
      </c>
      <c r="G7" s="2" t="s">
        <v>104</v>
      </c>
      <c r="H7" s="2" t="s">
        <v>653</v>
      </c>
      <c r="I7" s="23">
        <v>46174</v>
      </c>
    </row>
    <row r="8" spans="1:26" ht="28">
      <c r="A8" s="2" t="s">
        <v>135</v>
      </c>
      <c r="B8" s="2" t="s">
        <v>137</v>
      </c>
      <c r="C8" s="2" t="s">
        <v>210</v>
      </c>
      <c r="D8" s="2" t="s">
        <v>657</v>
      </c>
      <c r="E8" s="2" t="s">
        <v>64</v>
      </c>
      <c r="F8" s="2" t="s">
        <v>53</v>
      </c>
      <c r="G8" s="2" t="s">
        <v>104</v>
      </c>
      <c r="H8" s="2" t="s">
        <v>653</v>
      </c>
      <c r="I8" s="23">
        <v>46174</v>
      </c>
    </row>
    <row r="9" spans="1:26" ht="28">
      <c r="A9" s="2" t="s">
        <v>162</v>
      </c>
      <c r="B9" s="2" t="s">
        <v>168</v>
      </c>
      <c r="C9" s="2" t="s">
        <v>164</v>
      </c>
      <c r="D9" s="2" t="s">
        <v>658</v>
      </c>
      <c r="E9" s="2" t="s">
        <v>64</v>
      </c>
      <c r="F9" s="2" t="s">
        <v>53</v>
      </c>
      <c r="G9" s="2" t="s">
        <v>104</v>
      </c>
      <c r="H9" s="2" t="s">
        <v>653</v>
      </c>
      <c r="I9" s="23">
        <v>46174</v>
      </c>
    </row>
    <row r="10" spans="1:26" ht="28">
      <c r="A10" s="2" t="s">
        <v>157</v>
      </c>
      <c r="B10" s="2" t="s">
        <v>159</v>
      </c>
      <c r="C10" s="2" t="s">
        <v>322</v>
      </c>
      <c r="D10" s="2" t="s">
        <v>659</v>
      </c>
      <c r="E10" s="2" t="s">
        <v>64</v>
      </c>
      <c r="F10" s="2" t="s">
        <v>53</v>
      </c>
      <c r="G10" s="2" t="s">
        <v>104</v>
      </c>
      <c r="H10" s="2" t="s">
        <v>653</v>
      </c>
      <c r="I10" s="23">
        <v>46174</v>
      </c>
    </row>
    <row r="11" spans="1:26" ht="28">
      <c r="A11" s="2" t="s">
        <v>61</v>
      </c>
      <c r="B11" s="2" t="s">
        <v>63</v>
      </c>
      <c r="C11" s="2" t="s">
        <v>117</v>
      </c>
      <c r="D11" s="2" t="s">
        <v>660</v>
      </c>
      <c r="E11" s="2" t="s">
        <v>64</v>
      </c>
      <c r="F11" s="2" t="s">
        <v>53</v>
      </c>
      <c r="G11" s="2" t="s">
        <v>104</v>
      </c>
      <c r="H11" s="2" t="s">
        <v>653</v>
      </c>
      <c r="I11" s="23">
        <v>46174</v>
      </c>
    </row>
    <row r="12" spans="1:26" ht="28">
      <c r="A12" s="2" t="s">
        <v>103</v>
      </c>
      <c r="B12" s="2" t="s">
        <v>108</v>
      </c>
      <c r="C12" s="2" t="s">
        <v>104</v>
      </c>
      <c r="D12" s="2" t="s">
        <v>661</v>
      </c>
      <c r="E12" s="2" t="s">
        <v>64</v>
      </c>
      <c r="F12" s="2" t="s">
        <v>53</v>
      </c>
      <c r="G12" s="2" t="s">
        <v>104</v>
      </c>
      <c r="H12" s="2" t="s">
        <v>653</v>
      </c>
      <c r="I12" s="23">
        <v>46174</v>
      </c>
    </row>
    <row r="13" spans="1:26" ht="28">
      <c r="A13" s="2" t="s">
        <v>93</v>
      </c>
      <c r="B13" s="2" t="s">
        <v>94</v>
      </c>
      <c r="C13" s="2" t="s">
        <v>193</v>
      </c>
      <c r="D13" s="2" t="s">
        <v>662</v>
      </c>
      <c r="E13" s="2" t="s">
        <v>64</v>
      </c>
      <c r="F13" s="2" t="s">
        <v>53</v>
      </c>
      <c r="G13" s="2" t="s">
        <v>104</v>
      </c>
      <c r="H13" s="2" t="s">
        <v>653</v>
      </c>
      <c r="I13" s="23">
        <v>46174</v>
      </c>
    </row>
    <row r="14" spans="1:26" ht="28">
      <c r="A14" s="2" t="s">
        <v>290</v>
      </c>
      <c r="B14" s="2" t="s">
        <v>291</v>
      </c>
      <c r="C14" s="2" t="s">
        <v>52</v>
      </c>
      <c r="D14" s="2" t="s">
        <v>663</v>
      </c>
      <c r="E14" s="2" t="s">
        <v>64</v>
      </c>
      <c r="F14" s="2" t="s">
        <v>53</v>
      </c>
      <c r="G14" s="2" t="s">
        <v>104</v>
      </c>
      <c r="H14" s="2" t="s">
        <v>653</v>
      </c>
      <c r="I14" s="23">
        <v>46174</v>
      </c>
    </row>
    <row r="15" spans="1:26" ht="28">
      <c r="A15" s="2" t="s">
        <v>86</v>
      </c>
      <c r="B15" s="2" t="s">
        <v>251</v>
      </c>
      <c r="C15" s="2" t="s">
        <v>88</v>
      </c>
      <c r="D15" s="2" t="s">
        <v>664</v>
      </c>
      <c r="E15" s="2" t="s">
        <v>64</v>
      </c>
      <c r="F15" s="2" t="s">
        <v>53</v>
      </c>
      <c r="G15" s="2" t="s">
        <v>104</v>
      </c>
      <c r="H15" s="2" t="s">
        <v>653</v>
      </c>
      <c r="I15" s="23">
        <v>46174</v>
      </c>
    </row>
  </sheetData>
  <mergeCells count="1">
    <mergeCell ref="A1:I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
  <sheetViews>
    <sheetView workbookViewId="0">
      <selection activeCell="E9" sqref="E9"/>
    </sheetView>
  </sheetViews>
  <sheetFormatPr defaultRowHeight="14"/>
  <cols>
    <col min="1" max="1" width="11.5" bestFit="1" customWidth="1"/>
    <col min="2" max="2" width="9.08203125" bestFit="1" customWidth="1"/>
    <col min="3" max="3" width="12.9140625" bestFit="1" customWidth="1"/>
    <col min="4" max="4" width="19.6640625" bestFit="1" customWidth="1"/>
    <col min="5" max="5" width="11" bestFit="1" customWidth="1"/>
    <col min="6" max="6" width="18.5" bestFit="1" customWidth="1"/>
    <col min="7" max="7" width="14.08203125" bestFit="1" customWidth="1"/>
    <col min="8" max="8" width="9.58203125" bestFit="1" customWidth="1"/>
    <col min="9" max="9" width="17" bestFit="1" customWidth="1"/>
    <col min="10" max="10" width="15.4140625" bestFit="1" customWidth="1"/>
    <col min="11" max="11" width="31.75" bestFit="1" customWidth="1"/>
  </cols>
  <sheetData>
    <row r="1" spans="1:26" ht="18">
      <c r="A1" s="10" t="s">
        <v>665</v>
      </c>
      <c r="B1" s="11"/>
      <c r="C1" s="11"/>
      <c r="D1" s="11"/>
      <c r="E1" s="11"/>
      <c r="F1" s="11"/>
      <c r="G1" s="11"/>
      <c r="H1" s="11"/>
      <c r="I1" s="11"/>
      <c r="J1" s="11"/>
      <c r="K1" s="11"/>
      <c r="L1" s="8"/>
      <c r="M1" s="8"/>
      <c r="N1" s="8"/>
      <c r="O1" s="8"/>
      <c r="P1" s="8"/>
      <c r="Q1" s="8"/>
      <c r="R1" s="8"/>
      <c r="S1" s="8"/>
      <c r="T1" s="8"/>
      <c r="U1" s="8"/>
      <c r="V1" s="8"/>
      <c r="W1" s="8"/>
      <c r="X1" s="8"/>
      <c r="Y1" s="8"/>
      <c r="Z1" s="8"/>
    </row>
    <row r="3" spans="1:26">
      <c r="A3" s="1" t="s">
        <v>666</v>
      </c>
      <c r="B3" s="1" t="s">
        <v>24</v>
      </c>
      <c r="C3" s="1" t="s">
        <v>667</v>
      </c>
      <c r="D3" s="1" t="s">
        <v>37</v>
      </c>
      <c r="E3" s="1" t="s">
        <v>28</v>
      </c>
      <c r="F3" s="1" t="s">
        <v>668</v>
      </c>
      <c r="G3" s="1" t="s">
        <v>27</v>
      </c>
      <c r="H3" s="1" t="s">
        <v>669</v>
      </c>
      <c r="I3" s="1" t="s">
        <v>36</v>
      </c>
      <c r="J3" s="1" t="s">
        <v>670</v>
      </c>
      <c r="K3" s="1" t="s">
        <v>671</v>
      </c>
    </row>
    <row r="4" spans="1:26" ht="28">
      <c r="A4" s="2" t="s">
        <v>672</v>
      </c>
      <c r="B4" s="2" t="s">
        <v>46</v>
      </c>
      <c r="C4" s="3">
        <v>46145</v>
      </c>
      <c r="D4" s="2" t="s">
        <v>56</v>
      </c>
      <c r="E4" s="2" t="s">
        <v>49</v>
      </c>
      <c r="F4" s="2" t="s">
        <v>47</v>
      </c>
      <c r="G4" s="4">
        <v>16809.259999999998</v>
      </c>
      <c r="H4" s="2" t="s">
        <v>54</v>
      </c>
      <c r="I4" s="2" t="s">
        <v>673</v>
      </c>
      <c r="J4" s="2"/>
      <c r="K4" s="2" t="s">
        <v>674</v>
      </c>
    </row>
    <row r="5" spans="1:26" ht="28">
      <c r="A5" s="2" t="s">
        <v>675</v>
      </c>
      <c r="B5" s="2" t="s">
        <v>58</v>
      </c>
      <c r="C5" s="3">
        <v>46156</v>
      </c>
      <c r="D5" s="2" t="s">
        <v>67</v>
      </c>
      <c r="E5" s="2" t="s">
        <v>61</v>
      </c>
      <c r="F5" s="2" t="s">
        <v>59</v>
      </c>
      <c r="G5" s="4">
        <v>1542.1</v>
      </c>
      <c r="H5" s="2" t="s">
        <v>65</v>
      </c>
      <c r="I5" s="2" t="s">
        <v>676</v>
      </c>
      <c r="J5" s="2"/>
      <c r="K5" s="2" t="s">
        <v>677</v>
      </c>
    </row>
    <row r="6" spans="1:26" ht="28">
      <c r="A6" s="2" t="s">
        <v>678</v>
      </c>
      <c r="B6" s="2" t="s">
        <v>69</v>
      </c>
      <c r="C6" s="3">
        <v>46166</v>
      </c>
      <c r="D6" s="2" t="s">
        <v>76</v>
      </c>
      <c r="E6" s="2" t="s">
        <v>72</v>
      </c>
      <c r="F6" s="2" t="s">
        <v>70</v>
      </c>
      <c r="G6" s="4">
        <v>3173.18</v>
      </c>
      <c r="H6" s="2" t="s">
        <v>75</v>
      </c>
      <c r="I6" s="2" t="s">
        <v>676</v>
      </c>
      <c r="J6" s="2"/>
      <c r="K6" s="2" t="s">
        <v>679</v>
      </c>
    </row>
    <row r="7" spans="1:26" ht="28">
      <c r="A7" s="2" t="s">
        <v>680</v>
      </c>
      <c r="B7" s="2" t="s">
        <v>101</v>
      </c>
      <c r="C7" s="3">
        <v>46161</v>
      </c>
      <c r="D7" s="2" t="s">
        <v>76</v>
      </c>
      <c r="E7" s="2" t="s">
        <v>103</v>
      </c>
      <c r="F7" s="2" t="s">
        <v>70</v>
      </c>
      <c r="G7" s="4">
        <v>11803.17</v>
      </c>
      <c r="H7" s="2" t="s">
        <v>65</v>
      </c>
      <c r="I7" s="2" t="s">
        <v>676</v>
      </c>
      <c r="J7" s="2"/>
      <c r="K7" s="2" t="s">
        <v>679</v>
      </c>
    </row>
    <row r="8" spans="1:26" ht="28">
      <c r="A8" s="2" t="s">
        <v>681</v>
      </c>
      <c r="B8" s="2" t="s">
        <v>118</v>
      </c>
      <c r="C8" s="3">
        <v>46146</v>
      </c>
      <c r="D8" s="2" t="s">
        <v>122</v>
      </c>
      <c r="E8" s="2" t="s">
        <v>99</v>
      </c>
      <c r="F8" s="2" t="s">
        <v>119</v>
      </c>
      <c r="G8" s="4">
        <v>3541.46</v>
      </c>
      <c r="H8" s="2" t="s">
        <v>75</v>
      </c>
      <c r="I8" s="2" t="s">
        <v>673</v>
      </c>
      <c r="J8" s="2"/>
      <c r="K8" s="2" t="s">
        <v>682</v>
      </c>
    </row>
    <row r="9" spans="1:26" ht="28">
      <c r="A9" s="2" t="s">
        <v>683</v>
      </c>
      <c r="B9" s="2" t="s">
        <v>138</v>
      </c>
      <c r="C9" s="3">
        <v>46158</v>
      </c>
      <c r="D9" s="2" t="s">
        <v>67</v>
      </c>
      <c r="E9" s="2" t="s">
        <v>103</v>
      </c>
      <c r="F9" s="2" t="s">
        <v>111</v>
      </c>
      <c r="G9" s="4">
        <v>566.02</v>
      </c>
      <c r="H9" s="2" t="s">
        <v>65</v>
      </c>
      <c r="I9" s="2" t="s">
        <v>676</v>
      </c>
      <c r="J9" s="2"/>
      <c r="K9" s="2" t="s">
        <v>677</v>
      </c>
    </row>
    <row r="10" spans="1:26" ht="28">
      <c r="A10" s="2" t="s">
        <v>684</v>
      </c>
      <c r="B10" s="2" t="s">
        <v>148</v>
      </c>
      <c r="C10" s="3">
        <v>46151</v>
      </c>
      <c r="D10" s="2" t="s">
        <v>122</v>
      </c>
      <c r="E10" s="2" t="s">
        <v>86</v>
      </c>
      <c r="F10" s="2" t="s">
        <v>84</v>
      </c>
      <c r="G10" s="4">
        <v>18267.11</v>
      </c>
      <c r="H10" s="2" t="s">
        <v>65</v>
      </c>
      <c r="I10" s="2" t="s">
        <v>673</v>
      </c>
      <c r="J10" s="2"/>
      <c r="K10" s="2" t="s">
        <v>682</v>
      </c>
    </row>
    <row r="11" spans="1:26" ht="28">
      <c r="A11" s="2" t="s">
        <v>685</v>
      </c>
      <c r="B11" s="2" t="s">
        <v>151</v>
      </c>
      <c r="C11" s="3">
        <v>46160</v>
      </c>
      <c r="D11" s="2" t="s">
        <v>122</v>
      </c>
      <c r="E11" s="2" t="s">
        <v>99</v>
      </c>
      <c r="F11" s="2" t="s">
        <v>152</v>
      </c>
      <c r="G11" s="4">
        <v>2219.63</v>
      </c>
      <c r="H11" s="2" t="s">
        <v>75</v>
      </c>
      <c r="I11" s="2" t="s">
        <v>673</v>
      </c>
      <c r="J11" s="2"/>
      <c r="K11" s="2" t="s">
        <v>682</v>
      </c>
    </row>
    <row r="12" spans="1:26" ht="28">
      <c r="A12" s="2" t="s">
        <v>686</v>
      </c>
      <c r="B12" s="2" t="s">
        <v>172</v>
      </c>
      <c r="C12" s="3">
        <v>46155</v>
      </c>
      <c r="D12" s="2" t="s">
        <v>67</v>
      </c>
      <c r="E12" s="2" t="s">
        <v>72</v>
      </c>
      <c r="F12" s="2" t="s">
        <v>70</v>
      </c>
      <c r="G12" s="4">
        <v>22989.200000000001</v>
      </c>
      <c r="H12" s="2" t="s">
        <v>65</v>
      </c>
      <c r="I12" s="2" t="s">
        <v>676</v>
      </c>
      <c r="J12" s="2"/>
      <c r="K12" s="2" t="s">
        <v>677</v>
      </c>
    </row>
    <row r="13" spans="1:26" ht="28">
      <c r="A13" s="2" t="s">
        <v>687</v>
      </c>
      <c r="B13" s="2" t="s">
        <v>175</v>
      </c>
      <c r="C13" s="3">
        <v>46162</v>
      </c>
      <c r="D13" s="2" t="s">
        <v>177</v>
      </c>
      <c r="E13" s="2" t="s">
        <v>86</v>
      </c>
      <c r="F13" s="2" t="s">
        <v>166</v>
      </c>
      <c r="G13" s="4">
        <v>7492.38</v>
      </c>
      <c r="H13" s="2" t="s">
        <v>75</v>
      </c>
      <c r="I13" s="2" t="s">
        <v>676</v>
      </c>
      <c r="J13" s="2"/>
      <c r="K13" s="2" t="s">
        <v>688</v>
      </c>
    </row>
    <row r="14" spans="1:26" ht="28">
      <c r="A14" s="2" t="s">
        <v>689</v>
      </c>
      <c r="B14" s="2" t="s">
        <v>185</v>
      </c>
      <c r="C14" s="3">
        <v>46183</v>
      </c>
      <c r="D14" s="2" t="s">
        <v>177</v>
      </c>
      <c r="E14" s="2" t="s">
        <v>99</v>
      </c>
      <c r="F14" s="2" t="s">
        <v>78</v>
      </c>
      <c r="G14" s="4">
        <v>13288.41</v>
      </c>
      <c r="H14" s="2" t="s">
        <v>75</v>
      </c>
      <c r="I14" s="2" t="s">
        <v>676</v>
      </c>
      <c r="J14" s="2"/>
      <c r="K14" s="2" t="s">
        <v>688</v>
      </c>
    </row>
    <row r="15" spans="1:26" ht="28">
      <c r="A15" s="2" t="s">
        <v>690</v>
      </c>
      <c r="B15" s="2" t="s">
        <v>188</v>
      </c>
      <c r="C15" s="3">
        <v>46150</v>
      </c>
      <c r="D15" s="2" t="s">
        <v>177</v>
      </c>
      <c r="E15" s="2" t="s">
        <v>49</v>
      </c>
      <c r="F15" s="2" t="s">
        <v>189</v>
      </c>
      <c r="G15" s="4">
        <v>1408.77</v>
      </c>
      <c r="H15" s="2" t="s">
        <v>54</v>
      </c>
      <c r="I15" s="2" t="s">
        <v>676</v>
      </c>
      <c r="J15" s="2"/>
      <c r="K15" s="2" t="s">
        <v>688</v>
      </c>
    </row>
    <row r="16" spans="1:26" ht="28">
      <c r="A16" s="2" t="s">
        <v>691</v>
      </c>
      <c r="B16" s="2" t="s">
        <v>207</v>
      </c>
      <c r="C16" s="3">
        <v>46157</v>
      </c>
      <c r="D16" s="2" t="s">
        <v>76</v>
      </c>
      <c r="E16" s="2" t="s">
        <v>135</v>
      </c>
      <c r="F16" s="2" t="s">
        <v>208</v>
      </c>
      <c r="G16" s="4">
        <v>24037.439999999999</v>
      </c>
      <c r="H16" s="2" t="s">
        <v>54</v>
      </c>
      <c r="I16" s="2" t="s">
        <v>676</v>
      </c>
      <c r="J16" s="2"/>
      <c r="K16" s="2" t="s">
        <v>679</v>
      </c>
    </row>
    <row r="17" spans="1:11" ht="28">
      <c r="A17" s="2" t="s">
        <v>692</v>
      </c>
      <c r="B17" s="2" t="s">
        <v>218</v>
      </c>
      <c r="C17" s="3">
        <v>46175</v>
      </c>
      <c r="D17" s="2" t="s">
        <v>177</v>
      </c>
      <c r="E17" s="2" t="s">
        <v>93</v>
      </c>
      <c r="F17" s="2" t="s">
        <v>115</v>
      </c>
      <c r="G17" s="4">
        <v>1973.15</v>
      </c>
      <c r="H17" s="2" t="s">
        <v>54</v>
      </c>
      <c r="I17" s="2" t="s">
        <v>673</v>
      </c>
      <c r="J17" s="2"/>
      <c r="K17" s="2" t="s">
        <v>688</v>
      </c>
    </row>
    <row r="18" spans="1:11" ht="28">
      <c r="A18" s="2" t="s">
        <v>693</v>
      </c>
      <c r="B18" s="2" t="s">
        <v>223</v>
      </c>
      <c r="C18" s="3">
        <v>46159</v>
      </c>
      <c r="D18" s="2" t="s">
        <v>67</v>
      </c>
      <c r="E18" s="2" t="s">
        <v>99</v>
      </c>
      <c r="F18" s="2" t="s">
        <v>133</v>
      </c>
      <c r="G18" s="4">
        <v>9242.18</v>
      </c>
      <c r="H18" s="2" t="s">
        <v>75</v>
      </c>
      <c r="I18" s="2" t="s">
        <v>673</v>
      </c>
      <c r="J18" s="2"/>
      <c r="K18" s="2" t="s">
        <v>677</v>
      </c>
    </row>
    <row r="19" spans="1:11" ht="28">
      <c r="A19" s="2" t="s">
        <v>694</v>
      </c>
      <c r="B19" s="2" t="s">
        <v>234</v>
      </c>
      <c r="C19" s="3">
        <v>46154</v>
      </c>
      <c r="D19" s="2" t="s">
        <v>177</v>
      </c>
      <c r="E19" s="2" t="s">
        <v>86</v>
      </c>
      <c r="F19" s="2" t="s">
        <v>78</v>
      </c>
      <c r="G19" s="4">
        <v>13808.94</v>
      </c>
      <c r="H19" s="2" t="s">
        <v>54</v>
      </c>
      <c r="I19" s="2" t="s">
        <v>676</v>
      </c>
      <c r="J19" s="2"/>
      <c r="K19" s="2" t="s">
        <v>688</v>
      </c>
    </row>
    <row r="20" spans="1:11" ht="28">
      <c r="A20" s="2" t="s">
        <v>695</v>
      </c>
      <c r="B20" s="2" t="s">
        <v>242</v>
      </c>
      <c r="C20" s="3">
        <v>46187</v>
      </c>
      <c r="D20" s="2" t="s">
        <v>56</v>
      </c>
      <c r="E20" s="2" t="s">
        <v>49</v>
      </c>
      <c r="F20" s="2" t="s">
        <v>84</v>
      </c>
      <c r="G20" s="4">
        <v>3537.34</v>
      </c>
      <c r="H20" s="2" t="s">
        <v>54</v>
      </c>
      <c r="I20" s="2" t="s">
        <v>676</v>
      </c>
      <c r="J20" s="2"/>
      <c r="K20" s="2" t="s">
        <v>674</v>
      </c>
    </row>
    <row r="21" spans="1:11" ht="28">
      <c r="A21" s="2" t="s">
        <v>696</v>
      </c>
      <c r="B21" s="2" t="s">
        <v>252</v>
      </c>
      <c r="C21" s="3">
        <v>46171</v>
      </c>
      <c r="D21" s="2" t="s">
        <v>67</v>
      </c>
      <c r="E21" s="2" t="s">
        <v>93</v>
      </c>
      <c r="F21" s="2" t="s">
        <v>253</v>
      </c>
      <c r="G21" s="4">
        <v>15378.76</v>
      </c>
      <c r="H21" s="2" t="s">
        <v>54</v>
      </c>
      <c r="I21" s="2" t="s">
        <v>676</v>
      </c>
      <c r="J21" s="2"/>
      <c r="K21" s="2" t="s">
        <v>677</v>
      </c>
    </row>
    <row r="22" spans="1:11" ht="28">
      <c r="A22" s="2" t="s">
        <v>697</v>
      </c>
      <c r="B22" s="2" t="s">
        <v>255</v>
      </c>
      <c r="C22" s="3">
        <v>46168</v>
      </c>
      <c r="D22" s="2" t="s">
        <v>122</v>
      </c>
      <c r="E22" s="2" t="s">
        <v>157</v>
      </c>
      <c r="F22" s="2" t="s">
        <v>97</v>
      </c>
      <c r="G22" s="4">
        <v>3331.01</v>
      </c>
      <c r="H22" s="2" t="s">
        <v>65</v>
      </c>
      <c r="I22" s="2" t="s">
        <v>676</v>
      </c>
      <c r="J22" s="2"/>
      <c r="K22" s="2" t="s">
        <v>682</v>
      </c>
    </row>
    <row r="23" spans="1:11" ht="28">
      <c r="A23" s="2" t="s">
        <v>698</v>
      </c>
      <c r="B23" s="2" t="s">
        <v>258</v>
      </c>
      <c r="C23" s="3">
        <v>46174</v>
      </c>
      <c r="D23" s="2" t="s">
        <v>177</v>
      </c>
      <c r="E23" s="2" t="s">
        <v>103</v>
      </c>
      <c r="F23" s="2" t="s">
        <v>208</v>
      </c>
      <c r="G23" s="4">
        <v>1932.27</v>
      </c>
      <c r="H23" s="2" t="s">
        <v>75</v>
      </c>
      <c r="I23" s="2" t="s">
        <v>676</v>
      </c>
      <c r="J23" s="2"/>
      <c r="K23" s="2" t="s">
        <v>688</v>
      </c>
    </row>
    <row r="24" spans="1:11" ht="28">
      <c r="A24" s="2" t="s">
        <v>699</v>
      </c>
      <c r="B24" s="2" t="s">
        <v>274</v>
      </c>
      <c r="C24" s="3">
        <v>46188</v>
      </c>
      <c r="D24" s="2" t="s">
        <v>122</v>
      </c>
      <c r="E24" s="2" t="s">
        <v>162</v>
      </c>
      <c r="F24" s="2" t="s">
        <v>70</v>
      </c>
      <c r="G24" s="4">
        <v>11332.91</v>
      </c>
      <c r="H24" s="2" t="s">
        <v>75</v>
      </c>
      <c r="I24" s="2" t="s">
        <v>676</v>
      </c>
      <c r="J24" s="2"/>
      <c r="K24" s="2" t="s">
        <v>682</v>
      </c>
    </row>
    <row r="25" spans="1:11" ht="28">
      <c r="A25" s="2" t="s">
        <v>700</v>
      </c>
      <c r="B25" s="2" t="s">
        <v>276</v>
      </c>
      <c r="C25" s="3">
        <v>46144</v>
      </c>
      <c r="D25" s="2" t="s">
        <v>76</v>
      </c>
      <c r="E25" s="2" t="s">
        <v>99</v>
      </c>
      <c r="F25" s="2" t="s">
        <v>78</v>
      </c>
      <c r="G25" s="4">
        <v>3477.11</v>
      </c>
      <c r="H25" s="2" t="s">
        <v>54</v>
      </c>
      <c r="I25" s="2" t="s">
        <v>676</v>
      </c>
      <c r="J25" s="2"/>
      <c r="K25" s="2" t="s">
        <v>679</v>
      </c>
    </row>
    <row r="26" spans="1:11" ht="28">
      <c r="A26" s="2" t="s">
        <v>701</v>
      </c>
      <c r="B26" s="2" t="s">
        <v>295</v>
      </c>
      <c r="C26" s="3">
        <v>46183</v>
      </c>
      <c r="D26" s="2" t="s">
        <v>56</v>
      </c>
      <c r="E26" s="2" t="s">
        <v>162</v>
      </c>
      <c r="F26" s="2" t="s">
        <v>84</v>
      </c>
      <c r="G26" s="4">
        <v>16690.62</v>
      </c>
      <c r="H26" s="2" t="s">
        <v>65</v>
      </c>
      <c r="I26" s="2" t="s">
        <v>676</v>
      </c>
      <c r="J26" s="2"/>
      <c r="K26" s="2" t="s">
        <v>674</v>
      </c>
    </row>
    <row r="27" spans="1:11" ht="28">
      <c r="A27" s="2" t="s">
        <v>702</v>
      </c>
      <c r="B27" s="2" t="s">
        <v>304</v>
      </c>
      <c r="C27" s="3">
        <v>46184</v>
      </c>
      <c r="D27" s="2" t="s">
        <v>177</v>
      </c>
      <c r="E27" s="2" t="s">
        <v>162</v>
      </c>
      <c r="F27" s="2" t="s">
        <v>155</v>
      </c>
      <c r="G27" s="4">
        <v>4442.8900000000003</v>
      </c>
      <c r="H27" s="2" t="s">
        <v>65</v>
      </c>
      <c r="I27" s="2" t="s">
        <v>676</v>
      </c>
      <c r="J27" s="2"/>
      <c r="K27" s="2" t="s">
        <v>688</v>
      </c>
    </row>
    <row r="28" spans="1:11" ht="28">
      <c r="A28" s="2" t="s">
        <v>703</v>
      </c>
      <c r="B28" s="2" t="s">
        <v>307</v>
      </c>
      <c r="C28" s="3">
        <v>46179</v>
      </c>
      <c r="D28" s="2" t="s">
        <v>67</v>
      </c>
      <c r="E28" s="2" t="s">
        <v>49</v>
      </c>
      <c r="F28" s="2" t="s">
        <v>133</v>
      </c>
      <c r="G28" s="4">
        <v>835.55</v>
      </c>
      <c r="H28" s="2" t="s">
        <v>75</v>
      </c>
      <c r="I28" s="2" t="s">
        <v>676</v>
      </c>
      <c r="J28" s="2"/>
      <c r="K28" s="2" t="s">
        <v>677</v>
      </c>
    </row>
    <row r="29" spans="1:11" ht="28">
      <c r="A29" s="2" t="s">
        <v>704</v>
      </c>
      <c r="B29" s="2" t="s">
        <v>311</v>
      </c>
      <c r="C29" s="3">
        <v>46175</v>
      </c>
      <c r="D29" s="2" t="s">
        <v>56</v>
      </c>
      <c r="E29" s="2" t="s">
        <v>271</v>
      </c>
      <c r="F29" s="2" t="s">
        <v>189</v>
      </c>
      <c r="G29" s="4">
        <v>3867.78</v>
      </c>
      <c r="H29" s="2" t="s">
        <v>65</v>
      </c>
      <c r="I29" s="2" t="s">
        <v>673</v>
      </c>
      <c r="J29" s="2"/>
      <c r="K29" s="2" t="s">
        <v>674</v>
      </c>
    </row>
    <row r="30" spans="1:11" ht="28">
      <c r="A30" s="2" t="s">
        <v>705</v>
      </c>
      <c r="B30" s="2" t="s">
        <v>314</v>
      </c>
      <c r="C30" s="3">
        <v>46147</v>
      </c>
      <c r="D30" s="2" t="s">
        <v>122</v>
      </c>
      <c r="E30" s="2" t="s">
        <v>61</v>
      </c>
      <c r="F30" s="2" t="s">
        <v>78</v>
      </c>
      <c r="G30" s="4">
        <v>23193.11</v>
      </c>
      <c r="H30" s="2" t="s">
        <v>75</v>
      </c>
      <c r="I30" s="2" t="s">
        <v>676</v>
      </c>
      <c r="J30" s="2"/>
      <c r="K30" s="2" t="s">
        <v>682</v>
      </c>
    </row>
    <row r="31" spans="1:11" ht="28">
      <c r="A31" s="2" t="s">
        <v>706</v>
      </c>
      <c r="B31" s="2" t="s">
        <v>316</v>
      </c>
      <c r="C31" s="3">
        <v>46149</v>
      </c>
      <c r="D31" s="2" t="s">
        <v>56</v>
      </c>
      <c r="E31" s="2" t="s">
        <v>290</v>
      </c>
      <c r="F31" s="2" t="s">
        <v>204</v>
      </c>
      <c r="G31" s="4">
        <v>3065.23</v>
      </c>
      <c r="H31" s="2" t="s">
        <v>54</v>
      </c>
      <c r="I31" s="2" t="s">
        <v>676</v>
      </c>
      <c r="J31" s="2"/>
      <c r="K31" s="2" t="s">
        <v>674</v>
      </c>
    </row>
    <row r="32" spans="1:11" ht="28">
      <c r="A32" s="2" t="s">
        <v>707</v>
      </c>
      <c r="B32" s="2" t="s">
        <v>319</v>
      </c>
      <c r="C32" s="3">
        <v>46148</v>
      </c>
      <c r="D32" s="2" t="s">
        <v>122</v>
      </c>
      <c r="E32" s="2" t="s">
        <v>157</v>
      </c>
      <c r="F32" s="2" t="s">
        <v>133</v>
      </c>
      <c r="G32" s="4">
        <v>14484.88</v>
      </c>
      <c r="H32" s="2" t="s">
        <v>65</v>
      </c>
      <c r="I32" s="2" t="s">
        <v>673</v>
      </c>
      <c r="J32" s="2"/>
      <c r="K32" s="2" t="s">
        <v>682</v>
      </c>
    </row>
    <row r="33" spans="1:11" ht="28">
      <c r="A33" s="2" t="s">
        <v>708</v>
      </c>
      <c r="B33" s="2" t="s">
        <v>328</v>
      </c>
      <c r="C33" s="3">
        <v>46183</v>
      </c>
      <c r="D33" s="2" t="s">
        <v>67</v>
      </c>
      <c r="E33" s="2" t="s">
        <v>135</v>
      </c>
      <c r="F33" s="2" t="s">
        <v>106</v>
      </c>
      <c r="G33" s="4">
        <v>7837.35</v>
      </c>
      <c r="H33" s="2" t="s">
        <v>65</v>
      </c>
      <c r="I33" s="2" t="s">
        <v>676</v>
      </c>
      <c r="J33" s="2"/>
      <c r="K33" s="2" t="s">
        <v>677</v>
      </c>
    </row>
    <row r="34" spans="1:11" ht="28">
      <c r="A34" s="2" t="s">
        <v>709</v>
      </c>
      <c r="B34" s="2" t="s">
        <v>330</v>
      </c>
      <c r="C34" s="3">
        <v>46153</v>
      </c>
      <c r="D34" s="2" t="s">
        <v>122</v>
      </c>
      <c r="E34" s="2" t="s">
        <v>162</v>
      </c>
      <c r="F34" s="2" t="s">
        <v>133</v>
      </c>
      <c r="G34" s="4">
        <v>494.63</v>
      </c>
      <c r="H34" s="2" t="s">
        <v>75</v>
      </c>
      <c r="I34" s="2" t="s">
        <v>676</v>
      </c>
      <c r="J34" s="2"/>
      <c r="K34" s="2" t="s">
        <v>682</v>
      </c>
    </row>
    <row r="35" spans="1:11" ht="28">
      <c r="A35" s="2" t="s">
        <v>710</v>
      </c>
      <c r="B35" s="2" t="s">
        <v>359</v>
      </c>
      <c r="C35" s="3">
        <v>46152</v>
      </c>
      <c r="D35" s="2" t="s">
        <v>56</v>
      </c>
      <c r="E35" s="2" t="s">
        <v>290</v>
      </c>
      <c r="F35" s="2" t="s">
        <v>47</v>
      </c>
      <c r="G35" s="4">
        <v>23125.95</v>
      </c>
      <c r="H35" s="2" t="s">
        <v>54</v>
      </c>
      <c r="I35" s="2" t="s">
        <v>673</v>
      </c>
      <c r="J35" s="2"/>
      <c r="K35" s="2" t="s">
        <v>674</v>
      </c>
    </row>
    <row r="36" spans="1:11" ht="28">
      <c r="A36" s="2" t="s">
        <v>711</v>
      </c>
      <c r="B36" s="2" t="s">
        <v>362</v>
      </c>
      <c r="C36" s="3">
        <v>46186</v>
      </c>
      <c r="D36" s="2" t="s">
        <v>177</v>
      </c>
      <c r="E36" s="2" t="s">
        <v>86</v>
      </c>
      <c r="F36" s="2" t="s">
        <v>204</v>
      </c>
      <c r="G36" s="4">
        <v>1565.72</v>
      </c>
      <c r="H36" s="2" t="s">
        <v>65</v>
      </c>
      <c r="I36" s="2" t="s">
        <v>673</v>
      </c>
      <c r="J36" s="2"/>
      <c r="K36" s="2" t="s">
        <v>688</v>
      </c>
    </row>
    <row r="37" spans="1:11" ht="28">
      <c r="A37" s="2" t="s">
        <v>712</v>
      </c>
      <c r="B37" s="2" t="s">
        <v>373</v>
      </c>
      <c r="C37" s="3">
        <v>46150</v>
      </c>
      <c r="D37" s="2" t="s">
        <v>122</v>
      </c>
      <c r="E37" s="2" t="s">
        <v>99</v>
      </c>
      <c r="F37" s="2" t="s">
        <v>106</v>
      </c>
      <c r="G37" s="4">
        <v>21917</v>
      </c>
      <c r="H37" s="2" t="s">
        <v>75</v>
      </c>
      <c r="I37" s="2" t="s">
        <v>676</v>
      </c>
      <c r="J37" s="2"/>
      <c r="K37" s="2" t="s">
        <v>682</v>
      </c>
    </row>
    <row r="38" spans="1:11" ht="28">
      <c r="A38" s="2" t="s">
        <v>713</v>
      </c>
      <c r="B38" s="2" t="s">
        <v>379</v>
      </c>
      <c r="C38" s="3">
        <v>46171</v>
      </c>
      <c r="D38" s="2" t="s">
        <v>76</v>
      </c>
      <c r="E38" s="2" t="s">
        <v>86</v>
      </c>
      <c r="F38" s="2" t="s">
        <v>119</v>
      </c>
      <c r="G38" s="4">
        <v>19110.02</v>
      </c>
      <c r="H38" s="2" t="s">
        <v>65</v>
      </c>
      <c r="I38" s="2" t="s">
        <v>676</v>
      </c>
      <c r="J38" s="2"/>
      <c r="K38" s="2" t="s">
        <v>679</v>
      </c>
    </row>
    <row r="39" spans="1:11" ht="28">
      <c r="A39" s="2" t="s">
        <v>714</v>
      </c>
      <c r="B39" s="2" t="s">
        <v>383</v>
      </c>
      <c r="C39" s="3">
        <v>46185</v>
      </c>
      <c r="D39" s="2" t="s">
        <v>56</v>
      </c>
      <c r="E39" s="2" t="s">
        <v>72</v>
      </c>
      <c r="F39" s="2" t="s">
        <v>84</v>
      </c>
      <c r="G39" s="4">
        <v>13330.94</v>
      </c>
      <c r="H39" s="2" t="s">
        <v>54</v>
      </c>
      <c r="I39" s="2" t="s">
        <v>676</v>
      </c>
      <c r="J39" s="2"/>
      <c r="K39" s="2" t="s">
        <v>674</v>
      </c>
    </row>
    <row r="40" spans="1:11" ht="28">
      <c r="A40" s="2" t="s">
        <v>715</v>
      </c>
      <c r="B40" s="2" t="s">
        <v>385</v>
      </c>
      <c r="C40" s="3">
        <v>46159</v>
      </c>
      <c r="D40" s="2" t="s">
        <v>76</v>
      </c>
      <c r="E40" s="2" t="s">
        <v>103</v>
      </c>
      <c r="F40" s="2" t="s">
        <v>84</v>
      </c>
      <c r="G40" s="4">
        <v>2407.4</v>
      </c>
      <c r="H40" s="2" t="s">
        <v>65</v>
      </c>
      <c r="I40" s="2" t="s">
        <v>676</v>
      </c>
      <c r="J40" s="2"/>
      <c r="K40" s="2" t="s">
        <v>679</v>
      </c>
    </row>
    <row r="41" spans="1:11" ht="28">
      <c r="A41" s="2" t="s">
        <v>716</v>
      </c>
      <c r="B41" s="2" t="s">
        <v>390</v>
      </c>
      <c r="C41" s="3">
        <v>46168</v>
      </c>
      <c r="D41" s="2" t="s">
        <v>56</v>
      </c>
      <c r="E41" s="2" t="s">
        <v>49</v>
      </c>
      <c r="F41" s="2" t="s">
        <v>376</v>
      </c>
      <c r="G41" s="4">
        <v>11201.21</v>
      </c>
      <c r="H41" s="2" t="s">
        <v>54</v>
      </c>
      <c r="I41" s="2" t="s">
        <v>676</v>
      </c>
      <c r="J41" s="2"/>
      <c r="K41" s="2" t="s">
        <v>674</v>
      </c>
    </row>
    <row r="42" spans="1:11" ht="28">
      <c r="A42" s="2" t="s">
        <v>717</v>
      </c>
      <c r="B42" s="2" t="s">
        <v>414</v>
      </c>
      <c r="C42" s="3">
        <v>46170</v>
      </c>
      <c r="D42" s="2" t="s">
        <v>122</v>
      </c>
      <c r="E42" s="2" t="s">
        <v>162</v>
      </c>
      <c r="F42" s="2" t="s">
        <v>376</v>
      </c>
      <c r="G42" s="4">
        <v>24324.33</v>
      </c>
      <c r="H42" s="2" t="s">
        <v>54</v>
      </c>
      <c r="I42" s="2" t="s">
        <v>673</v>
      </c>
      <c r="J42" s="2"/>
      <c r="K42" s="2" t="s">
        <v>682</v>
      </c>
    </row>
    <row r="43" spans="1:11" ht="28">
      <c r="A43" s="2" t="s">
        <v>718</v>
      </c>
      <c r="B43" s="2" t="s">
        <v>419</v>
      </c>
      <c r="C43" s="3">
        <v>46145</v>
      </c>
      <c r="D43" s="2" t="s">
        <v>67</v>
      </c>
      <c r="E43" s="2" t="s">
        <v>93</v>
      </c>
      <c r="F43" s="2" t="s">
        <v>106</v>
      </c>
      <c r="G43" s="4">
        <v>4546.2700000000004</v>
      </c>
      <c r="H43" s="2" t="s">
        <v>75</v>
      </c>
      <c r="I43" s="2" t="s">
        <v>676</v>
      </c>
      <c r="J43" s="2"/>
      <c r="K43" s="2" t="s">
        <v>677</v>
      </c>
    </row>
    <row r="44" spans="1:11" ht="28">
      <c r="A44" s="2" t="s">
        <v>719</v>
      </c>
      <c r="B44" s="2" t="s">
        <v>421</v>
      </c>
      <c r="C44" s="3">
        <v>46186</v>
      </c>
      <c r="D44" s="2" t="s">
        <v>76</v>
      </c>
      <c r="E44" s="2" t="s">
        <v>157</v>
      </c>
      <c r="F44" s="2" t="s">
        <v>253</v>
      </c>
      <c r="G44" s="4">
        <v>21092.959999999999</v>
      </c>
      <c r="H44" s="2" t="s">
        <v>54</v>
      </c>
      <c r="I44" s="2" t="s">
        <v>676</v>
      </c>
      <c r="J44" s="2"/>
      <c r="K44" s="2" t="s">
        <v>679</v>
      </c>
    </row>
    <row r="45" spans="1:11" ht="28">
      <c r="A45" s="2" t="s">
        <v>720</v>
      </c>
      <c r="B45" s="2" t="s">
        <v>440</v>
      </c>
      <c r="C45" s="3">
        <v>46187</v>
      </c>
      <c r="D45" s="2" t="s">
        <v>67</v>
      </c>
      <c r="E45" s="2" t="s">
        <v>86</v>
      </c>
      <c r="F45" s="2" t="s">
        <v>111</v>
      </c>
      <c r="G45" s="4">
        <v>20934.3</v>
      </c>
      <c r="H45" s="2" t="s">
        <v>65</v>
      </c>
      <c r="I45" s="2" t="s">
        <v>676</v>
      </c>
      <c r="J45" s="2"/>
      <c r="K45" s="2" t="s">
        <v>677</v>
      </c>
    </row>
    <row r="46" spans="1:11" ht="28">
      <c r="A46" s="2" t="s">
        <v>721</v>
      </c>
      <c r="B46" s="2" t="s">
        <v>451</v>
      </c>
      <c r="C46" s="3">
        <v>46160</v>
      </c>
      <c r="D46" s="2" t="s">
        <v>67</v>
      </c>
      <c r="E46" s="2" t="s">
        <v>135</v>
      </c>
      <c r="F46" s="2" t="s">
        <v>59</v>
      </c>
      <c r="G46" s="4">
        <v>4591.71</v>
      </c>
      <c r="H46" s="2" t="s">
        <v>75</v>
      </c>
      <c r="I46" s="2" t="s">
        <v>676</v>
      </c>
      <c r="J46" s="2"/>
      <c r="K46" s="2" t="s">
        <v>677</v>
      </c>
    </row>
    <row r="47" spans="1:11" ht="28">
      <c r="A47" s="2" t="s">
        <v>722</v>
      </c>
      <c r="B47" s="2" t="s">
        <v>461</v>
      </c>
      <c r="C47" s="3">
        <v>46161</v>
      </c>
      <c r="D47" s="2" t="s">
        <v>67</v>
      </c>
      <c r="E47" s="2" t="s">
        <v>271</v>
      </c>
      <c r="F47" s="2" t="s">
        <v>201</v>
      </c>
      <c r="G47" s="4">
        <v>404.44</v>
      </c>
      <c r="H47" s="2" t="s">
        <v>54</v>
      </c>
      <c r="I47" s="2" t="s">
        <v>676</v>
      </c>
      <c r="J47" s="2"/>
      <c r="K47" s="2" t="s">
        <v>677</v>
      </c>
    </row>
    <row r="48" spans="1:11" ht="28">
      <c r="A48" s="2" t="s">
        <v>723</v>
      </c>
      <c r="B48" s="2" t="s">
        <v>466</v>
      </c>
      <c r="C48" s="3">
        <v>46175</v>
      </c>
      <c r="D48" s="2" t="s">
        <v>76</v>
      </c>
      <c r="E48" s="2" t="s">
        <v>162</v>
      </c>
      <c r="F48" s="2" t="s">
        <v>166</v>
      </c>
      <c r="G48" s="4">
        <v>34652.22</v>
      </c>
      <c r="H48" s="2" t="s">
        <v>75</v>
      </c>
      <c r="I48" s="2" t="s">
        <v>676</v>
      </c>
      <c r="J48" s="2"/>
      <c r="K48" s="2" t="s">
        <v>679</v>
      </c>
    </row>
    <row r="49" spans="1:11" ht="28">
      <c r="A49" s="2" t="s">
        <v>724</v>
      </c>
      <c r="B49" s="2" t="s">
        <v>475</v>
      </c>
      <c r="C49" s="3">
        <v>46150</v>
      </c>
      <c r="D49" s="2" t="s">
        <v>67</v>
      </c>
      <c r="E49" s="2" t="s">
        <v>72</v>
      </c>
      <c r="F49" s="2" t="s">
        <v>119</v>
      </c>
      <c r="G49" s="4">
        <v>2669.59</v>
      </c>
      <c r="H49" s="2" t="s">
        <v>54</v>
      </c>
      <c r="I49" s="2" t="s">
        <v>676</v>
      </c>
      <c r="J49" s="2"/>
      <c r="K49" s="2" t="s">
        <v>677</v>
      </c>
    </row>
    <row r="50" spans="1:11" ht="28">
      <c r="A50" s="2" t="s">
        <v>725</v>
      </c>
      <c r="B50" s="2" t="s">
        <v>489</v>
      </c>
      <c r="C50" s="3">
        <v>46185</v>
      </c>
      <c r="D50" s="2" t="s">
        <v>56</v>
      </c>
      <c r="E50" s="2" t="s">
        <v>99</v>
      </c>
      <c r="F50" s="2" t="s">
        <v>78</v>
      </c>
      <c r="G50" s="4">
        <v>22524.29</v>
      </c>
      <c r="H50" s="2" t="s">
        <v>54</v>
      </c>
      <c r="I50" s="2" t="s">
        <v>676</v>
      </c>
      <c r="J50" s="2"/>
      <c r="K50" s="2" t="s">
        <v>674</v>
      </c>
    </row>
    <row r="51" spans="1:11" ht="28">
      <c r="A51" s="2" t="s">
        <v>726</v>
      </c>
      <c r="B51" s="2" t="s">
        <v>528</v>
      </c>
      <c r="C51" s="3">
        <v>46158</v>
      </c>
      <c r="D51" s="2" t="s">
        <v>177</v>
      </c>
      <c r="E51" s="2" t="s">
        <v>61</v>
      </c>
      <c r="F51" s="2" t="s">
        <v>133</v>
      </c>
      <c r="G51" s="4">
        <v>17371.7</v>
      </c>
      <c r="H51" s="2" t="s">
        <v>54</v>
      </c>
      <c r="I51" s="2" t="s">
        <v>676</v>
      </c>
      <c r="J51" s="2"/>
      <c r="K51" s="2" t="s">
        <v>688</v>
      </c>
    </row>
    <row r="52" spans="1:11">
      <c r="A52" s="2"/>
      <c r="B52" s="2"/>
      <c r="C52" s="2"/>
      <c r="D52" s="2"/>
      <c r="E52" s="2"/>
      <c r="F52" s="2"/>
      <c r="G52" s="2"/>
      <c r="H52" s="2"/>
      <c r="I52" s="2"/>
      <c r="J52" s="2"/>
      <c r="K52" s="2"/>
    </row>
    <row r="53" spans="1:11">
      <c r="A53" s="2"/>
      <c r="B53" s="2"/>
      <c r="C53" s="2"/>
      <c r="D53" s="2"/>
      <c r="E53" s="2"/>
      <c r="F53" s="2"/>
      <c r="G53" s="2"/>
      <c r="H53" s="2"/>
      <c r="I53" s="2"/>
      <c r="J53" s="2"/>
      <c r="K53" s="2"/>
    </row>
    <row r="54" spans="1:11">
      <c r="A54" s="2"/>
      <c r="B54" s="2"/>
      <c r="C54" s="2"/>
      <c r="D54" s="2"/>
      <c r="E54" s="2"/>
      <c r="F54" s="2"/>
      <c r="G54" s="2"/>
      <c r="H54" s="2"/>
      <c r="I54" s="2"/>
      <c r="J54" s="2"/>
      <c r="K54" s="2"/>
    </row>
    <row r="55" spans="1:11">
      <c r="A55" s="2"/>
      <c r="B55" s="2"/>
      <c r="C55" s="2"/>
      <c r="D55" s="2"/>
      <c r="E55" s="2"/>
      <c r="F55" s="2"/>
      <c r="G55" s="2"/>
      <c r="H55" s="2"/>
      <c r="I55" s="2"/>
      <c r="J55" s="2"/>
      <c r="K55" s="2"/>
    </row>
    <row r="56" spans="1:11">
      <c r="A56" s="2"/>
      <c r="B56" s="2"/>
      <c r="C56" s="2"/>
      <c r="D56" s="2"/>
      <c r="E56" s="2"/>
      <c r="F56" s="2"/>
      <c r="G56" s="2"/>
      <c r="H56" s="2"/>
      <c r="I56" s="2"/>
      <c r="J56" s="2"/>
      <c r="K56" s="2"/>
    </row>
    <row r="57" spans="1:11">
      <c r="A57" s="2"/>
      <c r="B57" s="2"/>
      <c r="C57" s="2"/>
      <c r="D57" s="2"/>
      <c r="E57" s="2"/>
      <c r="F57" s="2"/>
      <c r="G57" s="2"/>
      <c r="H57" s="2"/>
      <c r="I57" s="2"/>
      <c r="J57" s="2"/>
      <c r="K57" s="2"/>
    </row>
    <row r="58" spans="1:11">
      <c r="A58" s="2"/>
      <c r="B58" s="2"/>
      <c r="C58" s="2"/>
      <c r="D58" s="2"/>
      <c r="E58" s="2"/>
      <c r="F58" s="2"/>
      <c r="G58" s="2"/>
      <c r="H58" s="2"/>
      <c r="I58" s="2"/>
      <c r="J58" s="2"/>
      <c r="K58" s="2"/>
    </row>
    <row r="59" spans="1:11">
      <c r="A59" s="2"/>
      <c r="B59" s="2"/>
      <c r="C59" s="2"/>
      <c r="D59" s="2"/>
      <c r="E59" s="2"/>
      <c r="F59" s="2"/>
      <c r="G59" s="2"/>
      <c r="H59" s="2"/>
      <c r="I59" s="2"/>
      <c r="J59" s="2"/>
      <c r="K59" s="2"/>
    </row>
    <row r="60" spans="1:11">
      <c r="A60" s="2"/>
      <c r="B60" s="2"/>
      <c r="C60" s="2"/>
      <c r="D60" s="2"/>
      <c r="E60" s="2"/>
      <c r="F60" s="2"/>
      <c r="G60" s="2"/>
      <c r="H60" s="2"/>
      <c r="I60" s="2"/>
      <c r="J60" s="2"/>
      <c r="K60" s="2"/>
    </row>
    <row r="61" spans="1:11">
      <c r="A61" s="2"/>
      <c r="B61" s="2"/>
      <c r="C61" s="2"/>
      <c r="D61" s="2"/>
      <c r="E61" s="2"/>
      <c r="F61" s="2"/>
      <c r="G61" s="2"/>
      <c r="H61" s="2"/>
      <c r="I61" s="2"/>
      <c r="J61" s="2"/>
      <c r="K61" s="2"/>
    </row>
    <row r="62" spans="1:11">
      <c r="A62" s="2"/>
      <c r="B62" s="2"/>
      <c r="C62" s="2"/>
      <c r="D62" s="2"/>
      <c r="E62" s="2"/>
      <c r="F62" s="2"/>
      <c r="G62" s="2"/>
      <c r="H62" s="2"/>
      <c r="I62" s="2"/>
      <c r="J62" s="2"/>
      <c r="K62" s="2"/>
    </row>
    <row r="63" spans="1:11">
      <c r="A63" s="2"/>
      <c r="B63" s="2"/>
      <c r="C63" s="2"/>
      <c r="D63" s="2"/>
      <c r="E63" s="2"/>
      <c r="F63" s="2"/>
      <c r="G63" s="2"/>
      <c r="H63" s="2"/>
      <c r="I63" s="2"/>
      <c r="J63" s="2"/>
      <c r="K63" s="2"/>
    </row>
    <row r="64" spans="1:11">
      <c r="A64" s="2"/>
      <c r="B64" s="2"/>
      <c r="C64" s="2"/>
      <c r="D64" s="2"/>
      <c r="E64" s="2"/>
      <c r="F64" s="2"/>
      <c r="G64" s="2"/>
      <c r="H64" s="2"/>
      <c r="I64" s="2"/>
      <c r="J64" s="2"/>
      <c r="K64" s="2"/>
    </row>
    <row r="65" spans="1:11">
      <c r="A65" s="2"/>
      <c r="B65" s="2"/>
      <c r="C65" s="2"/>
      <c r="D65" s="2"/>
      <c r="E65" s="2"/>
      <c r="F65" s="2"/>
      <c r="G65" s="2"/>
      <c r="H65" s="2"/>
      <c r="I65" s="2"/>
      <c r="J65" s="2"/>
      <c r="K65" s="2"/>
    </row>
    <row r="66" spans="1:11">
      <c r="A66" s="2"/>
      <c r="B66" s="2"/>
      <c r="C66" s="2"/>
      <c r="D66" s="2"/>
      <c r="E66" s="2"/>
      <c r="F66" s="2"/>
      <c r="G66" s="2"/>
      <c r="H66" s="2"/>
      <c r="I66" s="2"/>
      <c r="J66" s="2"/>
      <c r="K66" s="2"/>
    </row>
    <row r="67" spans="1:11">
      <c r="A67" s="2"/>
      <c r="B67" s="2"/>
      <c r="C67" s="2"/>
      <c r="D67" s="2"/>
      <c r="E67" s="2"/>
      <c r="F67" s="2"/>
      <c r="G67" s="2"/>
      <c r="H67" s="2"/>
      <c r="I67" s="2"/>
      <c r="J67" s="2"/>
      <c r="K67" s="2"/>
    </row>
    <row r="68" spans="1:11">
      <c r="A68" s="2"/>
      <c r="B68" s="2"/>
      <c r="C68" s="2"/>
      <c r="D68" s="2"/>
      <c r="E68" s="2"/>
      <c r="F68" s="2"/>
      <c r="G68" s="2"/>
      <c r="H68" s="2"/>
      <c r="I68" s="2"/>
      <c r="J68" s="2"/>
      <c r="K68" s="2"/>
    </row>
    <row r="69" spans="1:11">
      <c r="A69" s="2"/>
      <c r="B69" s="2"/>
      <c r="C69" s="2"/>
      <c r="D69" s="2"/>
      <c r="E69" s="2"/>
      <c r="F69" s="2"/>
      <c r="G69" s="2"/>
      <c r="H69" s="2"/>
      <c r="I69" s="2"/>
      <c r="J69" s="2"/>
      <c r="K69" s="2"/>
    </row>
    <row r="70" spans="1:11">
      <c r="A70" s="2"/>
      <c r="B70" s="2"/>
      <c r="C70" s="2"/>
      <c r="D70" s="2"/>
      <c r="E70" s="2"/>
      <c r="F70" s="2"/>
      <c r="G70" s="2"/>
      <c r="H70" s="2"/>
      <c r="I70" s="2"/>
      <c r="J70" s="2"/>
      <c r="K70" s="2"/>
    </row>
    <row r="71" spans="1:11">
      <c r="A71" s="2"/>
      <c r="B71" s="2"/>
      <c r="C71" s="2"/>
      <c r="D71" s="2"/>
      <c r="E71" s="2"/>
      <c r="F71" s="2"/>
      <c r="G71" s="2"/>
      <c r="H71" s="2"/>
      <c r="I71" s="2"/>
      <c r="J71" s="2"/>
      <c r="K71" s="2"/>
    </row>
    <row r="72" spans="1:11">
      <c r="A72" s="2"/>
      <c r="B72" s="2"/>
      <c r="C72" s="2"/>
      <c r="D72" s="2"/>
      <c r="E72" s="2"/>
      <c r="F72" s="2"/>
      <c r="G72" s="2"/>
      <c r="H72" s="2"/>
      <c r="I72" s="2"/>
      <c r="J72" s="2"/>
      <c r="K72" s="2"/>
    </row>
    <row r="73" spans="1:11">
      <c r="A73" s="2"/>
      <c r="B73" s="2"/>
      <c r="C73" s="2"/>
      <c r="D73" s="2"/>
      <c r="E73" s="2"/>
      <c r="F73" s="2"/>
      <c r="G73" s="2"/>
      <c r="H73" s="2"/>
      <c r="I73" s="2"/>
      <c r="J73" s="2"/>
      <c r="K73" s="2"/>
    </row>
    <row r="74" spans="1:11">
      <c r="A74" s="2"/>
      <c r="B74" s="2"/>
      <c r="C74" s="2"/>
      <c r="D74" s="2"/>
      <c r="E74" s="2"/>
      <c r="F74" s="2"/>
      <c r="G74" s="2"/>
      <c r="H74" s="2"/>
      <c r="I74" s="2"/>
      <c r="J74" s="2"/>
      <c r="K74" s="2"/>
    </row>
    <row r="75" spans="1:11">
      <c r="A75" s="2"/>
      <c r="B75" s="2"/>
      <c r="C75" s="2"/>
      <c r="D75" s="2"/>
      <c r="E75" s="2"/>
      <c r="F75" s="2"/>
      <c r="G75" s="2"/>
      <c r="H75" s="2"/>
      <c r="I75" s="2"/>
      <c r="J75" s="2"/>
      <c r="K75" s="2"/>
    </row>
    <row r="76" spans="1:11">
      <c r="A76" s="2"/>
      <c r="B76" s="2"/>
      <c r="C76" s="2"/>
      <c r="D76" s="2"/>
      <c r="E76" s="2"/>
      <c r="F76" s="2"/>
      <c r="G76" s="2"/>
      <c r="H76" s="2"/>
      <c r="I76" s="2"/>
      <c r="J76" s="2"/>
      <c r="K76" s="2"/>
    </row>
    <row r="77" spans="1:11">
      <c r="A77" s="2"/>
      <c r="B77" s="2"/>
      <c r="C77" s="2"/>
      <c r="D77" s="2"/>
      <c r="E77" s="2"/>
      <c r="F77" s="2"/>
      <c r="G77" s="2"/>
      <c r="H77" s="2"/>
      <c r="I77" s="2"/>
      <c r="J77" s="2"/>
      <c r="K77" s="2"/>
    </row>
    <row r="78" spans="1:11">
      <c r="A78" s="2"/>
      <c r="B78" s="2"/>
      <c r="C78" s="2"/>
      <c r="D78" s="2"/>
      <c r="E78" s="2"/>
      <c r="F78" s="2"/>
      <c r="G78" s="2"/>
      <c r="H78" s="2"/>
      <c r="I78" s="2"/>
      <c r="J78" s="2"/>
      <c r="K78" s="2"/>
    </row>
    <row r="79" spans="1:11">
      <c r="A79" s="2"/>
      <c r="B79" s="2"/>
      <c r="C79" s="2"/>
      <c r="D79" s="2"/>
      <c r="E79" s="2"/>
      <c r="F79" s="2"/>
      <c r="G79" s="2"/>
      <c r="H79" s="2"/>
      <c r="I79" s="2"/>
      <c r="J79" s="2"/>
      <c r="K79" s="2"/>
    </row>
    <row r="80" spans="1:11">
      <c r="A80" s="2"/>
      <c r="B80" s="2"/>
      <c r="C80" s="2"/>
      <c r="D80" s="2"/>
      <c r="E80" s="2"/>
      <c r="F80" s="2"/>
      <c r="G80" s="2"/>
      <c r="H80" s="2"/>
      <c r="I80" s="2"/>
      <c r="J80" s="2"/>
      <c r="K80" s="2"/>
    </row>
    <row r="81" spans="1:11">
      <c r="A81" s="2"/>
      <c r="B81" s="2"/>
      <c r="C81" s="2"/>
      <c r="D81" s="2"/>
      <c r="E81" s="2"/>
      <c r="F81" s="2"/>
      <c r="G81" s="2"/>
      <c r="H81" s="2"/>
      <c r="I81" s="2"/>
      <c r="J81" s="2"/>
      <c r="K81" s="2"/>
    </row>
    <row r="82" spans="1:11">
      <c r="A82" s="2"/>
      <c r="B82" s="2"/>
      <c r="C82" s="2"/>
      <c r="D82" s="2"/>
      <c r="E82" s="2"/>
      <c r="F82" s="2"/>
      <c r="G82" s="2"/>
      <c r="H82" s="2"/>
      <c r="I82" s="2"/>
      <c r="J82" s="2"/>
      <c r="K82" s="2"/>
    </row>
    <row r="83" spans="1:11">
      <c r="A83" s="2"/>
      <c r="B83" s="2"/>
      <c r="C83" s="2"/>
      <c r="D83" s="2"/>
      <c r="E83" s="2"/>
      <c r="F83" s="2"/>
      <c r="G83" s="2"/>
      <c r="H83" s="2"/>
      <c r="I83" s="2"/>
      <c r="J83" s="2"/>
      <c r="K83" s="2"/>
    </row>
    <row r="84" spans="1:11">
      <c r="A84" s="2"/>
      <c r="B84" s="2"/>
      <c r="C84" s="2"/>
      <c r="D84" s="2"/>
      <c r="E84" s="2"/>
      <c r="F84" s="2"/>
      <c r="G84" s="2"/>
      <c r="H84" s="2"/>
      <c r="I84" s="2"/>
      <c r="J84" s="2"/>
      <c r="K84" s="2"/>
    </row>
    <row r="85" spans="1:11">
      <c r="A85" s="2"/>
      <c r="B85" s="2"/>
      <c r="C85" s="2"/>
      <c r="D85" s="2"/>
      <c r="E85" s="2"/>
      <c r="F85" s="2"/>
      <c r="G85" s="2"/>
      <c r="H85" s="2"/>
      <c r="I85" s="2"/>
      <c r="J85" s="2"/>
      <c r="K85" s="2"/>
    </row>
    <row r="86" spans="1:11">
      <c r="A86" s="2"/>
      <c r="B86" s="2"/>
      <c r="C86" s="2"/>
      <c r="D86" s="2"/>
      <c r="E86" s="2"/>
      <c r="F86" s="2"/>
      <c r="G86" s="2"/>
      <c r="H86" s="2"/>
      <c r="I86" s="2"/>
      <c r="J86" s="2"/>
      <c r="K86" s="2"/>
    </row>
    <row r="87" spans="1:11">
      <c r="A87" s="2"/>
      <c r="B87" s="2"/>
      <c r="C87" s="2"/>
      <c r="D87" s="2"/>
      <c r="E87" s="2"/>
      <c r="F87" s="2"/>
      <c r="G87" s="2"/>
      <c r="H87" s="2"/>
      <c r="I87" s="2"/>
      <c r="J87" s="2"/>
      <c r="K87" s="2"/>
    </row>
    <row r="88" spans="1:11">
      <c r="A88" s="2"/>
      <c r="B88" s="2"/>
      <c r="C88" s="2"/>
      <c r="D88" s="2"/>
      <c r="E88" s="2"/>
      <c r="F88" s="2"/>
      <c r="G88" s="2"/>
      <c r="H88" s="2"/>
      <c r="I88" s="2"/>
      <c r="J88" s="2"/>
      <c r="K88" s="2"/>
    </row>
    <row r="89" spans="1:11">
      <c r="A89" s="2"/>
      <c r="B89" s="2"/>
      <c r="C89" s="2"/>
      <c r="D89" s="2"/>
      <c r="E89" s="2"/>
      <c r="F89" s="2"/>
      <c r="G89" s="2"/>
      <c r="H89" s="2"/>
      <c r="I89" s="2"/>
      <c r="J89" s="2"/>
      <c r="K89" s="2"/>
    </row>
    <row r="90" spans="1:11">
      <c r="A90" s="2"/>
      <c r="B90" s="2"/>
      <c r="C90" s="2"/>
      <c r="D90" s="2"/>
      <c r="E90" s="2"/>
      <c r="F90" s="2"/>
      <c r="G90" s="2"/>
      <c r="H90" s="2"/>
      <c r="I90" s="2"/>
      <c r="J90" s="2"/>
      <c r="K90" s="2"/>
    </row>
    <row r="91" spans="1:11">
      <c r="A91" s="2"/>
      <c r="B91" s="2"/>
      <c r="C91" s="2"/>
      <c r="D91" s="2"/>
      <c r="E91" s="2"/>
      <c r="F91" s="2"/>
      <c r="G91" s="2"/>
      <c r="H91" s="2"/>
      <c r="I91" s="2"/>
      <c r="J91" s="2"/>
      <c r="K91" s="2"/>
    </row>
    <row r="92" spans="1:11">
      <c r="A92" s="2"/>
      <c r="B92" s="2"/>
      <c r="C92" s="2"/>
      <c r="D92" s="2"/>
      <c r="E92" s="2"/>
      <c r="F92" s="2"/>
      <c r="G92" s="2"/>
      <c r="H92" s="2"/>
      <c r="I92" s="2"/>
      <c r="J92" s="2"/>
      <c r="K92" s="2"/>
    </row>
    <row r="93" spans="1:11">
      <c r="A93" s="2"/>
      <c r="B93" s="2"/>
      <c r="C93" s="2"/>
      <c r="D93" s="2"/>
      <c r="E93" s="2"/>
      <c r="F93" s="2"/>
      <c r="G93" s="2"/>
      <c r="H93" s="2"/>
      <c r="I93" s="2"/>
      <c r="J93" s="2"/>
      <c r="K93" s="2"/>
    </row>
    <row r="94" spans="1:11">
      <c r="A94" s="2"/>
      <c r="B94" s="2"/>
      <c r="C94" s="2"/>
      <c r="D94" s="2"/>
      <c r="E94" s="2"/>
      <c r="F94" s="2"/>
      <c r="G94" s="2"/>
      <c r="H94" s="2"/>
      <c r="I94" s="2"/>
      <c r="J94" s="2"/>
      <c r="K94" s="2"/>
    </row>
    <row r="95" spans="1:11">
      <c r="A95" s="2"/>
      <c r="B95" s="2"/>
      <c r="C95" s="2"/>
      <c r="D95" s="2"/>
      <c r="E95" s="2"/>
      <c r="F95" s="2"/>
      <c r="G95" s="2"/>
      <c r="H95" s="2"/>
      <c r="I95" s="2"/>
      <c r="J95" s="2"/>
      <c r="K95" s="2"/>
    </row>
    <row r="96" spans="1:11">
      <c r="A96" s="2"/>
      <c r="B96" s="2"/>
      <c r="C96" s="2"/>
      <c r="D96" s="2"/>
      <c r="E96" s="2"/>
      <c r="F96" s="2"/>
      <c r="G96" s="2"/>
      <c r="H96" s="2"/>
      <c r="I96" s="2"/>
      <c r="J96" s="2"/>
      <c r="K96" s="2"/>
    </row>
    <row r="97" spans="1:11">
      <c r="A97" s="2"/>
      <c r="B97" s="2"/>
      <c r="C97" s="2"/>
      <c r="D97" s="2"/>
      <c r="E97" s="2"/>
      <c r="F97" s="2"/>
      <c r="G97" s="2"/>
      <c r="H97" s="2"/>
      <c r="I97" s="2"/>
      <c r="J97" s="2"/>
      <c r="K97" s="2"/>
    </row>
    <row r="98" spans="1:11">
      <c r="A98" s="2"/>
      <c r="B98" s="2"/>
      <c r="C98" s="2"/>
      <c r="D98" s="2"/>
      <c r="E98" s="2"/>
      <c r="F98" s="2"/>
      <c r="G98" s="2"/>
      <c r="H98" s="2"/>
      <c r="I98" s="2"/>
      <c r="J98" s="2"/>
      <c r="K98" s="2"/>
    </row>
    <row r="99" spans="1:11">
      <c r="A99" s="2"/>
      <c r="B99" s="2"/>
      <c r="C99" s="2"/>
      <c r="D99" s="2"/>
      <c r="E99" s="2"/>
      <c r="F99" s="2"/>
      <c r="G99" s="2"/>
      <c r="H99" s="2"/>
      <c r="I99" s="2"/>
      <c r="J99" s="2"/>
      <c r="K99" s="2"/>
    </row>
    <row r="100" spans="1:11">
      <c r="A100" s="2"/>
      <c r="B100" s="2"/>
      <c r="C100" s="2"/>
      <c r="D100" s="2"/>
      <c r="E100" s="2"/>
      <c r="F100" s="2"/>
      <c r="G100" s="2"/>
      <c r="H100" s="2"/>
      <c r="I100" s="2"/>
      <c r="J100" s="2"/>
      <c r="K100" s="2"/>
    </row>
  </sheetData>
  <mergeCells count="1">
    <mergeCell ref="A1:K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0"/>
  <sheetViews>
    <sheetView workbookViewId="0">
      <selection activeCell="D10" sqref="D10"/>
    </sheetView>
  </sheetViews>
  <sheetFormatPr defaultRowHeight="14"/>
  <cols>
    <col min="1" max="1" width="22.33203125" bestFit="1" customWidth="1"/>
    <col min="2" max="2" width="49.83203125" bestFit="1" customWidth="1"/>
    <col min="3" max="3" width="8.4140625" bestFit="1" customWidth="1"/>
    <col min="4" max="4" width="7.1640625" bestFit="1" customWidth="1"/>
    <col min="5" max="5" width="16.33203125" bestFit="1" customWidth="1"/>
    <col min="6" max="6" width="11" bestFit="1" customWidth="1"/>
    <col min="7" max="7" width="27.9140625" bestFit="1" customWidth="1"/>
    <col min="8" max="8" width="26.9140625" bestFit="1" customWidth="1"/>
    <col min="9" max="9" width="25.75" bestFit="1" customWidth="1"/>
    <col min="10" max="10" width="27.83203125" bestFit="1" customWidth="1"/>
  </cols>
  <sheetData>
    <row r="1" spans="1:26" ht="18">
      <c r="A1" s="10" t="s">
        <v>727</v>
      </c>
      <c r="B1" s="11"/>
      <c r="C1" s="11"/>
      <c r="D1" s="11"/>
      <c r="E1" s="11"/>
      <c r="F1" s="11"/>
      <c r="G1" s="11"/>
      <c r="H1" s="11"/>
      <c r="I1" s="11"/>
      <c r="J1" s="11"/>
      <c r="K1" s="8"/>
      <c r="L1" s="8"/>
      <c r="M1" s="8"/>
      <c r="N1" s="8"/>
      <c r="O1" s="8"/>
      <c r="P1" s="8"/>
      <c r="Q1" s="8"/>
      <c r="R1" s="8"/>
      <c r="S1" s="8"/>
      <c r="T1" s="8"/>
      <c r="U1" s="8"/>
      <c r="V1" s="8"/>
      <c r="W1" s="8"/>
      <c r="X1" s="8"/>
      <c r="Y1" s="8"/>
      <c r="Z1" s="8"/>
    </row>
    <row r="3" spans="1:26" ht="28">
      <c r="A3" s="1" t="s">
        <v>728</v>
      </c>
      <c r="B3" s="1" t="s">
        <v>729</v>
      </c>
      <c r="C3" s="1" t="s">
        <v>730</v>
      </c>
      <c r="D3" s="1" t="s">
        <v>731</v>
      </c>
      <c r="E3" s="1" t="s">
        <v>732</v>
      </c>
      <c r="F3" s="1" t="s">
        <v>733</v>
      </c>
      <c r="G3" s="1" t="s">
        <v>734</v>
      </c>
      <c r="H3" s="1" t="s">
        <v>735</v>
      </c>
      <c r="I3" s="1" t="s">
        <v>736</v>
      </c>
      <c r="J3" s="1" t="s">
        <v>737</v>
      </c>
    </row>
    <row r="4" spans="1:26" ht="42">
      <c r="A4" s="2" t="s">
        <v>668</v>
      </c>
      <c r="B4" s="2" t="s">
        <v>738</v>
      </c>
      <c r="C4" s="2" t="s">
        <v>739</v>
      </c>
      <c r="D4" s="2" t="s">
        <v>740</v>
      </c>
      <c r="E4" s="2" t="s">
        <v>739</v>
      </c>
      <c r="F4" s="2" t="s">
        <v>739</v>
      </c>
      <c r="G4" s="2" t="s">
        <v>741</v>
      </c>
      <c r="H4" s="2" t="s">
        <v>742</v>
      </c>
      <c r="I4" s="2" t="s">
        <v>743</v>
      </c>
      <c r="J4" s="2" t="s">
        <v>744</v>
      </c>
    </row>
    <row r="5" spans="1:26" ht="28">
      <c r="A5" s="2" t="s">
        <v>745</v>
      </c>
      <c r="B5" s="2" t="s">
        <v>746</v>
      </c>
      <c r="C5" s="2" t="s">
        <v>740</v>
      </c>
      <c r="D5" s="2" t="s">
        <v>747</v>
      </c>
      <c r="E5" s="2" t="s">
        <v>739</v>
      </c>
      <c r="F5" s="2" t="s">
        <v>747</v>
      </c>
      <c r="G5" s="2" t="s">
        <v>748</v>
      </c>
      <c r="H5" s="2" t="s">
        <v>749</v>
      </c>
      <c r="I5" s="2" t="s">
        <v>750</v>
      </c>
      <c r="J5" s="2" t="s">
        <v>751</v>
      </c>
    </row>
    <row r="6" spans="1:26" ht="28">
      <c r="A6" s="2" t="s">
        <v>64</v>
      </c>
      <c r="B6" s="2" t="s">
        <v>752</v>
      </c>
      <c r="C6" s="2" t="s">
        <v>740</v>
      </c>
      <c r="D6" s="2" t="s">
        <v>740</v>
      </c>
      <c r="E6" s="2" t="s">
        <v>740</v>
      </c>
      <c r="F6" s="2" t="s">
        <v>740</v>
      </c>
      <c r="G6" s="2" t="s">
        <v>753</v>
      </c>
      <c r="H6" s="2" t="s">
        <v>754</v>
      </c>
      <c r="I6" s="2" t="s">
        <v>755</v>
      </c>
      <c r="J6" s="2" t="s">
        <v>756</v>
      </c>
    </row>
    <row r="7" spans="1:26" ht="28">
      <c r="A7" s="2" t="s">
        <v>53</v>
      </c>
      <c r="B7" s="2" t="s">
        <v>757</v>
      </c>
      <c r="C7" s="2" t="s">
        <v>747</v>
      </c>
      <c r="D7" s="2" t="s">
        <v>740</v>
      </c>
      <c r="E7" s="2" t="s">
        <v>747</v>
      </c>
      <c r="F7" s="2" t="s">
        <v>740</v>
      </c>
      <c r="G7" s="2" t="s">
        <v>758</v>
      </c>
      <c r="H7" s="2" t="s">
        <v>759</v>
      </c>
      <c r="I7" s="2" t="s">
        <v>760</v>
      </c>
      <c r="J7" s="2" t="s">
        <v>761</v>
      </c>
    </row>
    <row r="8" spans="1:26" ht="28">
      <c r="A8" s="2" t="s">
        <v>104</v>
      </c>
      <c r="B8" s="2" t="s">
        <v>762</v>
      </c>
      <c r="C8" s="2" t="s">
        <v>747</v>
      </c>
      <c r="D8" s="2" t="s">
        <v>747</v>
      </c>
      <c r="E8" s="2" t="s">
        <v>747</v>
      </c>
      <c r="F8" s="2" t="s">
        <v>747</v>
      </c>
      <c r="G8" s="2" t="s">
        <v>763</v>
      </c>
      <c r="H8" s="2" t="s">
        <v>764</v>
      </c>
      <c r="I8" s="2" t="s">
        <v>765</v>
      </c>
      <c r="J8" s="2" t="s">
        <v>766</v>
      </c>
    </row>
    <row r="9" spans="1:26" ht="28">
      <c r="A9" s="2" t="s">
        <v>108</v>
      </c>
      <c r="B9" s="2" t="s">
        <v>767</v>
      </c>
      <c r="C9" s="2" t="s">
        <v>747</v>
      </c>
      <c r="D9" s="2" t="s">
        <v>747</v>
      </c>
      <c r="E9" s="2" t="s">
        <v>768</v>
      </c>
      <c r="F9" s="2" t="s">
        <v>747</v>
      </c>
      <c r="G9" s="2" t="s">
        <v>769</v>
      </c>
      <c r="H9" s="2" t="s">
        <v>770</v>
      </c>
      <c r="I9" s="2" t="s">
        <v>771</v>
      </c>
      <c r="J9" s="2" t="s">
        <v>772</v>
      </c>
    </row>
    <row r="10" spans="1:26" ht="28">
      <c r="A10" s="2" t="s">
        <v>773</v>
      </c>
      <c r="B10" s="2" t="s">
        <v>774</v>
      </c>
      <c r="C10" s="2" t="s">
        <v>740</v>
      </c>
      <c r="D10" s="2" t="s">
        <v>747</v>
      </c>
      <c r="E10" s="2" t="s">
        <v>740</v>
      </c>
      <c r="F10" s="2" t="s">
        <v>740</v>
      </c>
      <c r="G10" s="2" t="s">
        <v>775</v>
      </c>
      <c r="H10" s="2" t="s">
        <v>776</v>
      </c>
      <c r="I10" s="2" t="s">
        <v>777</v>
      </c>
      <c r="J10" s="2" t="s">
        <v>778</v>
      </c>
    </row>
    <row r="11" spans="1:26" ht="28">
      <c r="A11" s="2" t="s">
        <v>779</v>
      </c>
      <c r="B11" s="2" t="s">
        <v>780</v>
      </c>
      <c r="C11" s="2" t="s">
        <v>747</v>
      </c>
      <c r="D11" s="2" t="s">
        <v>740</v>
      </c>
      <c r="E11" s="2" t="s">
        <v>740</v>
      </c>
      <c r="F11" s="2" t="s">
        <v>740</v>
      </c>
      <c r="G11" s="2" t="s">
        <v>781</v>
      </c>
      <c r="H11" s="2" t="s">
        <v>782</v>
      </c>
      <c r="I11" s="2" t="s">
        <v>783</v>
      </c>
      <c r="J11" s="2" t="s">
        <v>784</v>
      </c>
    </row>
    <row r="12" spans="1:26" ht="28">
      <c r="A12" s="2" t="s">
        <v>785</v>
      </c>
      <c r="B12" s="2" t="s">
        <v>786</v>
      </c>
      <c r="C12" s="2" t="s">
        <v>740</v>
      </c>
      <c r="D12" s="2" t="s">
        <v>740</v>
      </c>
      <c r="E12" s="2" t="s">
        <v>740</v>
      </c>
      <c r="F12" s="2" t="s">
        <v>787</v>
      </c>
      <c r="G12" s="2" t="s">
        <v>788</v>
      </c>
      <c r="H12" s="2" t="s">
        <v>640</v>
      </c>
      <c r="I12" s="2" t="s">
        <v>789</v>
      </c>
      <c r="J12" s="2" t="s">
        <v>790</v>
      </c>
    </row>
    <row r="13" spans="1:26">
      <c r="A13" s="2"/>
      <c r="B13" s="2"/>
      <c r="C13" s="2"/>
      <c r="D13" s="2"/>
      <c r="E13" s="2"/>
      <c r="F13" s="2"/>
      <c r="G13" s="2"/>
      <c r="H13" s="2"/>
      <c r="I13" s="2"/>
      <c r="J13" s="2"/>
    </row>
    <row r="14" spans="1:26">
      <c r="A14" s="2"/>
      <c r="B14" s="2"/>
      <c r="C14" s="2"/>
      <c r="D14" s="2"/>
      <c r="E14" s="2"/>
      <c r="F14" s="2"/>
      <c r="G14" s="2"/>
      <c r="H14" s="2"/>
      <c r="I14" s="2"/>
      <c r="J14" s="2"/>
    </row>
    <row r="15" spans="1:26">
      <c r="A15" s="2"/>
      <c r="B15" s="2"/>
      <c r="C15" s="2"/>
      <c r="D15" s="2"/>
      <c r="E15" s="2"/>
      <c r="F15" s="2"/>
      <c r="G15" s="2"/>
      <c r="H15" s="2"/>
      <c r="I15" s="2"/>
      <c r="J15" s="2"/>
    </row>
    <row r="16" spans="1:26">
      <c r="A16" s="2"/>
      <c r="B16" s="2"/>
      <c r="C16" s="2"/>
      <c r="D16" s="2"/>
      <c r="E16" s="2"/>
      <c r="F16" s="2"/>
      <c r="G16" s="2"/>
      <c r="H16" s="2"/>
      <c r="I16" s="2"/>
      <c r="J16" s="2"/>
    </row>
    <row r="17" spans="1:10">
      <c r="A17" s="2"/>
      <c r="B17" s="2"/>
      <c r="C17" s="2"/>
      <c r="D17" s="2"/>
      <c r="E17" s="2"/>
      <c r="F17" s="2"/>
      <c r="G17" s="2"/>
      <c r="H17" s="2"/>
      <c r="I17" s="2"/>
      <c r="J17" s="2"/>
    </row>
    <row r="18" spans="1:10">
      <c r="A18" s="2"/>
      <c r="B18" s="2"/>
      <c r="C18" s="2"/>
      <c r="D18" s="2"/>
      <c r="E18" s="2"/>
      <c r="F18" s="2"/>
      <c r="G18" s="2"/>
      <c r="H18" s="2"/>
      <c r="I18" s="2"/>
      <c r="J18" s="2"/>
    </row>
    <row r="19" spans="1:10">
      <c r="A19" s="2"/>
      <c r="B19" s="2"/>
      <c r="C19" s="2"/>
      <c r="D19" s="2"/>
      <c r="E19" s="2"/>
      <c r="F19" s="2"/>
      <c r="G19" s="2"/>
      <c r="H19" s="2"/>
      <c r="I19" s="2"/>
      <c r="J19" s="2"/>
    </row>
    <row r="20" spans="1:10">
      <c r="A20" s="2"/>
      <c r="B20" s="2"/>
      <c r="C20" s="2"/>
      <c r="D20" s="2"/>
      <c r="E20" s="2"/>
      <c r="F20" s="2"/>
      <c r="G20" s="2"/>
      <c r="H20" s="2"/>
      <c r="I20" s="2"/>
      <c r="J20" s="2"/>
    </row>
  </sheetData>
  <mergeCells count="1">
    <mergeCell ref="A1:J1"/>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40"/>
  <sheetViews>
    <sheetView workbookViewId="0">
      <selection activeCell="C7" sqref="C7"/>
    </sheetView>
  </sheetViews>
  <sheetFormatPr defaultRowHeight="14"/>
  <cols>
    <col min="1" max="1" width="6.08203125" bestFit="1" customWidth="1"/>
    <col min="2" max="2" width="8.83203125" bestFit="1" customWidth="1"/>
    <col min="3" max="3" width="72" customWidth="1"/>
    <col min="4" max="4" width="7.1640625" bestFit="1" customWidth="1"/>
    <col min="5" max="5" width="14.6640625" bestFit="1" customWidth="1"/>
    <col min="6" max="6" width="9.33203125" customWidth="1"/>
  </cols>
  <sheetData>
    <row r="1" spans="1:26" ht="18">
      <c r="A1" s="10" t="s">
        <v>791</v>
      </c>
      <c r="B1" s="11"/>
      <c r="C1" s="11"/>
      <c r="D1" s="11"/>
      <c r="E1" s="11"/>
      <c r="F1" s="11"/>
      <c r="G1" s="8"/>
      <c r="H1" s="8"/>
      <c r="I1" s="8"/>
      <c r="J1" s="8"/>
      <c r="K1" s="8"/>
      <c r="L1" s="8"/>
      <c r="M1" s="8"/>
      <c r="N1" s="8"/>
      <c r="O1" s="8"/>
      <c r="P1" s="8"/>
      <c r="Q1" s="8"/>
      <c r="R1" s="8"/>
      <c r="S1" s="8"/>
      <c r="T1" s="8"/>
      <c r="U1" s="8"/>
      <c r="V1" s="8"/>
      <c r="W1" s="8"/>
      <c r="X1" s="8"/>
      <c r="Y1" s="8"/>
      <c r="Z1" s="8"/>
    </row>
    <row r="3" spans="1:26">
      <c r="A3" s="1" t="s">
        <v>792</v>
      </c>
      <c r="B3" s="1" t="s">
        <v>793</v>
      </c>
      <c r="C3" s="1" t="s">
        <v>794</v>
      </c>
      <c r="D3" s="1" t="s">
        <v>40</v>
      </c>
      <c r="E3" s="1" t="s">
        <v>669</v>
      </c>
      <c r="F3" s="1" t="s">
        <v>36</v>
      </c>
    </row>
    <row r="4" spans="1:26" ht="28">
      <c r="A4" s="2" t="s">
        <v>795</v>
      </c>
      <c r="B4" s="2" t="s">
        <v>796</v>
      </c>
      <c r="C4" s="2" t="s">
        <v>797</v>
      </c>
      <c r="D4" s="2" t="s">
        <v>747</v>
      </c>
      <c r="E4" s="2" t="s">
        <v>108</v>
      </c>
      <c r="F4" s="2" t="s">
        <v>798</v>
      </c>
    </row>
    <row r="5" spans="1:26" ht="28">
      <c r="A5" s="2" t="s">
        <v>799</v>
      </c>
      <c r="B5" s="2" t="s">
        <v>796</v>
      </c>
      <c r="C5" s="2" t="s">
        <v>800</v>
      </c>
      <c r="D5" s="2" t="s">
        <v>747</v>
      </c>
      <c r="E5" s="2" t="s">
        <v>108</v>
      </c>
      <c r="F5" s="2" t="s">
        <v>798</v>
      </c>
    </row>
    <row r="6" spans="1:26" ht="28">
      <c r="A6" s="2" t="s">
        <v>801</v>
      </c>
      <c r="B6" s="2" t="s">
        <v>796</v>
      </c>
      <c r="C6" s="2" t="s">
        <v>802</v>
      </c>
      <c r="D6" s="2" t="s">
        <v>747</v>
      </c>
      <c r="E6" s="2" t="s">
        <v>104</v>
      </c>
      <c r="F6" s="2" t="s">
        <v>798</v>
      </c>
    </row>
    <row r="7" spans="1:26" ht="28">
      <c r="A7" s="2" t="s">
        <v>803</v>
      </c>
      <c r="B7" s="2" t="s">
        <v>796</v>
      </c>
      <c r="C7" s="2" t="s">
        <v>804</v>
      </c>
      <c r="D7" s="2" t="s">
        <v>747</v>
      </c>
      <c r="E7" s="2" t="s">
        <v>108</v>
      </c>
      <c r="F7" s="2" t="s">
        <v>798</v>
      </c>
    </row>
    <row r="8" spans="1:26" ht="28">
      <c r="A8" s="2" t="s">
        <v>805</v>
      </c>
      <c r="B8" s="2" t="s">
        <v>796</v>
      </c>
      <c r="C8" s="2" t="s">
        <v>806</v>
      </c>
      <c r="D8" s="2" t="s">
        <v>747</v>
      </c>
      <c r="E8" s="2" t="s">
        <v>745</v>
      </c>
      <c r="F8" s="2" t="s">
        <v>798</v>
      </c>
    </row>
    <row r="9" spans="1:26" ht="28">
      <c r="A9" s="2" t="s">
        <v>807</v>
      </c>
      <c r="B9" s="2" t="s">
        <v>796</v>
      </c>
      <c r="C9" s="2" t="s">
        <v>808</v>
      </c>
      <c r="D9" s="2" t="s">
        <v>747</v>
      </c>
      <c r="E9" s="2" t="s">
        <v>809</v>
      </c>
      <c r="F9" s="2" t="s">
        <v>798</v>
      </c>
    </row>
    <row r="10" spans="1:26" ht="28">
      <c r="A10" s="2" t="s">
        <v>810</v>
      </c>
      <c r="B10" s="2" t="s">
        <v>811</v>
      </c>
      <c r="C10" s="2" t="s">
        <v>812</v>
      </c>
      <c r="D10" s="2" t="s">
        <v>747</v>
      </c>
      <c r="E10" s="2" t="s">
        <v>745</v>
      </c>
      <c r="F10" s="2" t="s">
        <v>798</v>
      </c>
    </row>
    <row r="11" spans="1:26" ht="28">
      <c r="A11" s="2" t="s">
        <v>813</v>
      </c>
      <c r="B11" s="2" t="s">
        <v>811</v>
      </c>
      <c r="C11" s="2" t="s">
        <v>814</v>
      </c>
      <c r="D11" s="2" t="s">
        <v>747</v>
      </c>
      <c r="E11" s="2" t="s">
        <v>779</v>
      </c>
      <c r="F11" s="2" t="s">
        <v>798</v>
      </c>
    </row>
    <row r="12" spans="1:26" ht="28">
      <c r="A12" s="2" t="s">
        <v>815</v>
      </c>
      <c r="B12" s="2" t="s">
        <v>811</v>
      </c>
      <c r="C12" s="2" t="s">
        <v>816</v>
      </c>
      <c r="D12" s="2" t="s">
        <v>747</v>
      </c>
      <c r="E12" s="2" t="s">
        <v>779</v>
      </c>
      <c r="F12" s="2" t="s">
        <v>798</v>
      </c>
    </row>
    <row r="13" spans="1:26" ht="28">
      <c r="A13" s="2" t="s">
        <v>817</v>
      </c>
      <c r="B13" s="2" t="s">
        <v>811</v>
      </c>
      <c r="C13" s="2" t="s">
        <v>818</v>
      </c>
      <c r="D13" s="2" t="s">
        <v>747</v>
      </c>
      <c r="E13" s="2" t="s">
        <v>779</v>
      </c>
      <c r="F13" s="2" t="s">
        <v>798</v>
      </c>
    </row>
    <row r="14" spans="1:26" ht="28">
      <c r="A14" s="2" t="s">
        <v>819</v>
      </c>
      <c r="B14" s="2" t="s">
        <v>811</v>
      </c>
      <c r="C14" s="2" t="s">
        <v>820</v>
      </c>
      <c r="D14" s="2" t="s">
        <v>747</v>
      </c>
      <c r="E14" s="2" t="s">
        <v>745</v>
      </c>
      <c r="F14" s="2" t="s">
        <v>798</v>
      </c>
    </row>
    <row r="15" spans="1:26" ht="28">
      <c r="A15" s="2" t="s">
        <v>821</v>
      </c>
      <c r="B15" s="2" t="s">
        <v>811</v>
      </c>
      <c r="C15" s="2" t="s">
        <v>822</v>
      </c>
      <c r="D15" s="2" t="s">
        <v>747</v>
      </c>
      <c r="E15" s="2" t="s">
        <v>745</v>
      </c>
      <c r="F15" s="2" t="s">
        <v>798</v>
      </c>
    </row>
    <row r="16" spans="1:26" ht="28">
      <c r="A16" s="2" t="s">
        <v>823</v>
      </c>
      <c r="B16" s="2" t="s">
        <v>811</v>
      </c>
      <c r="C16" s="2" t="s">
        <v>824</v>
      </c>
      <c r="D16" s="2" t="s">
        <v>740</v>
      </c>
      <c r="E16" s="2" t="s">
        <v>108</v>
      </c>
      <c r="F16" s="2" t="s">
        <v>798</v>
      </c>
    </row>
    <row r="17" spans="1:6" ht="28">
      <c r="A17" s="2" t="s">
        <v>825</v>
      </c>
      <c r="B17" s="2" t="s">
        <v>811</v>
      </c>
      <c r="C17" s="2" t="s">
        <v>826</v>
      </c>
      <c r="D17" s="2" t="s">
        <v>747</v>
      </c>
      <c r="E17" s="2" t="s">
        <v>779</v>
      </c>
      <c r="F17" s="2" t="s">
        <v>827</v>
      </c>
    </row>
    <row r="18" spans="1:6">
      <c r="A18" s="2" t="s">
        <v>828</v>
      </c>
      <c r="B18" s="2" t="s">
        <v>811</v>
      </c>
      <c r="C18" s="2" t="s">
        <v>829</v>
      </c>
      <c r="D18" s="2" t="s">
        <v>747</v>
      </c>
      <c r="E18" s="2" t="s">
        <v>108</v>
      </c>
      <c r="F18" s="2" t="s">
        <v>827</v>
      </c>
    </row>
    <row r="19" spans="1:6" ht="28">
      <c r="A19" s="2" t="s">
        <v>830</v>
      </c>
      <c r="B19" s="2" t="s">
        <v>811</v>
      </c>
      <c r="C19" s="2" t="s">
        <v>831</v>
      </c>
      <c r="D19" s="2" t="s">
        <v>747</v>
      </c>
      <c r="E19" s="2" t="s">
        <v>104</v>
      </c>
      <c r="F19" s="2" t="s">
        <v>798</v>
      </c>
    </row>
    <row r="20" spans="1:6" ht="28">
      <c r="A20" s="2" t="s">
        <v>832</v>
      </c>
      <c r="B20" s="2" t="s">
        <v>833</v>
      </c>
      <c r="C20" s="2" t="s">
        <v>834</v>
      </c>
      <c r="D20" s="2" t="s">
        <v>747</v>
      </c>
      <c r="E20" s="2" t="s">
        <v>108</v>
      </c>
      <c r="F20" s="2" t="s">
        <v>798</v>
      </c>
    </row>
    <row r="21" spans="1:6" ht="28">
      <c r="A21" s="2" t="s">
        <v>835</v>
      </c>
      <c r="B21" s="2" t="s">
        <v>833</v>
      </c>
      <c r="C21" s="2" t="s">
        <v>836</v>
      </c>
      <c r="D21" s="2" t="s">
        <v>747</v>
      </c>
      <c r="E21" s="2" t="s">
        <v>809</v>
      </c>
      <c r="F21" s="2" t="s">
        <v>798</v>
      </c>
    </row>
    <row r="22" spans="1:6" ht="28">
      <c r="A22" s="2" t="s">
        <v>837</v>
      </c>
      <c r="B22" s="2" t="s">
        <v>833</v>
      </c>
      <c r="C22" s="2" t="s">
        <v>838</v>
      </c>
      <c r="D22" s="2" t="s">
        <v>740</v>
      </c>
      <c r="E22" s="2" t="s">
        <v>108</v>
      </c>
      <c r="F22" s="2" t="s">
        <v>798</v>
      </c>
    </row>
    <row r="23" spans="1:6" ht="28">
      <c r="A23" s="2" t="s">
        <v>839</v>
      </c>
      <c r="B23" s="2" t="s">
        <v>833</v>
      </c>
      <c r="C23" s="2" t="s">
        <v>840</v>
      </c>
      <c r="D23" s="2" t="s">
        <v>740</v>
      </c>
      <c r="E23" s="2" t="s">
        <v>779</v>
      </c>
      <c r="F23" s="2" t="s">
        <v>841</v>
      </c>
    </row>
    <row r="24" spans="1:6">
      <c r="A24" s="2"/>
      <c r="B24" s="2"/>
      <c r="C24" s="2"/>
      <c r="D24" s="2"/>
      <c r="E24" s="2"/>
      <c r="F24" s="2"/>
    </row>
    <row r="25" spans="1:6">
      <c r="A25" s="2"/>
      <c r="B25" s="2"/>
      <c r="C25" s="2"/>
      <c r="D25" s="2"/>
      <c r="E25" s="2"/>
      <c r="F25" s="2"/>
    </row>
    <row r="26" spans="1:6">
      <c r="A26" s="2"/>
      <c r="B26" s="2"/>
      <c r="C26" s="2"/>
      <c r="D26" s="2"/>
      <c r="E26" s="2"/>
      <c r="F26" s="2"/>
    </row>
    <row r="27" spans="1:6">
      <c r="A27" s="2"/>
      <c r="B27" s="2"/>
      <c r="C27" s="2"/>
      <c r="D27" s="2"/>
      <c r="E27" s="2"/>
      <c r="F27" s="2"/>
    </row>
    <row r="28" spans="1:6">
      <c r="A28" s="2"/>
      <c r="B28" s="2"/>
      <c r="C28" s="2"/>
      <c r="D28" s="2"/>
      <c r="E28" s="2"/>
      <c r="F28" s="2"/>
    </row>
    <row r="29" spans="1:6">
      <c r="A29" s="2"/>
      <c r="B29" s="2"/>
      <c r="C29" s="2"/>
      <c r="D29" s="2"/>
      <c r="E29" s="2"/>
      <c r="F29" s="2"/>
    </row>
    <row r="30" spans="1:6">
      <c r="A30" s="2"/>
      <c r="B30" s="2"/>
      <c r="C30" s="2"/>
      <c r="D30" s="2"/>
      <c r="E30" s="2"/>
      <c r="F30" s="2"/>
    </row>
    <row r="31" spans="1:6">
      <c r="A31" s="2"/>
      <c r="B31" s="2"/>
      <c r="C31" s="2"/>
      <c r="D31" s="2"/>
      <c r="E31" s="2"/>
      <c r="F31" s="2"/>
    </row>
    <row r="32" spans="1:6">
      <c r="A32" s="2"/>
      <c r="B32" s="2"/>
      <c r="C32" s="2"/>
      <c r="D32" s="2"/>
      <c r="E32" s="2"/>
      <c r="F32" s="2"/>
    </row>
    <row r="33" spans="1:6">
      <c r="A33" s="2"/>
      <c r="B33" s="2"/>
      <c r="C33" s="2"/>
      <c r="D33" s="2"/>
      <c r="E33" s="2"/>
      <c r="F33" s="2"/>
    </row>
    <row r="34" spans="1:6">
      <c r="A34" s="2"/>
      <c r="B34" s="2"/>
      <c r="C34" s="2"/>
      <c r="D34" s="2"/>
      <c r="E34" s="2"/>
      <c r="F34" s="2"/>
    </row>
    <row r="35" spans="1:6">
      <c r="A35" s="2"/>
      <c r="B35" s="2"/>
      <c r="C35" s="2"/>
      <c r="D35" s="2"/>
      <c r="E35" s="2"/>
      <c r="F35" s="2"/>
    </row>
    <row r="36" spans="1:6">
      <c r="A36" s="2"/>
      <c r="B36" s="2"/>
      <c r="C36" s="2"/>
      <c r="D36" s="2"/>
      <c r="E36" s="2"/>
      <c r="F36" s="2"/>
    </row>
    <row r="37" spans="1:6">
      <c r="A37" s="2"/>
      <c r="B37" s="2"/>
      <c r="C37" s="2"/>
      <c r="D37" s="2"/>
      <c r="E37" s="2"/>
      <c r="F37" s="2"/>
    </row>
    <row r="38" spans="1:6">
      <c r="A38" s="2"/>
      <c r="B38" s="2"/>
      <c r="C38" s="2"/>
      <c r="D38" s="2"/>
      <c r="E38" s="2"/>
      <c r="F38" s="2"/>
    </row>
    <row r="39" spans="1:6">
      <c r="A39" s="2"/>
      <c r="B39" s="2"/>
      <c r="C39" s="2"/>
      <c r="D39" s="2"/>
      <c r="E39" s="2"/>
      <c r="F39" s="2"/>
    </row>
    <row r="40" spans="1:6">
      <c r="A40" s="2"/>
      <c r="B40" s="2"/>
      <c r="C40" s="2"/>
      <c r="D40" s="2"/>
      <c r="E40" s="2"/>
      <c r="F40" s="2"/>
    </row>
  </sheetData>
  <mergeCells count="1">
    <mergeCell ref="A1:F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
  <sheetViews>
    <sheetView workbookViewId="0">
      <selection activeCell="D6" sqref="D6"/>
    </sheetView>
  </sheetViews>
  <sheetFormatPr defaultRowHeight="14"/>
  <cols>
    <col min="1" max="1" width="7.5" bestFit="1" customWidth="1"/>
    <col min="2" max="2" width="7.33203125" bestFit="1" customWidth="1"/>
    <col min="3" max="3" width="16.5" bestFit="1" customWidth="1"/>
    <col min="4" max="4" width="42" customWidth="1"/>
    <col min="5" max="5" width="41.9140625" bestFit="1" customWidth="1"/>
    <col min="6" max="6" width="7.1640625" bestFit="1" customWidth="1"/>
    <col min="7" max="7" width="24.6640625" bestFit="1" customWidth="1"/>
  </cols>
  <sheetData>
    <row r="1" spans="1:26" ht="18">
      <c r="A1" s="10" t="s">
        <v>842</v>
      </c>
      <c r="B1" s="11"/>
      <c r="C1" s="11"/>
      <c r="D1" s="11"/>
      <c r="E1" s="11"/>
      <c r="F1" s="11"/>
      <c r="G1" s="11"/>
      <c r="H1" s="8"/>
      <c r="I1" s="8"/>
      <c r="J1" s="8"/>
      <c r="K1" s="8"/>
      <c r="L1" s="8"/>
      <c r="M1" s="8"/>
      <c r="N1" s="8"/>
      <c r="O1" s="8"/>
      <c r="P1" s="8"/>
      <c r="Q1" s="8"/>
      <c r="R1" s="8"/>
      <c r="S1" s="8"/>
      <c r="T1" s="8"/>
      <c r="U1" s="8"/>
      <c r="V1" s="8"/>
      <c r="W1" s="8"/>
      <c r="X1" s="8"/>
      <c r="Y1" s="8"/>
      <c r="Z1" s="8"/>
    </row>
    <row r="3" spans="1:26">
      <c r="A3" s="1" t="s">
        <v>843</v>
      </c>
      <c r="B3" s="1" t="s">
        <v>844</v>
      </c>
      <c r="C3" s="1" t="s">
        <v>845</v>
      </c>
      <c r="D3" s="1" t="s">
        <v>846</v>
      </c>
      <c r="E3" s="1" t="s">
        <v>847</v>
      </c>
      <c r="F3" s="1" t="s">
        <v>40</v>
      </c>
      <c r="G3" s="1" t="s">
        <v>848</v>
      </c>
    </row>
    <row r="4" spans="1:26" ht="42">
      <c r="A4" s="2" t="s">
        <v>849</v>
      </c>
      <c r="B4" s="2" t="s">
        <v>850</v>
      </c>
      <c r="C4" s="2" t="s">
        <v>851</v>
      </c>
      <c r="D4" s="2" t="s">
        <v>852</v>
      </c>
      <c r="E4" s="2" t="s">
        <v>853</v>
      </c>
      <c r="F4" s="2" t="s">
        <v>747</v>
      </c>
      <c r="G4" s="2" t="s">
        <v>854</v>
      </c>
    </row>
    <row r="5" spans="1:26" ht="42">
      <c r="A5" s="2" t="s">
        <v>855</v>
      </c>
      <c r="B5" s="2" t="s">
        <v>850</v>
      </c>
      <c r="C5" s="2" t="s">
        <v>856</v>
      </c>
      <c r="D5" s="2" t="s">
        <v>857</v>
      </c>
      <c r="E5" s="2" t="s">
        <v>858</v>
      </c>
      <c r="F5" s="2" t="s">
        <v>747</v>
      </c>
      <c r="G5" s="2" t="s">
        <v>859</v>
      </c>
    </row>
    <row r="6" spans="1:26" ht="42">
      <c r="A6" s="2" t="s">
        <v>860</v>
      </c>
      <c r="B6" s="2" t="s">
        <v>850</v>
      </c>
      <c r="C6" s="2" t="s">
        <v>861</v>
      </c>
      <c r="D6" s="2" t="s">
        <v>862</v>
      </c>
      <c r="E6" s="2" t="s">
        <v>863</v>
      </c>
      <c r="F6" s="2" t="s">
        <v>747</v>
      </c>
      <c r="G6" s="2" t="s">
        <v>864</v>
      </c>
    </row>
    <row r="7" spans="1:26" ht="42">
      <c r="A7" s="2" t="s">
        <v>865</v>
      </c>
      <c r="B7" s="2" t="s">
        <v>850</v>
      </c>
      <c r="C7" s="2" t="s">
        <v>866</v>
      </c>
      <c r="D7" s="2" t="s">
        <v>867</v>
      </c>
      <c r="E7" s="2" t="s">
        <v>868</v>
      </c>
      <c r="F7" s="2" t="s">
        <v>747</v>
      </c>
      <c r="G7" s="2" t="s">
        <v>869</v>
      </c>
    </row>
    <row r="8" spans="1:26" ht="56">
      <c r="A8" s="2" t="s">
        <v>870</v>
      </c>
      <c r="B8" s="2" t="s">
        <v>827</v>
      </c>
      <c r="C8" s="2" t="s">
        <v>871</v>
      </c>
      <c r="D8" s="2" t="s">
        <v>872</v>
      </c>
      <c r="E8" s="2" t="s">
        <v>873</v>
      </c>
      <c r="F8" s="2" t="s">
        <v>747</v>
      </c>
      <c r="G8" s="2" t="s">
        <v>874</v>
      </c>
    </row>
    <row r="9" spans="1:26" ht="42">
      <c r="A9" s="2" t="s">
        <v>875</v>
      </c>
      <c r="B9" s="2" t="s">
        <v>827</v>
      </c>
      <c r="C9" s="2" t="s">
        <v>876</v>
      </c>
      <c r="D9" s="2" t="s">
        <v>877</v>
      </c>
      <c r="E9" s="2" t="s">
        <v>878</v>
      </c>
      <c r="F9" s="2" t="s">
        <v>747</v>
      </c>
      <c r="G9" s="2" t="s">
        <v>879</v>
      </c>
    </row>
    <row r="10" spans="1:26" ht="42">
      <c r="A10" s="2" t="s">
        <v>880</v>
      </c>
      <c r="B10" s="2" t="s">
        <v>827</v>
      </c>
      <c r="C10" s="2" t="s">
        <v>881</v>
      </c>
      <c r="D10" s="2" t="s">
        <v>882</v>
      </c>
      <c r="E10" s="2" t="s">
        <v>883</v>
      </c>
      <c r="F10" s="2" t="s">
        <v>747</v>
      </c>
      <c r="G10" s="2" t="s">
        <v>884</v>
      </c>
    </row>
    <row r="11" spans="1:26" ht="56">
      <c r="A11" s="2" t="s">
        <v>885</v>
      </c>
      <c r="B11" s="2" t="s">
        <v>827</v>
      </c>
      <c r="C11" s="2" t="s">
        <v>886</v>
      </c>
      <c r="D11" s="2" t="s">
        <v>887</v>
      </c>
      <c r="E11" s="2" t="s">
        <v>888</v>
      </c>
      <c r="F11" s="2" t="s">
        <v>747</v>
      </c>
      <c r="G11" s="2" t="s">
        <v>889</v>
      </c>
    </row>
    <row r="12" spans="1:26" ht="42">
      <c r="A12" s="2" t="s">
        <v>890</v>
      </c>
      <c r="B12" s="2" t="s">
        <v>891</v>
      </c>
      <c r="C12" s="2" t="s">
        <v>892</v>
      </c>
      <c r="D12" s="2" t="s">
        <v>893</v>
      </c>
      <c r="E12" s="2" t="s">
        <v>894</v>
      </c>
      <c r="F12" s="2" t="s">
        <v>740</v>
      </c>
      <c r="G12" s="2" t="s">
        <v>895</v>
      </c>
    </row>
    <row r="13" spans="1:26" ht="42">
      <c r="A13" s="2" t="s">
        <v>896</v>
      </c>
      <c r="B13" s="2" t="s">
        <v>891</v>
      </c>
      <c r="C13" s="2" t="s">
        <v>897</v>
      </c>
      <c r="D13" s="2" t="s">
        <v>898</v>
      </c>
      <c r="E13" s="2" t="s">
        <v>899</v>
      </c>
      <c r="F13" s="2" t="s">
        <v>740</v>
      </c>
      <c r="G13" s="2" t="s">
        <v>900</v>
      </c>
    </row>
    <row r="14" spans="1:26" ht="42">
      <c r="A14" s="2" t="s">
        <v>901</v>
      </c>
      <c r="B14" s="2" t="s">
        <v>891</v>
      </c>
      <c r="C14" s="2" t="s">
        <v>902</v>
      </c>
      <c r="D14" s="2" t="s">
        <v>903</v>
      </c>
      <c r="E14" s="2" t="s">
        <v>904</v>
      </c>
      <c r="F14" s="2" t="s">
        <v>740</v>
      </c>
      <c r="G14" s="2" t="s">
        <v>905</v>
      </c>
    </row>
    <row r="15" spans="1:26">
      <c r="A15" s="2"/>
      <c r="B15" s="2"/>
      <c r="C15" s="2"/>
      <c r="D15" s="2"/>
      <c r="E15" s="2"/>
      <c r="F15" s="2"/>
      <c r="G15" s="2"/>
    </row>
    <row r="16" spans="1:26">
      <c r="A16" s="2"/>
      <c r="B16" s="2"/>
      <c r="C16" s="2"/>
      <c r="D16" s="2"/>
      <c r="E16" s="2"/>
      <c r="F16" s="2"/>
      <c r="G16" s="2"/>
    </row>
    <row r="17" spans="1:7">
      <c r="A17" s="2"/>
      <c r="B17" s="2"/>
      <c r="C17" s="2"/>
      <c r="D17" s="2"/>
      <c r="E17" s="2"/>
      <c r="F17" s="2"/>
      <c r="G17" s="2"/>
    </row>
    <row r="18" spans="1:7">
      <c r="A18" s="2"/>
      <c r="B18" s="2"/>
      <c r="C18" s="2"/>
      <c r="D18" s="2"/>
      <c r="E18" s="2"/>
      <c r="F18" s="2"/>
      <c r="G18" s="2"/>
    </row>
    <row r="19" spans="1:7">
      <c r="A19" s="2"/>
      <c r="B19" s="2"/>
      <c r="C19" s="2"/>
      <c r="D19" s="2"/>
      <c r="E19" s="2"/>
      <c r="F19" s="2"/>
      <c r="G19" s="2"/>
    </row>
    <row r="20" spans="1:7">
      <c r="A20" s="2"/>
      <c r="B20" s="2"/>
      <c r="C20" s="2"/>
      <c r="D20" s="2"/>
      <c r="E20" s="2"/>
      <c r="F20" s="2"/>
      <c r="G20" s="2"/>
    </row>
    <row r="21" spans="1:7">
      <c r="A21" s="2"/>
      <c r="B21" s="2"/>
      <c r="C21" s="2"/>
      <c r="D21" s="2"/>
      <c r="E21" s="2"/>
      <c r="F21" s="2"/>
      <c r="G21" s="2"/>
    </row>
    <row r="22" spans="1:7">
      <c r="A22" s="2"/>
      <c r="B22" s="2"/>
      <c r="C22" s="2"/>
      <c r="D22" s="2"/>
      <c r="E22" s="2"/>
      <c r="F22" s="2"/>
      <c r="G22" s="2"/>
    </row>
    <row r="23" spans="1:7">
      <c r="A23" s="2"/>
      <c r="B23" s="2"/>
      <c r="C23" s="2"/>
      <c r="D23" s="2"/>
      <c r="E23" s="2"/>
      <c r="F23" s="2"/>
      <c r="G23" s="2"/>
    </row>
    <row r="24" spans="1:7">
      <c r="A24" s="2"/>
      <c r="B24" s="2"/>
      <c r="C24" s="2"/>
      <c r="D24" s="2"/>
      <c r="E24" s="2"/>
      <c r="F24" s="2"/>
      <c r="G24" s="2"/>
    </row>
    <row r="25" spans="1:7">
      <c r="A25" s="2"/>
      <c r="B25" s="2"/>
      <c r="C25" s="2"/>
      <c r="D25" s="2"/>
      <c r="E25" s="2"/>
      <c r="F25" s="2"/>
      <c r="G25" s="2"/>
    </row>
    <row r="26" spans="1:7">
      <c r="A26" s="2"/>
      <c r="B26" s="2"/>
      <c r="C26" s="2"/>
      <c r="D26" s="2"/>
      <c r="E26" s="2"/>
      <c r="F26" s="2"/>
      <c r="G26" s="2"/>
    </row>
    <row r="27" spans="1:7">
      <c r="A27" s="2"/>
      <c r="B27" s="2"/>
      <c r="C27" s="2"/>
      <c r="D27" s="2"/>
      <c r="E27" s="2"/>
      <c r="F27" s="2"/>
      <c r="G27" s="2"/>
    </row>
    <row r="28" spans="1:7">
      <c r="A28" s="2"/>
      <c r="B28" s="2"/>
      <c r="C28" s="2"/>
      <c r="D28" s="2"/>
      <c r="E28" s="2"/>
      <c r="F28" s="2"/>
      <c r="G28" s="2"/>
    </row>
    <row r="29" spans="1:7">
      <c r="A29" s="2"/>
      <c r="B29" s="2"/>
      <c r="C29" s="2"/>
      <c r="D29" s="2"/>
      <c r="E29" s="2"/>
      <c r="F29" s="2"/>
      <c r="G29" s="2"/>
    </row>
    <row r="30" spans="1:7">
      <c r="A30" s="2"/>
      <c r="B30" s="2"/>
      <c r="C30" s="2"/>
      <c r="D30" s="2"/>
      <c r="E30" s="2"/>
      <c r="F30" s="2"/>
      <c r="G30" s="2"/>
    </row>
  </sheetData>
  <mergeCells count="1">
    <mergeCell ref="A1:G1"/>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
  <sheetViews>
    <sheetView workbookViewId="0">
      <selection activeCell="D8" sqref="D8"/>
    </sheetView>
  </sheetViews>
  <sheetFormatPr defaultRowHeight="14"/>
  <cols>
    <col min="1" max="1" width="23.5" bestFit="1" customWidth="1"/>
    <col min="2" max="2" width="8" bestFit="1" customWidth="1"/>
    <col min="3" max="3" width="11.08203125" bestFit="1" customWidth="1"/>
    <col min="4" max="4" width="32.5" bestFit="1" customWidth="1"/>
    <col min="5" max="5" width="25.75" bestFit="1" customWidth="1"/>
    <col min="6" max="6" width="27.08203125" bestFit="1" customWidth="1"/>
    <col min="7" max="7" width="8.08203125" bestFit="1" customWidth="1"/>
    <col min="8" max="8" width="27.58203125" bestFit="1" customWidth="1"/>
  </cols>
  <sheetData>
    <row r="1" spans="1:26" ht="18">
      <c r="A1" s="10" t="s">
        <v>906</v>
      </c>
      <c r="B1" s="11"/>
      <c r="C1" s="11"/>
      <c r="D1" s="11"/>
      <c r="E1" s="11"/>
      <c r="F1" s="11"/>
      <c r="G1" s="11"/>
      <c r="H1" s="11"/>
      <c r="I1" s="8"/>
      <c r="J1" s="8"/>
      <c r="K1" s="8"/>
      <c r="L1" s="8"/>
      <c r="M1" s="8"/>
      <c r="N1" s="8"/>
      <c r="O1" s="8"/>
      <c r="P1" s="8"/>
      <c r="Q1" s="8"/>
      <c r="R1" s="8"/>
      <c r="S1" s="8"/>
      <c r="T1" s="8"/>
      <c r="U1" s="8"/>
      <c r="V1" s="8"/>
      <c r="W1" s="8"/>
      <c r="X1" s="8"/>
      <c r="Y1" s="8"/>
      <c r="Z1" s="8"/>
    </row>
    <row r="3" spans="1:26">
      <c r="A3" s="1" t="s">
        <v>844</v>
      </c>
      <c r="B3" s="1" t="s">
        <v>907</v>
      </c>
      <c r="C3" s="1" t="s">
        <v>908</v>
      </c>
      <c r="D3" s="1" t="s">
        <v>909</v>
      </c>
      <c r="E3" s="1" t="s">
        <v>669</v>
      </c>
      <c r="F3" s="1" t="s">
        <v>910</v>
      </c>
      <c r="G3" s="1" t="s">
        <v>36</v>
      </c>
      <c r="H3" s="1" t="s">
        <v>911</v>
      </c>
    </row>
    <row r="4" spans="1:26" ht="28">
      <c r="A4" s="2" t="s">
        <v>912</v>
      </c>
      <c r="B4" s="2" t="s">
        <v>913</v>
      </c>
      <c r="C4" s="2" t="s">
        <v>914</v>
      </c>
      <c r="D4" s="2" t="s">
        <v>915</v>
      </c>
      <c r="E4" s="2" t="s">
        <v>916</v>
      </c>
      <c r="F4" s="2" t="s">
        <v>917</v>
      </c>
      <c r="G4" s="2" t="s">
        <v>918</v>
      </c>
      <c r="H4" s="2" t="s">
        <v>919</v>
      </c>
    </row>
    <row r="5" spans="1:26" ht="28">
      <c r="A5" s="2" t="s">
        <v>912</v>
      </c>
      <c r="B5" s="2" t="s">
        <v>913</v>
      </c>
      <c r="C5" s="2" t="s">
        <v>914</v>
      </c>
      <c r="D5" s="2" t="s">
        <v>920</v>
      </c>
      <c r="E5" s="2" t="s">
        <v>921</v>
      </c>
      <c r="F5" s="2" t="s">
        <v>922</v>
      </c>
      <c r="G5" s="2" t="s">
        <v>918</v>
      </c>
      <c r="H5" s="2" t="s">
        <v>923</v>
      </c>
    </row>
    <row r="6" spans="1:26" ht="28">
      <c r="A6" s="2" t="s">
        <v>912</v>
      </c>
      <c r="B6" s="2" t="s">
        <v>913</v>
      </c>
      <c r="C6" s="2" t="s">
        <v>924</v>
      </c>
      <c r="D6" s="2" t="s">
        <v>925</v>
      </c>
      <c r="E6" s="2" t="s">
        <v>926</v>
      </c>
      <c r="F6" s="2" t="s">
        <v>927</v>
      </c>
      <c r="G6" s="2" t="s">
        <v>928</v>
      </c>
      <c r="H6" s="2" t="s">
        <v>929</v>
      </c>
    </row>
    <row r="7" spans="1:26" ht="28">
      <c r="A7" s="2" t="s">
        <v>912</v>
      </c>
      <c r="B7" s="2" t="s">
        <v>913</v>
      </c>
      <c r="C7" s="2" t="s">
        <v>930</v>
      </c>
      <c r="D7" s="2" t="s">
        <v>931</v>
      </c>
      <c r="E7" s="2" t="s">
        <v>926</v>
      </c>
      <c r="F7" s="2" t="s">
        <v>932</v>
      </c>
      <c r="G7" s="2" t="s">
        <v>928</v>
      </c>
      <c r="H7" s="2" t="s">
        <v>82</v>
      </c>
    </row>
    <row r="8" spans="1:26" ht="28">
      <c r="A8" s="2" t="s">
        <v>912</v>
      </c>
      <c r="B8" s="2" t="s">
        <v>933</v>
      </c>
      <c r="C8" s="2" t="s">
        <v>934</v>
      </c>
      <c r="D8" s="2" t="s">
        <v>935</v>
      </c>
      <c r="E8" s="2" t="s">
        <v>936</v>
      </c>
      <c r="F8" s="2" t="s">
        <v>937</v>
      </c>
      <c r="G8" s="2" t="s">
        <v>918</v>
      </c>
      <c r="H8" s="2" t="s">
        <v>938</v>
      </c>
    </row>
    <row r="9" spans="1:26" ht="28">
      <c r="A9" s="2" t="s">
        <v>912</v>
      </c>
      <c r="B9" s="2" t="s">
        <v>933</v>
      </c>
      <c r="C9" s="2" t="s">
        <v>866</v>
      </c>
      <c r="D9" s="2" t="s">
        <v>939</v>
      </c>
      <c r="E9" s="2" t="s">
        <v>940</v>
      </c>
      <c r="F9" s="2" t="s">
        <v>941</v>
      </c>
      <c r="G9" s="2" t="s">
        <v>918</v>
      </c>
      <c r="H9" s="2" t="s">
        <v>942</v>
      </c>
    </row>
    <row r="10" spans="1:26" ht="28">
      <c r="A10" s="2" t="s">
        <v>912</v>
      </c>
      <c r="B10" s="2" t="s">
        <v>933</v>
      </c>
      <c r="C10" s="2" t="s">
        <v>943</v>
      </c>
      <c r="D10" s="2" t="s">
        <v>944</v>
      </c>
      <c r="E10" s="2" t="s">
        <v>108</v>
      </c>
      <c r="F10" s="2" t="s">
        <v>945</v>
      </c>
      <c r="G10" s="2" t="s">
        <v>918</v>
      </c>
      <c r="H10" s="2" t="s">
        <v>946</v>
      </c>
    </row>
    <row r="11" spans="1:26" ht="28">
      <c r="A11" s="2" t="s">
        <v>947</v>
      </c>
      <c r="B11" s="2" t="s">
        <v>948</v>
      </c>
      <c r="C11" s="2" t="s">
        <v>949</v>
      </c>
      <c r="D11" s="2" t="s">
        <v>950</v>
      </c>
      <c r="E11" s="2" t="s">
        <v>951</v>
      </c>
      <c r="F11" s="2" t="s">
        <v>952</v>
      </c>
      <c r="G11" s="2" t="s">
        <v>918</v>
      </c>
      <c r="H11" s="2" t="s">
        <v>953</v>
      </c>
    </row>
    <row r="12" spans="1:26" ht="28">
      <c r="A12" s="2" t="s">
        <v>947</v>
      </c>
      <c r="B12" s="2" t="s">
        <v>948</v>
      </c>
      <c r="C12" s="2" t="s">
        <v>954</v>
      </c>
      <c r="D12" s="2" t="s">
        <v>955</v>
      </c>
      <c r="E12" s="2" t="s">
        <v>956</v>
      </c>
      <c r="F12" s="2" t="s">
        <v>957</v>
      </c>
      <c r="G12" s="2" t="s">
        <v>918</v>
      </c>
      <c r="H12" s="2" t="s">
        <v>958</v>
      </c>
    </row>
    <row r="13" spans="1:26" ht="28">
      <c r="A13" s="2" t="s">
        <v>947</v>
      </c>
      <c r="B13" s="2" t="s">
        <v>948</v>
      </c>
      <c r="C13" s="2" t="s">
        <v>959</v>
      </c>
      <c r="D13" s="2" t="s">
        <v>960</v>
      </c>
      <c r="E13" s="2" t="s">
        <v>961</v>
      </c>
      <c r="F13" s="2" t="s">
        <v>962</v>
      </c>
      <c r="G13" s="2" t="s">
        <v>918</v>
      </c>
      <c r="H13" s="2" t="s">
        <v>963</v>
      </c>
    </row>
    <row r="14" spans="1:26" ht="28">
      <c r="A14" s="2" t="s">
        <v>964</v>
      </c>
      <c r="B14" s="2" t="s">
        <v>891</v>
      </c>
      <c r="C14" s="2" t="s">
        <v>965</v>
      </c>
      <c r="D14" s="2" t="s">
        <v>966</v>
      </c>
      <c r="E14" s="2" t="s">
        <v>967</v>
      </c>
      <c r="F14" s="2" t="s">
        <v>968</v>
      </c>
      <c r="G14" s="2" t="s">
        <v>918</v>
      </c>
      <c r="H14" s="2" t="s">
        <v>969</v>
      </c>
    </row>
    <row r="15" spans="1:26" ht="28">
      <c r="A15" s="2" t="s">
        <v>964</v>
      </c>
      <c r="B15" s="2" t="s">
        <v>891</v>
      </c>
      <c r="C15" s="2" t="s">
        <v>965</v>
      </c>
      <c r="D15" s="2" t="s">
        <v>970</v>
      </c>
      <c r="E15" s="2" t="s">
        <v>956</v>
      </c>
      <c r="F15" s="2" t="s">
        <v>971</v>
      </c>
      <c r="G15" s="2" t="s">
        <v>918</v>
      </c>
      <c r="H15" s="2" t="s">
        <v>972</v>
      </c>
    </row>
    <row r="16" spans="1:26">
      <c r="A16" s="2"/>
      <c r="B16" s="2"/>
      <c r="C16" s="2"/>
      <c r="D16" s="2"/>
      <c r="E16" s="2"/>
      <c r="F16" s="2"/>
      <c r="G16" s="2"/>
      <c r="H16" s="2"/>
    </row>
    <row r="17" spans="1:8">
      <c r="A17" s="2"/>
      <c r="B17" s="2"/>
      <c r="C17" s="2"/>
      <c r="D17" s="2"/>
      <c r="E17" s="2"/>
      <c r="F17" s="2"/>
      <c r="G17" s="2"/>
      <c r="H17" s="2"/>
    </row>
    <row r="18" spans="1:8">
      <c r="A18" s="2"/>
      <c r="B18" s="2"/>
      <c r="C18" s="2"/>
      <c r="D18" s="2"/>
      <c r="E18" s="2"/>
      <c r="F18" s="2"/>
      <c r="G18" s="2"/>
      <c r="H18" s="2"/>
    </row>
    <row r="19" spans="1:8">
      <c r="A19" s="2"/>
      <c r="B19" s="2"/>
      <c r="C19" s="2"/>
      <c r="D19" s="2"/>
      <c r="E19" s="2"/>
      <c r="F19" s="2"/>
      <c r="G19" s="2"/>
      <c r="H19" s="2"/>
    </row>
    <row r="20" spans="1:8">
      <c r="A20" s="2"/>
      <c r="B20" s="2"/>
      <c r="C20" s="2"/>
      <c r="D20" s="2"/>
      <c r="E20" s="2"/>
      <c r="F20" s="2"/>
      <c r="G20" s="2"/>
      <c r="H20" s="2"/>
    </row>
    <row r="21" spans="1:8">
      <c r="A21" s="2"/>
      <c r="B21" s="2"/>
      <c r="C21" s="2"/>
      <c r="D21" s="2"/>
      <c r="E21" s="2"/>
      <c r="F21" s="2"/>
      <c r="G21" s="2"/>
      <c r="H21" s="2"/>
    </row>
    <row r="22" spans="1:8">
      <c r="A22" s="2"/>
      <c r="B22" s="2"/>
      <c r="C22" s="2"/>
      <c r="D22" s="2"/>
      <c r="E22" s="2"/>
      <c r="F22" s="2"/>
      <c r="G22" s="2"/>
      <c r="H22" s="2"/>
    </row>
    <row r="23" spans="1:8">
      <c r="A23" s="2"/>
      <c r="B23" s="2"/>
      <c r="C23" s="2"/>
      <c r="D23" s="2"/>
      <c r="E23" s="2"/>
      <c r="F23" s="2"/>
      <c r="G23" s="2"/>
      <c r="H23" s="2"/>
    </row>
    <row r="24" spans="1:8">
      <c r="A24" s="2"/>
      <c r="B24" s="2"/>
      <c r="C24" s="2"/>
      <c r="D24" s="2"/>
      <c r="E24" s="2"/>
      <c r="F24" s="2"/>
      <c r="G24" s="2"/>
      <c r="H24" s="2"/>
    </row>
    <row r="25" spans="1:8">
      <c r="A25" s="2"/>
      <c r="B25" s="2"/>
      <c r="C25" s="2"/>
      <c r="D25" s="2"/>
      <c r="E25" s="2"/>
      <c r="F25" s="2"/>
      <c r="G25" s="2"/>
      <c r="H25" s="2"/>
    </row>
    <row r="26" spans="1:8">
      <c r="A26" s="2"/>
      <c r="B26" s="2"/>
      <c r="C26" s="2"/>
      <c r="D26" s="2"/>
      <c r="E26" s="2"/>
      <c r="F26" s="2"/>
      <c r="G26" s="2"/>
      <c r="H26" s="2"/>
    </row>
    <row r="27" spans="1:8">
      <c r="A27" s="2"/>
      <c r="B27" s="2"/>
      <c r="C27" s="2"/>
      <c r="D27" s="2"/>
      <c r="E27" s="2"/>
      <c r="F27" s="2"/>
      <c r="G27" s="2"/>
      <c r="H27" s="2"/>
    </row>
    <row r="28" spans="1:8">
      <c r="A28" s="2"/>
      <c r="B28" s="2"/>
      <c r="C28" s="2"/>
      <c r="D28" s="2"/>
      <c r="E28" s="2"/>
      <c r="F28" s="2"/>
      <c r="G28" s="2"/>
      <c r="H28" s="2"/>
    </row>
    <row r="29" spans="1:8">
      <c r="A29" s="2"/>
      <c r="B29" s="2"/>
      <c r="C29" s="2"/>
      <c r="D29" s="2"/>
      <c r="E29" s="2"/>
      <c r="F29" s="2"/>
      <c r="G29" s="2"/>
      <c r="H29" s="2"/>
    </row>
    <row r="30" spans="1:8">
      <c r="A30" s="2"/>
      <c r="B30" s="2"/>
      <c r="C30" s="2"/>
      <c r="D30" s="2"/>
      <c r="E30" s="2"/>
      <c r="F30" s="2"/>
      <c r="G30" s="2"/>
      <c r="H30" s="2"/>
    </row>
  </sheetData>
  <mergeCells count="1">
    <mergeCell ref="A1:H1"/>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20"/>
  <sheetViews>
    <sheetView workbookViewId="0">
      <selection activeCell="C14" sqref="C14"/>
    </sheetView>
  </sheetViews>
  <sheetFormatPr defaultRowHeight="14"/>
  <cols>
    <col min="1" max="1" width="15.9140625" bestFit="1" customWidth="1"/>
    <col min="2" max="2" width="22.75" bestFit="1" customWidth="1"/>
    <col min="3" max="3" width="40.58203125" bestFit="1" customWidth="1"/>
    <col min="4" max="4" width="36.33203125" bestFit="1" customWidth="1"/>
  </cols>
  <sheetData>
    <row r="1" spans="1:26" ht="18">
      <c r="A1" s="10" t="s">
        <v>21</v>
      </c>
      <c r="B1" s="11"/>
      <c r="C1" s="11"/>
      <c r="D1" s="11"/>
      <c r="E1" s="8"/>
      <c r="F1" s="8"/>
      <c r="G1" s="8"/>
      <c r="H1" s="8"/>
      <c r="I1" s="8"/>
      <c r="J1" s="8"/>
      <c r="K1" s="8"/>
      <c r="L1" s="8"/>
      <c r="M1" s="8"/>
      <c r="N1" s="8"/>
      <c r="O1" s="8"/>
      <c r="P1" s="8"/>
      <c r="Q1" s="8"/>
      <c r="R1" s="8"/>
      <c r="S1" s="8"/>
      <c r="T1" s="8"/>
      <c r="U1" s="8"/>
      <c r="V1" s="8"/>
      <c r="W1" s="8"/>
      <c r="X1" s="8"/>
      <c r="Y1" s="8"/>
      <c r="Z1" s="8"/>
    </row>
    <row r="3" spans="1:26">
      <c r="A3" s="1" t="s">
        <v>973</v>
      </c>
      <c r="B3" s="1" t="s">
        <v>3</v>
      </c>
      <c r="C3" s="1" t="s">
        <v>974</v>
      </c>
      <c r="D3" s="1" t="s">
        <v>975</v>
      </c>
    </row>
    <row r="4" spans="1:26">
      <c r="A4" s="2" t="s">
        <v>41</v>
      </c>
      <c r="B4" s="2" t="s">
        <v>5</v>
      </c>
      <c r="C4" s="2" t="s">
        <v>976</v>
      </c>
      <c r="D4" s="2" t="s">
        <v>977</v>
      </c>
    </row>
    <row r="5" spans="1:26" ht="28">
      <c r="A5" s="2" t="s">
        <v>42</v>
      </c>
      <c r="B5" s="2" t="s">
        <v>5</v>
      </c>
      <c r="C5" s="2" t="s">
        <v>978</v>
      </c>
      <c r="D5" s="2" t="s">
        <v>979</v>
      </c>
    </row>
    <row r="6" spans="1:26">
      <c r="A6" s="2" t="s">
        <v>43</v>
      </c>
      <c r="B6" s="2" t="s">
        <v>5</v>
      </c>
      <c r="C6" s="2" t="s">
        <v>980</v>
      </c>
      <c r="D6" s="2" t="s">
        <v>981</v>
      </c>
    </row>
    <row r="7" spans="1:26" ht="28">
      <c r="A7" s="2" t="s">
        <v>44</v>
      </c>
      <c r="B7" s="2" t="s">
        <v>5</v>
      </c>
      <c r="C7" s="2" t="s">
        <v>982</v>
      </c>
      <c r="D7" s="2" t="s">
        <v>983</v>
      </c>
    </row>
    <row r="8" spans="1:26">
      <c r="A8" s="2" t="s">
        <v>45</v>
      </c>
      <c r="B8" s="2" t="s">
        <v>5</v>
      </c>
      <c r="C8" s="2" t="s">
        <v>984</v>
      </c>
      <c r="D8" s="2" t="s">
        <v>985</v>
      </c>
    </row>
    <row r="9" spans="1:26" ht="28">
      <c r="A9" s="2" t="s">
        <v>37</v>
      </c>
      <c r="B9" s="2" t="s">
        <v>986</v>
      </c>
      <c r="C9" s="2" t="s">
        <v>987</v>
      </c>
      <c r="D9" s="2" t="s">
        <v>988</v>
      </c>
    </row>
    <row r="10" spans="1:26" ht="28">
      <c r="A10" s="2" t="s">
        <v>9</v>
      </c>
      <c r="B10" s="2" t="s">
        <v>9</v>
      </c>
      <c r="C10" s="2" t="s">
        <v>989</v>
      </c>
      <c r="D10" s="2" t="s">
        <v>990</v>
      </c>
    </row>
    <row r="11" spans="1:26" ht="28">
      <c r="A11" s="2" t="s">
        <v>844</v>
      </c>
      <c r="B11" s="2" t="s">
        <v>19</v>
      </c>
      <c r="C11" s="2" t="s">
        <v>991</v>
      </c>
      <c r="D11" s="2" t="s">
        <v>992</v>
      </c>
    </row>
    <row r="12" spans="1:26">
      <c r="A12" s="2"/>
      <c r="B12" s="2"/>
      <c r="C12" s="2"/>
      <c r="D12" s="2"/>
    </row>
    <row r="13" spans="1:26">
      <c r="A13" s="2"/>
      <c r="B13" s="2"/>
      <c r="C13" s="2"/>
      <c r="D13" s="2"/>
    </row>
    <row r="14" spans="1:26">
      <c r="A14" s="2"/>
      <c r="B14" s="2"/>
      <c r="C14" s="2"/>
      <c r="D14" s="2"/>
    </row>
    <row r="15" spans="1:26">
      <c r="A15" s="2"/>
      <c r="B15" s="2"/>
      <c r="C15" s="2"/>
      <c r="D15" s="2"/>
    </row>
    <row r="16" spans="1:26">
      <c r="A16" s="2"/>
      <c r="B16" s="2"/>
      <c r="C16" s="2"/>
      <c r="D16" s="2"/>
    </row>
    <row r="17" spans="1:4">
      <c r="A17" s="2"/>
      <c r="B17" s="2"/>
      <c r="C17" s="2"/>
      <c r="D17" s="2"/>
    </row>
    <row r="18" spans="1:4">
      <c r="A18" s="2"/>
      <c r="B18" s="2"/>
      <c r="C18" s="2"/>
      <c r="D18" s="2"/>
    </row>
    <row r="19" spans="1:4">
      <c r="A19" s="2"/>
      <c r="B19" s="2"/>
      <c r="C19" s="2"/>
      <c r="D19" s="2"/>
    </row>
    <row r="20" spans="1:4">
      <c r="A20" s="2"/>
      <c r="B20" s="2"/>
      <c r="C20" s="2"/>
      <c r="D20" s="2"/>
    </row>
  </sheetData>
  <mergeCells count="1">
    <mergeCell ref="A1:D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3"/>
  <sheetViews>
    <sheetView workbookViewId="0">
      <selection activeCell="C11" sqref="C11"/>
    </sheetView>
  </sheetViews>
  <sheetFormatPr defaultRowHeight="14"/>
  <cols>
    <col min="1" max="1" width="15.9140625" bestFit="1" customWidth="1"/>
    <col min="2" max="2" width="7.33203125" bestFit="1" customWidth="1"/>
    <col min="3" max="3" width="25.9140625" bestFit="1" customWidth="1"/>
    <col min="4" max="4" width="11" bestFit="1" customWidth="1"/>
    <col min="5" max="5" width="17.83203125" bestFit="1" customWidth="1"/>
    <col min="6" max="6" width="11.83203125" bestFit="1" customWidth="1"/>
    <col min="7" max="7" width="23.5" bestFit="1" customWidth="1"/>
    <col min="8" max="8" width="17.83203125" bestFit="1" customWidth="1"/>
  </cols>
  <sheetData>
    <row r="1" spans="1:26" ht="28">
      <c r="A1" s="9" t="s">
        <v>36</v>
      </c>
      <c r="B1" s="9" t="s">
        <v>29</v>
      </c>
      <c r="C1" s="9" t="s">
        <v>37</v>
      </c>
      <c r="D1" s="9" t="s">
        <v>28</v>
      </c>
      <c r="E1" s="9" t="s">
        <v>34</v>
      </c>
      <c r="F1" s="9" t="s">
        <v>40</v>
      </c>
      <c r="G1" s="9" t="s">
        <v>844</v>
      </c>
      <c r="H1" s="9" t="s">
        <v>669</v>
      </c>
      <c r="I1" s="8"/>
      <c r="J1" s="8"/>
      <c r="K1" s="8"/>
      <c r="L1" s="8"/>
      <c r="M1" s="8"/>
      <c r="N1" s="8"/>
      <c r="O1" s="8"/>
      <c r="P1" s="8"/>
      <c r="Q1" s="8"/>
      <c r="R1" s="8"/>
      <c r="S1" s="8"/>
      <c r="T1" s="8"/>
      <c r="U1" s="8"/>
      <c r="V1" s="8"/>
      <c r="W1" s="8"/>
      <c r="X1" s="8"/>
      <c r="Y1" s="8"/>
      <c r="Z1" s="8"/>
    </row>
    <row r="2" spans="1:26">
      <c r="A2" t="s">
        <v>109</v>
      </c>
      <c r="B2" t="s">
        <v>50</v>
      </c>
      <c r="C2" t="s">
        <v>82</v>
      </c>
      <c r="D2" t="s">
        <v>72</v>
      </c>
      <c r="E2" t="s">
        <v>64</v>
      </c>
      <c r="F2" t="s">
        <v>57</v>
      </c>
      <c r="G2" t="s">
        <v>912</v>
      </c>
      <c r="H2" t="s">
        <v>745</v>
      </c>
    </row>
    <row r="3" spans="1:26">
      <c r="A3" t="s">
        <v>89</v>
      </c>
      <c r="B3" t="s">
        <v>73</v>
      </c>
      <c r="C3" t="s">
        <v>76</v>
      </c>
      <c r="D3" t="s">
        <v>49</v>
      </c>
      <c r="E3" t="s">
        <v>53</v>
      </c>
      <c r="F3" t="s">
        <v>303</v>
      </c>
      <c r="G3" t="s">
        <v>947</v>
      </c>
      <c r="H3" t="s">
        <v>108</v>
      </c>
    </row>
    <row r="4" spans="1:26">
      <c r="A4" t="s">
        <v>211</v>
      </c>
      <c r="C4" t="s">
        <v>122</v>
      </c>
      <c r="D4" t="s">
        <v>271</v>
      </c>
      <c r="E4" t="s">
        <v>104</v>
      </c>
      <c r="F4" t="s">
        <v>68</v>
      </c>
      <c r="G4" t="s">
        <v>964</v>
      </c>
      <c r="H4" t="s">
        <v>104</v>
      </c>
    </row>
    <row r="5" spans="1:26">
      <c r="A5" t="s">
        <v>184</v>
      </c>
      <c r="C5" t="s">
        <v>56</v>
      </c>
      <c r="D5" t="s">
        <v>99</v>
      </c>
      <c r="H5" t="s">
        <v>773</v>
      </c>
    </row>
    <row r="6" spans="1:26">
      <c r="A6" t="s">
        <v>81</v>
      </c>
      <c r="C6" t="s">
        <v>177</v>
      </c>
      <c r="D6" t="s">
        <v>135</v>
      </c>
      <c r="H6" t="s">
        <v>779</v>
      </c>
    </row>
    <row r="7" spans="1:26">
      <c r="A7" t="s">
        <v>66</v>
      </c>
      <c r="C7" t="s">
        <v>67</v>
      </c>
      <c r="D7" t="s">
        <v>162</v>
      </c>
      <c r="H7" t="s">
        <v>64</v>
      </c>
    </row>
    <row r="8" spans="1:26">
      <c r="A8" t="s">
        <v>95</v>
      </c>
      <c r="D8" t="s">
        <v>157</v>
      </c>
      <c r="H8" t="s">
        <v>53</v>
      </c>
    </row>
    <row r="9" spans="1:26">
      <c r="A9" t="s">
        <v>55</v>
      </c>
      <c r="D9" t="s">
        <v>61</v>
      </c>
      <c r="H9" t="s">
        <v>668</v>
      </c>
    </row>
    <row r="10" spans="1:26">
      <c r="D10" t="s">
        <v>103</v>
      </c>
      <c r="H10" t="s">
        <v>809</v>
      </c>
    </row>
    <row r="11" spans="1:26">
      <c r="D11" t="s">
        <v>93</v>
      </c>
    </row>
    <row r="12" spans="1:26">
      <c r="D12" t="s">
        <v>290</v>
      </c>
    </row>
    <row r="13" spans="1:26">
      <c r="D13" t="s">
        <v>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Invoice Tracker</vt:lpstr>
      <vt:lpstr>KPI Dashboard</vt:lpstr>
      <vt:lpstr>Approval Matrix</vt:lpstr>
      <vt:lpstr>Exception Log</vt:lpstr>
      <vt:lpstr>Stakeholders</vt:lpstr>
      <vt:lpstr>Requirements</vt:lpstr>
      <vt:lpstr>User Stories</vt:lpstr>
      <vt:lpstr>Implementation Roadmap</vt:lpstr>
      <vt:lpstr>Data Dictionary</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Brenton Nelson</cp:lastModifiedBy>
  <dcterms:modified xsi:type="dcterms:W3CDTF">2026-06-16T20:18:39Z</dcterms:modified>
</cp:coreProperties>
</file>